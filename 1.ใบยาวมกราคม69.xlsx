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D2\งานกะ69\FORM-PD2\"/>
    </mc:Choice>
  </mc:AlternateContent>
  <xr:revisionPtr revIDLastSave="0" documentId="13_ncr:1_{42297104-58EB-40E9-8387-6C85A1B1A9C6}" xr6:coauthVersionLast="47" xr6:coauthVersionMax="47" xr10:uidLastSave="{00000000-0000-0000-0000-000000000000}"/>
  <bookViews>
    <workbookView xWindow="-120" yWindow="-120" windowWidth="29040" windowHeight="15720" activeTab="1" xr2:uid="{CFFDBCC9-4B07-46FB-84CE-6A96E11E6424}"/>
  </bookViews>
  <sheets>
    <sheet name="19" sheetId="20" r:id="rId1"/>
    <sheet name="18" sheetId="19" r:id="rId2"/>
    <sheet name="17" sheetId="18" r:id="rId3"/>
    <sheet name="16" sheetId="17" r:id="rId4"/>
    <sheet name="14" sheetId="15" r:id="rId5"/>
    <sheet name="15" sheetId="16" r:id="rId6"/>
    <sheet name="13" sheetId="14" r:id="rId7"/>
    <sheet name="12" sheetId="13" r:id="rId8"/>
    <sheet name="10" sheetId="12" r:id="rId9"/>
    <sheet name="9" sheetId="11" r:id="rId10"/>
    <sheet name="8" sheetId="7" r:id="rId11"/>
    <sheet name="7" sheetId="6" r:id="rId12"/>
    <sheet name="6" sheetId="5" r:id="rId13"/>
    <sheet name="5" sheetId="4" r:id="rId14"/>
    <sheet name="4" sheetId="3" r:id="rId15"/>
    <sheet name="3" sheetId="2" r:id="rId16"/>
    <sheet name="2.1" sheetId="10" r:id="rId17"/>
    <sheet name="เป้าหมาย" sheetId="1" r:id="rId18"/>
    <sheet name="Sheet4" sheetId="8" r:id="rId19"/>
  </sheets>
  <externalReferences>
    <externalReference r:id="rId20"/>
  </externalReferences>
  <definedNames>
    <definedName name="_xlnm._FilterDatabase" localSheetId="8" hidden="1">'10'!$A$5:$AD$112</definedName>
    <definedName name="_xlnm._FilterDatabase" localSheetId="7" hidden="1">'12'!$A$5:$AD$112</definedName>
    <definedName name="_xlnm._FilterDatabase" localSheetId="6" hidden="1">'13'!$A$5:$AD$112</definedName>
    <definedName name="_xlnm._FilterDatabase" localSheetId="4" hidden="1">'14'!$A$5:$AD$116</definedName>
    <definedName name="_xlnm._FilterDatabase" localSheetId="5" hidden="1">'15'!$A$5:$AD$113</definedName>
    <definedName name="_xlnm._FilterDatabase" localSheetId="3" hidden="1">'16'!$A$5:$AD$113</definedName>
    <definedName name="_xlnm._FilterDatabase" localSheetId="2" hidden="1">'17'!$A$5:$AD$113</definedName>
    <definedName name="_xlnm._FilterDatabase" localSheetId="1" hidden="1">'18'!$A$5:$AD$113</definedName>
    <definedName name="_xlnm._FilterDatabase" localSheetId="0" hidden="1">'19'!$A$5:$AD$113</definedName>
    <definedName name="_xlnm._FilterDatabase" localSheetId="16" hidden="1">'2.1'!$A$5:$AD$112</definedName>
    <definedName name="_xlnm._FilterDatabase" localSheetId="15" hidden="1">'3'!$A$5:$AD$112</definedName>
    <definedName name="_xlnm._FilterDatabase" localSheetId="14" hidden="1">'4'!$A$5:$AD$112</definedName>
    <definedName name="_xlnm._FilterDatabase" localSheetId="13" hidden="1">'5'!$A$5:$AD$112</definedName>
    <definedName name="_xlnm._FilterDatabase" localSheetId="12" hidden="1">'6'!$A$5:$AD$112</definedName>
    <definedName name="_xlnm._FilterDatabase" localSheetId="11" hidden="1">'7'!$A$5:$AD$112</definedName>
    <definedName name="_xlnm._FilterDatabase" localSheetId="10" hidden="1">'8'!$A$5:$AD$112</definedName>
    <definedName name="_xlnm._FilterDatabase" localSheetId="9" hidden="1">'9'!$A$5:$AD$112</definedName>
    <definedName name="_xlnm.Print_Titles" localSheetId="8">'10'!$1:$5</definedName>
    <definedName name="_xlnm.Print_Titles" localSheetId="7">'12'!$1:$5</definedName>
    <definedName name="_xlnm.Print_Titles" localSheetId="6">'13'!$1:$5</definedName>
    <definedName name="_xlnm.Print_Titles" localSheetId="4">'14'!$1:$5</definedName>
    <definedName name="_xlnm.Print_Titles" localSheetId="5">'15'!$1:$5</definedName>
    <definedName name="_xlnm.Print_Titles" localSheetId="3">'16'!$1:$5</definedName>
    <definedName name="_xlnm.Print_Titles" localSheetId="2">'17'!$1:$5</definedName>
    <definedName name="_xlnm.Print_Titles" localSheetId="1">'18'!$1:$5</definedName>
    <definedName name="_xlnm.Print_Titles" localSheetId="0">'19'!$1:$5</definedName>
    <definedName name="_xlnm.Print_Titles" localSheetId="16">'2.1'!$1:$5</definedName>
    <definedName name="_xlnm.Print_Titles" localSheetId="15">'3'!$1:$5</definedName>
    <definedName name="_xlnm.Print_Titles" localSheetId="14">'4'!$1:$5</definedName>
    <definedName name="_xlnm.Print_Titles" localSheetId="13">'5'!$1:$5</definedName>
    <definedName name="_xlnm.Print_Titles" localSheetId="12">'6'!$1:$5</definedName>
    <definedName name="_xlnm.Print_Titles" localSheetId="11">'7'!$1:$5</definedName>
    <definedName name="_xlnm.Print_Titles" localSheetId="10">'8'!$1:$5</definedName>
    <definedName name="_xlnm.Print_Titles" localSheetId="9">'9'!$1:$5</definedName>
    <definedName name="_xlnm.Print_Titles" localSheetId="17">เป้าหมาย!#REF!</definedName>
    <definedName name="ชื่อ" localSheetId="8">#REF!</definedName>
    <definedName name="ชื่อ" localSheetId="7">#REF!</definedName>
    <definedName name="ชื่อ" localSheetId="6">#REF!</definedName>
    <definedName name="ชื่อ" localSheetId="4">#REF!</definedName>
    <definedName name="ชื่อ" localSheetId="5">#REF!</definedName>
    <definedName name="ชื่อ" localSheetId="3">#REF!</definedName>
    <definedName name="ชื่อ" localSheetId="2">#REF!</definedName>
    <definedName name="ชื่อ" localSheetId="1">#REF!</definedName>
    <definedName name="ชื่อ" localSheetId="0">#REF!</definedName>
    <definedName name="ชื่อ" localSheetId="16">#REF!</definedName>
    <definedName name="ชื่อ" localSheetId="15">#REF!</definedName>
    <definedName name="ชื่อ" localSheetId="14">#REF!</definedName>
    <definedName name="ชื่อ" localSheetId="13">#REF!</definedName>
    <definedName name="ชื่อ" localSheetId="12">#REF!</definedName>
    <definedName name="ชื่อ" localSheetId="11">#REF!</definedName>
    <definedName name="ชื่อ" localSheetId="10">#REF!</definedName>
    <definedName name="ชื่อ" localSheetId="9">#REF!</definedName>
    <definedName name="ชื่อ" localSheetId="17">#REF!</definedName>
    <definedName name="ชื่อ">#REF!</definedName>
    <definedName name="ชื่อพนักงาน" localSheetId="8">#REF!</definedName>
    <definedName name="ชื่อพนักงาน" localSheetId="7">#REF!</definedName>
    <definedName name="ชื่อพนักงาน" localSheetId="6">#REF!</definedName>
    <definedName name="ชื่อพนักงาน" localSheetId="4">#REF!</definedName>
    <definedName name="ชื่อพนักงาน" localSheetId="5">#REF!</definedName>
    <definedName name="ชื่อพนักงาน" localSheetId="3">#REF!</definedName>
    <definedName name="ชื่อพนักงาน" localSheetId="2">#REF!</definedName>
    <definedName name="ชื่อพนักงาน" localSheetId="1">#REF!</definedName>
    <definedName name="ชื่อพนักงาน" localSheetId="0">#REF!</definedName>
    <definedName name="ชื่อพนักงาน" localSheetId="16">#REF!</definedName>
    <definedName name="ชื่อพนักงาน" localSheetId="15">#REF!</definedName>
    <definedName name="ชื่อพนักงาน" localSheetId="14">#REF!</definedName>
    <definedName name="ชื่อพนักงาน" localSheetId="13">#REF!</definedName>
    <definedName name="ชื่อพนักงาน" localSheetId="12">#REF!</definedName>
    <definedName name="ชื่อพนักงาน" localSheetId="11">#REF!</definedName>
    <definedName name="ชื่อพนักงาน" localSheetId="10">#REF!</definedName>
    <definedName name="ชื่อพนักงาน" localSheetId="9">#REF!</definedName>
    <definedName name="ชื่อพนักงาน" localSheetId="17">#REF!</definedName>
    <definedName name="ชื่อพนักงาน">#REF!</definedName>
    <definedName name="น.ส.ทิ_ดาอู" localSheetId="8">#REF!</definedName>
    <definedName name="น.ส.ทิ_ดาอู" localSheetId="7">#REF!</definedName>
    <definedName name="น.ส.ทิ_ดาอู" localSheetId="6">#REF!</definedName>
    <definedName name="น.ส.ทิ_ดาอู" localSheetId="4">#REF!</definedName>
    <definedName name="น.ส.ทิ_ดาอู" localSheetId="5">#REF!</definedName>
    <definedName name="น.ส.ทิ_ดาอู" localSheetId="3">#REF!</definedName>
    <definedName name="น.ส.ทิ_ดาอู" localSheetId="2">#REF!</definedName>
    <definedName name="น.ส.ทิ_ดาอู" localSheetId="1">#REF!</definedName>
    <definedName name="น.ส.ทิ_ดาอู" localSheetId="0">#REF!</definedName>
    <definedName name="น.ส.ทิ_ดาอู" localSheetId="16">#REF!</definedName>
    <definedName name="น.ส.ทิ_ดาอู" localSheetId="15">#REF!</definedName>
    <definedName name="น.ส.ทิ_ดาอู" localSheetId="14">#REF!</definedName>
    <definedName name="น.ส.ทิ_ดาอู" localSheetId="13">#REF!</definedName>
    <definedName name="น.ส.ทิ_ดาอู" localSheetId="12">#REF!</definedName>
    <definedName name="น.ส.ทิ_ดาอู" localSheetId="11">#REF!</definedName>
    <definedName name="น.ส.ทิ_ดาอู" localSheetId="10">#REF!</definedName>
    <definedName name="น.ส.ทิ_ดาอู" localSheetId="9">#REF!</definedName>
    <definedName name="น.ส.ทิ_ดาอู" localSheetId="17">#REF!</definedName>
    <definedName name="น.ส.ทิ_ดาอู">#REF!</definedName>
    <definedName name="สี" localSheetId="8">#REF!</definedName>
    <definedName name="สี" localSheetId="7">#REF!</definedName>
    <definedName name="สี" localSheetId="6">#REF!</definedName>
    <definedName name="สี" localSheetId="4">#REF!</definedName>
    <definedName name="สี" localSheetId="5">#REF!</definedName>
    <definedName name="สี" localSheetId="3">#REF!</definedName>
    <definedName name="สี" localSheetId="2">#REF!</definedName>
    <definedName name="สี" localSheetId="1">#REF!</definedName>
    <definedName name="สี" localSheetId="0">#REF!</definedName>
    <definedName name="สี" localSheetId="16">#REF!</definedName>
    <definedName name="สี" localSheetId="15">#REF!</definedName>
    <definedName name="สี" localSheetId="14">#REF!</definedName>
    <definedName name="สี" localSheetId="13">#REF!</definedName>
    <definedName name="สี" localSheetId="12">#REF!</definedName>
    <definedName name="สี" localSheetId="11">#REF!</definedName>
    <definedName name="สี" localSheetId="10">#REF!</definedName>
    <definedName name="สี" localSheetId="9">#REF!</definedName>
    <definedName name="สี" localSheetId="17">#REF!</definedName>
    <definedName name="สี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5" i="20" l="1"/>
  <c r="Z74" i="20"/>
  <c r="Z72" i="20"/>
  <c r="Z71" i="20"/>
  <c r="Y69" i="20"/>
  <c r="Y29" i="20"/>
  <c r="Y21" i="20"/>
  <c r="Y19" i="20"/>
  <c r="Z10" i="20"/>
  <c r="Y7" i="20"/>
  <c r="Y8" i="20"/>
  <c r="X125" i="20"/>
  <c r="X133" i="20" s="1"/>
  <c r="X53" i="20"/>
  <c r="Z53" i="20" s="1"/>
  <c r="X56" i="20"/>
  <c r="Z56" i="20" s="1"/>
  <c r="X10" i="20"/>
  <c r="X74" i="20"/>
  <c r="X71" i="20"/>
  <c r="W8" i="20"/>
  <c r="W69" i="20"/>
  <c r="W7" i="20"/>
  <c r="W6" i="20"/>
  <c r="Y6" i="20" s="1"/>
  <c r="X9" i="20"/>
  <c r="Z9" i="20" s="1"/>
  <c r="W19" i="20"/>
  <c r="W21" i="20"/>
  <c r="W29" i="20"/>
  <c r="W30" i="20"/>
  <c r="Y30" i="20" s="1"/>
  <c r="W82" i="20"/>
  <c r="Y82" i="20" s="1"/>
  <c r="W81" i="20"/>
  <c r="Y81" i="20" s="1"/>
  <c r="W80" i="20"/>
  <c r="Y80" i="20" s="1"/>
  <c r="W79" i="20"/>
  <c r="Y79" i="20" s="1"/>
  <c r="Y126" i="20"/>
  <c r="Y58" i="20"/>
  <c r="W67" i="20"/>
  <c r="Y67" i="20" s="1"/>
  <c r="W34" i="20"/>
  <c r="Y34" i="20" s="1"/>
  <c r="W9" i="20"/>
  <c r="Y9" i="20" s="1"/>
  <c r="W15" i="20"/>
  <c r="Y15" i="20" s="1"/>
  <c r="W68" i="20"/>
  <c r="Y68" i="20" s="1"/>
  <c r="W58" i="20"/>
  <c r="W63" i="20"/>
  <c r="Y63" i="20" s="1"/>
  <c r="W64" i="20"/>
  <c r="Y64" i="20" s="1"/>
  <c r="W65" i="20"/>
  <c r="Y65" i="20" s="1"/>
  <c r="W24" i="20"/>
  <c r="Y24" i="20" s="1"/>
  <c r="W16" i="20"/>
  <c r="Y16" i="20" s="1"/>
  <c r="W75" i="20"/>
  <c r="Y75" i="20" s="1"/>
  <c r="W77" i="20"/>
  <c r="Y77" i="20" s="1"/>
  <c r="W78" i="20"/>
  <c r="Y78" i="20" s="1"/>
  <c r="W22" i="20"/>
  <c r="Y22" i="20" s="1"/>
  <c r="W18" i="20"/>
  <c r="Y18" i="20" s="1"/>
  <c r="W17" i="20"/>
  <c r="Y17" i="20" s="1"/>
  <c r="W126" i="20"/>
  <c r="AD133" i="20"/>
  <c r="AC133" i="20"/>
  <c r="AC134" i="20" s="1"/>
  <c r="AB133" i="20"/>
  <c r="AA133" i="20"/>
  <c r="AA134" i="20" s="1"/>
  <c r="Z133" i="20"/>
  <c r="V133" i="20"/>
  <c r="U133" i="20"/>
  <c r="T133" i="20"/>
  <c r="S133" i="20"/>
  <c r="R133" i="20"/>
  <c r="Q133" i="20"/>
  <c r="H133" i="20"/>
  <c r="G133" i="20"/>
  <c r="Y133" i="20"/>
  <c r="W133" i="20"/>
  <c r="X99" i="20"/>
  <c r="X98" i="20"/>
  <c r="T97" i="20"/>
  <c r="O97" i="20"/>
  <c r="AD87" i="20"/>
  <c r="AC87" i="20"/>
  <c r="AB87" i="20"/>
  <c r="AA87" i="20"/>
  <c r="V87" i="20"/>
  <c r="AA92" i="20" s="1"/>
  <c r="U87" i="20"/>
  <c r="AA91" i="20" s="1"/>
  <c r="T87" i="20"/>
  <c r="S87" i="20"/>
  <c r="R87" i="20"/>
  <c r="Q87" i="20"/>
  <c r="H87" i="20"/>
  <c r="S91" i="20" s="1"/>
  <c r="G87" i="20"/>
  <c r="N91" i="20" s="1"/>
  <c r="L86" i="20"/>
  <c r="K86" i="20"/>
  <c r="L85" i="20"/>
  <c r="K85" i="20"/>
  <c r="L83" i="20"/>
  <c r="K83" i="20"/>
  <c r="L82" i="20"/>
  <c r="K82" i="20"/>
  <c r="L81" i="20"/>
  <c r="K81" i="20"/>
  <c r="L80" i="20"/>
  <c r="K80" i="20"/>
  <c r="L79" i="20"/>
  <c r="L78" i="20"/>
  <c r="K78" i="20"/>
  <c r="L77" i="20"/>
  <c r="K77" i="20"/>
  <c r="L76" i="20"/>
  <c r="K76" i="20"/>
  <c r="L75" i="20"/>
  <c r="K75" i="20"/>
  <c r="L74" i="20"/>
  <c r="K74" i="20"/>
  <c r="L73" i="20"/>
  <c r="K73" i="20"/>
  <c r="L72" i="20"/>
  <c r="K72" i="20"/>
  <c r="L71" i="20"/>
  <c r="K71" i="20"/>
  <c r="L70" i="20"/>
  <c r="K70" i="20"/>
  <c r="L69" i="20"/>
  <c r="K69" i="20"/>
  <c r="L68" i="20"/>
  <c r="K68" i="20"/>
  <c r="L67" i="20"/>
  <c r="K67" i="20"/>
  <c r="L66" i="20"/>
  <c r="K66" i="20"/>
  <c r="L65" i="20"/>
  <c r="K65" i="20"/>
  <c r="L64" i="20"/>
  <c r="K64" i="20"/>
  <c r="L63" i="20"/>
  <c r="K63" i="20"/>
  <c r="L62" i="20"/>
  <c r="K62" i="20"/>
  <c r="L61" i="20"/>
  <c r="K61" i="20"/>
  <c r="L60" i="20"/>
  <c r="K60" i="20"/>
  <c r="L59" i="20"/>
  <c r="K59" i="20"/>
  <c r="L58" i="20"/>
  <c r="K58" i="20"/>
  <c r="L57" i="20"/>
  <c r="K57" i="20"/>
  <c r="L55" i="20"/>
  <c r="K55" i="20"/>
  <c r="L54" i="20"/>
  <c r="K54" i="20"/>
  <c r="L53" i="20"/>
  <c r="K53" i="20"/>
  <c r="L52" i="20"/>
  <c r="K52" i="20"/>
  <c r="L51" i="20"/>
  <c r="K51" i="20"/>
  <c r="L50" i="20"/>
  <c r="K50" i="20"/>
  <c r="L49" i="20"/>
  <c r="K49" i="20"/>
  <c r="L48" i="20"/>
  <c r="K48" i="20"/>
  <c r="L47" i="20"/>
  <c r="K47" i="20"/>
  <c r="L46" i="20"/>
  <c r="K46" i="20"/>
  <c r="L45" i="20"/>
  <c r="K45" i="20"/>
  <c r="L44" i="20"/>
  <c r="K44" i="20"/>
  <c r="L43" i="20"/>
  <c r="K43" i="20"/>
  <c r="L42" i="20"/>
  <c r="K42" i="20"/>
  <c r="L41" i="20"/>
  <c r="K41" i="20"/>
  <c r="L40" i="20"/>
  <c r="K40" i="20"/>
  <c r="L39" i="20"/>
  <c r="K39" i="20"/>
  <c r="L38" i="20"/>
  <c r="K38" i="20"/>
  <c r="L37" i="20"/>
  <c r="K37" i="20"/>
  <c r="L36" i="20"/>
  <c r="K36" i="20"/>
  <c r="L35" i="20"/>
  <c r="K35" i="20"/>
  <c r="L34" i="20"/>
  <c r="K34" i="20"/>
  <c r="L33" i="20"/>
  <c r="K33" i="20"/>
  <c r="L32" i="20"/>
  <c r="K32" i="20"/>
  <c r="L31" i="20"/>
  <c r="K31" i="20"/>
  <c r="L30" i="20"/>
  <c r="K30" i="20"/>
  <c r="L29" i="20"/>
  <c r="K29" i="20"/>
  <c r="L28" i="20"/>
  <c r="K28" i="20"/>
  <c r="L27" i="20"/>
  <c r="K27" i="20"/>
  <c r="L26" i="20"/>
  <c r="K26" i="20"/>
  <c r="L25" i="20"/>
  <c r="K25" i="20"/>
  <c r="L24" i="20"/>
  <c r="K24" i="20"/>
  <c r="L23" i="20"/>
  <c r="K23" i="20"/>
  <c r="L22" i="20"/>
  <c r="K22" i="20"/>
  <c r="L21" i="20"/>
  <c r="K21" i="20"/>
  <c r="L20" i="20"/>
  <c r="K20" i="20"/>
  <c r="L19" i="20"/>
  <c r="K19" i="20"/>
  <c r="L18" i="20"/>
  <c r="K18" i="20"/>
  <c r="L17" i="20"/>
  <c r="K17" i="20"/>
  <c r="L16" i="20"/>
  <c r="K16" i="20"/>
  <c r="L15" i="20"/>
  <c r="K15" i="20"/>
  <c r="L14" i="20"/>
  <c r="K14" i="20"/>
  <c r="L13" i="20"/>
  <c r="K13" i="20"/>
  <c r="L12" i="20"/>
  <c r="K12" i="20"/>
  <c r="L11" i="20"/>
  <c r="K11" i="20"/>
  <c r="L10" i="20"/>
  <c r="K10" i="20"/>
  <c r="L9" i="20"/>
  <c r="K9" i="20"/>
  <c r="L8" i="20"/>
  <c r="K8" i="20"/>
  <c r="L7" i="20"/>
  <c r="K7" i="20"/>
  <c r="L6" i="20"/>
  <c r="K6" i="20"/>
  <c r="Y123" i="19"/>
  <c r="X38" i="19"/>
  <c r="Z38" i="19" s="1"/>
  <c r="X37" i="19"/>
  <c r="Z37" i="19" s="1"/>
  <c r="X36" i="19"/>
  <c r="Z36" i="19" s="1"/>
  <c r="X60" i="19"/>
  <c r="Z60" i="19" s="1"/>
  <c r="X72" i="19"/>
  <c r="Z72" i="19" s="1"/>
  <c r="X70" i="19"/>
  <c r="Z70" i="19" s="1"/>
  <c r="X26" i="19"/>
  <c r="Z26" i="19" s="1"/>
  <c r="X76" i="19"/>
  <c r="Z76" i="19" s="1"/>
  <c r="X20" i="19"/>
  <c r="Z20" i="19" s="1"/>
  <c r="X73" i="19"/>
  <c r="Z73" i="19" s="1"/>
  <c r="X11" i="19"/>
  <c r="X23" i="19"/>
  <c r="Z23" i="19" s="1"/>
  <c r="W123" i="19"/>
  <c r="Y126" i="19"/>
  <c r="Y125" i="19"/>
  <c r="W59" i="19"/>
  <c r="Y59" i="19" s="1"/>
  <c r="W9" i="19"/>
  <c r="Y9" i="19" s="1"/>
  <c r="W7" i="19"/>
  <c r="Y7" i="19" s="1"/>
  <c r="W19" i="19"/>
  <c r="Y19" i="19" s="1"/>
  <c r="W21" i="19"/>
  <c r="Y21" i="19" s="1"/>
  <c r="W28" i="19"/>
  <c r="Y28" i="19" s="1"/>
  <c r="W27" i="19"/>
  <c r="Y27" i="19" s="1"/>
  <c r="W22" i="19"/>
  <c r="Y22" i="19" s="1"/>
  <c r="W25" i="19"/>
  <c r="Y25" i="19" s="1"/>
  <c r="W75" i="19"/>
  <c r="Y75" i="19" s="1"/>
  <c r="W79" i="19"/>
  <c r="Y79" i="19" s="1"/>
  <c r="X80" i="19"/>
  <c r="Z80" i="19" s="1"/>
  <c r="W80" i="19"/>
  <c r="Y80" i="19" s="1"/>
  <c r="W81" i="19"/>
  <c r="Y81" i="19" s="1"/>
  <c r="W82" i="19"/>
  <c r="Y82" i="19" s="1"/>
  <c r="W39" i="19"/>
  <c r="Y39" i="19" s="1"/>
  <c r="W126" i="19"/>
  <c r="W125" i="19"/>
  <c r="W16" i="19"/>
  <c r="Y16" i="19" s="1"/>
  <c r="AD133" i="19"/>
  <c r="AC133" i="19"/>
  <c r="AC134" i="19" s="1"/>
  <c r="AB133" i="19"/>
  <c r="AA133" i="19"/>
  <c r="AA134" i="19" s="1"/>
  <c r="Z133" i="19"/>
  <c r="X133" i="19"/>
  <c r="V133" i="19"/>
  <c r="U133" i="19"/>
  <c r="U134" i="19" s="1"/>
  <c r="T133" i="19"/>
  <c r="S133" i="19"/>
  <c r="S134" i="19" s="1"/>
  <c r="R133" i="19"/>
  <c r="Q133" i="19"/>
  <c r="Q134" i="19" s="1"/>
  <c r="H133" i="19"/>
  <c r="G133" i="19"/>
  <c r="X99" i="19"/>
  <c r="X98" i="19"/>
  <c r="T97" i="19"/>
  <c r="O97" i="19"/>
  <c r="AD87" i="19"/>
  <c r="AC87" i="19"/>
  <c r="AB87" i="19"/>
  <c r="AA87" i="19"/>
  <c r="V87" i="19"/>
  <c r="AA92" i="19" s="1"/>
  <c r="U87" i="19"/>
  <c r="AA91" i="19" s="1"/>
  <c r="T87" i="19"/>
  <c r="S87" i="19"/>
  <c r="R87" i="19"/>
  <c r="Q87" i="19"/>
  <c r="H87" i="19"/>
  <c r="S92" i="19" s="1"/>
  <c r="G87" i="19"/>
  <c r="N91" i="19" s="1"/>
  <c r="L86" i="19"/>
  <c r="K86" i="19"/>
  <c r="L85" i="19"/>
  <c r="K85" i="19"/>
  <c r="L83" i="19"/>
  <c r="K83" i="19"/>
  <c r="L82" i="19"/>
  <c r="K82" i="19"/>
  <c r="L81" i="19"/>
  <c r="K81" i="19"/>
  <c r="L80" i="19"/>
  <c r="K80" i="19"/>
  <c r="L79" i="19"/>
  <c r="L78" i="19"/>
  <c r="K78" i="19"/>
  <c r="L77" i="19"/>
  <c r="K77" i="19"/>
  <c r="L76" i="19"/>
  <c r="K76" i="19"/>
  <c r="L75" i="19"/>
  <c r="K75" i="19"/>
  <c r="L74" i="19"/>
  <c r="K74" i="19"/>
  <c r="L73" i="19"/>
  <c r="K73" i="19"/>
  <c r="L72" i="19"/>
  <c r="K72" i="19"/>
  <c r="L71" i="19"/>
  <c r="K71" i="19"/>
  <c r="L70" i="19"/>
  <c r="K70" i="19"/>
  <c r="L69" i="19"/>
  <c r="K69" i="19"/>
  <c r="L68" i="19"/>
  <c r="K68" i="19"/>
  <c r="L67" i="19"/>
  <c r="K67" i="19"/>
  <c r="L66" i="19"/>
  <c r="K66" i="19"/>
  <c r="L65" i="19"/>
  <c r="K65" i="19"/>
  <c r="L64" i="19"/>
  <c r="K64" i="19"/>
  <c r="L63" i="19"/>
  <c r="K63" i="19"/>
  <c r="L62" i="19"/>
  <c r="K62" i="19"/>
  <c r="L61" i="19"/>
  <c r="K61" i="19"/>
  <c r="L60" i="19"/>
  <c r="K60" i="19"/>
  <c r="L59" i="19"/>
  <c r="K59" i="19"/>
  <c r="L58" i="19"/>
  <c r="K58" i="19"/>
  <c r="L57" i="19"/>
  <c r="K57" i="19"/>
  <c r="L55" i="19"/>
  <c r="K55" i="19"/>
  <c r="L54" i="19"/>
  <c r="K54" i="19"/>
  <c r="L53" i="19"/>
  <c r="K53" i="19"/>
  <c r="L52" i="19"/>
  <c r="K52" i="19"/>
  <c r="L51" i="19"/>
  <c r="K51" i="19"/>
  <c r="L50" i="19"/>
  <c r="K50" i="19"/>
  <c r="L49" i="19"/>
  <c r="K49" i="19"/>
  <c r="L48" i="19"/>
  <c r="K48" i="19"/>
  <c r="L47" i="19"/>
  <c r="K47" i="19"/>
  <c r="L46" i="19"/>
  <c r="K46" i="19"/>
  <c r="L45" i="19"/>
  <c r="K45" i="19"/>
  <c r="L44" i="19"/>
  <c r="K44" i="19"/>
  <c r="L43" i="19"/>
  <c r="K43" i="19"/>
  <c r="L42" i="19"/>
  <c r="K42" i="19"/>
  <c r="L41" i="19"/>
  <c r="K41" i="19"/>
  <c r="L40" i="19"/>
  <c r="K40" i="19"/>
  <c r="L39" i="19"/>
  <c r="K39" i="19"/>
  <c r="L38" i="19"/>
  <c r="K38" i="19"/>
  <c r="L37" i="19"/>
  <c r="K37" i="19"/>
  <c r="L36" i="19"/>
  <c r="K36" i="19"/>
  <c r="L35" i="19"/>
  <c r="K35" i="19"/>
  <c r="L34" i="19"/>
  <c r="K34" i="19"/>
  <c r="L33" i="19"/>
  <c r="K33" i="19"/>
  <c r="L32" i="19"/>
  <c r="K32" i="19"/>
  <c r="L31" i="19"/>
  <c r="K31" i="19"/>
  <c r="L30" i="19"/>
  <c r="K30" i="19"/>
  <c r="L29" i="19"/>
  <c r="K29" i="19"/>
  <c r="L28" i="19"/>
  <c r="K28" i="19"/>
  <c r="L27" i="19"/>
  <c r="K27" i="19"/>
  <c r="L26" i="19"/>
  <c r="K26" i="19"/>
  <c r="L25" i="19"/>
  <c r="K25" i="19"/>
  <c r="L24" i="19"/>
  <c r="K24" i="19"/>
  <c r="L23" i="19"/>
  <c r="K23" i="19"/>
  <c r="L22" i="19"/>
  <c r="K22" i="19"/>
  <c r="L21" i="19"/>
  <c r="K21" i="19"/>
  <c r="L20" i="19"/>
  <c r="K20" i="19"/>
  <c r="L19" i="19"/>
  <c r="K19" i="19"/>
  <c r="L18" i="19"/>
  <c r="K18" i="19"/>
  <c r="L17" i="19"/>
  <c r="K17" i="19"/>
  <c r="L16" i="19"/>
  <c r="K16" i="19"/>
  <c r="L15" i="19"/>
  <c r="K15" i="19"/>
  <c r="L14" i="19"/>
  <c r="K14" i="19"/>
  <c r="L13" i="19"/>
  <c r="K13" i="19"/>
  <c r="L12" i="19"/>
  <c r="K12" i="19"/>
  <c r="L11" i="19"/>
  <c r="K11" i="19"/>
  <c r="L10" i="19"/>
  <c r="K10" i="19"/>
  <c r="L9" i="19"/>
  <c r="K9" i="19"/>
  <c r="L8" i="19"/>
  <c r="K8" i="19"/>
  <c r="L7" i="19"/>
  <c r="K7" i="19"/>
  <c r="L6" i="19"/>
  <c r="K6" i="19"/>
  <c r="X54" i="18"/>
  <c r="X24" i="18"/>
  <c r="X71" i="18"/>
  <c r="X56" i="18"/>
  <c r="X68" i="18"/>
  <c r="X15" i="18"/>
  <c r="X40" i="18"/>
  <c r="X63" i="18"/>
  <c r="X65" i="18"/>
  <c r="X17" i="18"/>
  <c r="X18" i="18"/>
  <c r="X127" i="18"/>
  <c r="W61" i="18"/>
  <c r="Y61" i="18" s="1"/>
  <c r="W41" i="18"/>
  <c r="Y41" i="18" s="1"/>
  <c r="W55" i="18"/>
  <c r="Y55" i="18" s="1"/>
  <c r="W62" i="18"/>
  <c r="Y62" i="18" s="1"/>
  <c r="W64" i="18"/>
  <c r="Y64" i="18" s="1"/>
  <c r="W6" i="18"/>
  <c r="W126" i="18"/>
  <c r="Y126" i="18" s="1"/>
  <c r="W125" i="18"/>
  <c r="Y125" i="18" s="1"/>
  <c r="W30" i="18"/>
  <c r="Y30" i="18" s="1"/>
  <c r="W29" i="18"/>
  <c r="Y29" i="18" s="1"/>
  <c r="W77" i="18"/>
  <c r="Y77" i="18" s="1"/>
  <c r="W78" i="18"/>
  <c r="Y78" i="18" s="1"/>
  <c r="W21" i="18"/>
  <c r="Y21" i="18" s="1"/>
  <c r="W20" i="18"/>
  <c r="Y20" i="18" s="1"/>
  <c r="X8" i="18"/>
  <c r="Z8" i="18" s="1"/>
  <c r="X12" i="18"/>
  <c r="Z12" i="18" s="1"/>
  <c r="X23" i="18"/>
  <c r="Z23" i="18" s="1"/>
  <c r="X67" i="18"/>
  <c r="Z67" i="18" s="1"/>
  <c r="U134" i="20" l="1"/>
  <c r="U88" i="20" s="1"/>
  <c r="S134" i="20"/>
  <c r="S88" i="20" s="1"/>
  <c r="Q134" i="20"/>
  <c r="Q88" i="20" s="1"/>
  <c r="N90" i="20" s="1"/>
  <c r="X87" i="20"/>
  <c r="AA90" i="20"/>
  <c r="AA88" i="20"/>
  <c r="N92" i="20"/>
  <c r="S92" i="20"/>
  <c r="W87" i="20"/>
  <c r="G88" i="20"/>
  <c r="AC88" i="20"/>
  <c r="W134" i="20"/>
  <c r="Y134" i="20"/>
  <c r="Z87" i="20"/>
  <c r="Y87" i="20"/>
  <c r="AA88" i="19"/>
  <c r="Y133" i="19"/>
  <c r="Y134" i="19" s="1"/>
  <c r="X87" i="19"/>
  <c r="W87" i="19"/>
  <c r="S88" i="19"/>
  <c r="AC88" i="19"/>
  <c r="Q88" i="19"/>
  <c r="N90" i="19" s="1"/>
  <c r="AA90" i="19"/>
  <c r="Y87" i="19"/>
  <c r="U88" i="19"/>
  <c r="W133" i="19"/>
  <c r="W134" i="19" s="1"/>
  <c r="S91" i="19"/>
  <c r="G88" i="19"/>
  <c r="N92" i="19"/>
  <c r="Z87" i="19"/>
  <c r="Y88" i="20" l="1"/>
  <c r="W88" i="20"/>
  <c r="W88" i="19"/>
  <c r="Y88" i="19"/>
  <c r="W76" i="18" l="1"/>
  <c r="Y76" i="18" s="1"/>
  <c r="W11" i="18"/>
  <c r="Y11" i="18" s="1"/>
  <c r="W19" i="18"/>
  <c r="Y19" i="18" s="1"/>
  <c r="W69" i="18"/>
  <c r="Y69" i="18" s="1"/>
  <c r="W72" i="18"/>
  <c r="Y72" i="18" s="1"/>
  <c r="W52" i="18"/>
  <c r="Y52" i="18" s="1"/>
  <c r="AD133" i="18" l="1"/>
  <c r="AC133" i="18"/>
  <c r="AB133" i="18"/>
  <c r="AA133" i="18"/>
  <c r="Z133" i="18"/>
  <c r="Y133" i="18"/>
  <c r="X133" i="18"/>
  <c r="V133" i="18"/>
  <c r="U133" i="18"/>
  <c r="T133" i="18"/>
  <c r="S133" i="18"/>
  <c r="R133" i="18"/>
  <c r="Q133" i="18"/>
  <c r="H133" i="18"/>
  <c r="G133" i="18"/>
  <c r="W133" i="18"/>
  <c r="X99" i="18"/>
  <c r="X98" i="18"/>
  <c r="T97" i="18"/>
  <c r="O97" i="18"/>
  <c r="AD87" i="18"/>
  <c r="AC87" i="18"/>
  <c r="AB87" i="18"/>
  <c r="AA87" i="18"/>
  <c r="Z87" i="18"/>
  <c r="Y87" i="18"/>
  <c r="V87" i="18"/>
  <c r="AA92" i="18" s="1"/>
  <c r="U87" i="18"/>
  <c r="AA91" i="18" s="1"/>
  <c r="T87" i="18"/>
  <c r="S87" i="18"/>
  <c r="R87" i="18"/>
  <c r="Q87" i="18"/>
  <c r="H87" i="18"/>
  <c r="S91" i="18" s="1"/>
  <c r="G87" i="18"/>
  <c r="N91" i="18" s="1"/>
  <c r="X86" i="18"/>
  <c r="X87" i="18" s="1"/>
  <c r="L86" i="18"/>
  <c r="K86" i="18"/>
  <c r="L85" i="18"/>
  <c r="K85" i="18"/>
  <c r="L83" i="18"/>
  <c r="K83" i="18"/>
  <c r="L82" i="18"/>
  <c r="K82" i="18"/>
  <c r="L81" i="18"/>
  <c r="K81" i="18"/>
  <c r="L80" i="18"/>
  <c r="K80" i="18"/>
  <c r="L79" i="18"/>
  <c r="L78" i="18"/>
  <c r="K78" i="18"/>
  <c r="L77" i="18"/>
  <c r="K77" i="18"/>
  <c r="L76" i="18"/>
  <c r="K76" i="18"/>
  <c r="L75" i="18"/>
  <c r="K75" i="18"/>
  <c r="L74" i="18"/>
  <c r="K74" i="18"/>
  <c r="L73" i="18"/>
  <c r="K73" i="18"/>
  <c r="L72" i="18"/>
  <c r="K72" i="18"/>
  <c r="L71" i="18"/>
  <c r="K71" i="18"/>
  <c r="L70" i="18"/>
  <c r="K70" i="18"/>
  <c r="L69" i="18"/>
  <c r="K69" i="18"/>
  <c r="L68" i="18"/>
  <c r="K68" i="18"/>
  <c r="L67" i="18"/>
  <c r="K67" i="18"/>
  <c r="L66" i="18"/>
  <c r="K66" i="18"/>
  <c r="L65" i="18"/>
  <c r="K65" i="18"/>
  <c r="L64" i="18"/>
  <c r="K64" i="18"/>
  <c r="L63" i="18"/>
  <c r="K63" i="18"/>
  <c r="L62" i="18"/>
  <c r="K62" i="18"/>
  <c r="L61" i="18"/>
  <c r="K61" i="18"/>
  <c r="L60" i="18"/>
  <c r="K60" i="18"/>
  <c r="L59" i="18"/>
  <c r="K59" i="18"/>
  <c r="L58" i="18"/>
  <c r="K58" i="18"/>
  <c r="L57" i="18"/>
  <c r="K57" i="18"/>
  <c r="L55" i="18"/>
  <c r="K55" i="18"/>
  <c r="L54" i="18"/>
  <c r="K54" i="18"/>
  <c r="L53" i="18"/>
  <c r="K53" i="18"/>
  <c r="L52" i="18"/>
  <c r="K52" i="18"/>
  <c r="L51" i="18"/>
  <c r="K51" i="18"/>
  <c r="L50" i="18"/>
  <c r="K50" i="18"/>
  <c r="L49" i="18"/>
  <c r="K49" i="18"/>
  <c r="L48" i="18"/>
  <c r="K48" i="18"/>
  <c r="L47" i="18"/>
  <c r="K47" i="18"/>
  <c r="L46" i="18"/>
  <c r="K46" i="18"/>
  <c r="L45" i="18"/>
  <c r="K45" i="18"/>
  <c r="L44" i="18"/>
  <c r="K44" i="18"/>
  <c r="L43" i="18"/>
  <c r="K43" i="18"/>
  <c r="L42" i="18"/>
  <c r="K42" i="18"/>
  <c r="L41" i="18"/>
  <c r="K41" i="18"/>
  <c r="L40" i="18"/>
  <c r="K40" i="18"/>
  <c r="L39" i="18"/>
  <c r="K39" i="18"/>
  <c r="L38" i="18"/>
  <c r="K38" i="18"/>
  <c r="L37" i="18"/>
  <c r="K37" i="18"/>
  <c r="L36" i="18"/>
  <c r="K36" i="18"/>
  <c r="L35" i="18"/>
  <c r="K35" i="18"/>
  <c r="L34" i="18"/>
  <c r="K34" i="18"/>
  <c r="L33" i="18"/>
  <c r="K33" i="18"/>
  <c r="L32" i="18"/>
  <c r="K32" i="18"/>
  <c r="L31" i="18"/>
  <c r="K31" i="18"/>
  <c r="L30" i="18"/>
  <c r="K30" i="18"/>
  <c r="L29" i="18"/>
  <c r="K29" i="18"/>
  <c r="L28" i="18"/>
  <c r="K28" i="18"/>
  <c r="L27" i="18"/>
  <c r="K27" i="18"/>
  <c r="L26" i="18"/>
  <c r="K26" i="18"/>
  <c r="L25" i="18"/>
  <c r="K25" i="18"/>
  <c r="L24" i="18"/>
  <c r="K24" i="18"/>
  <c r="L23" i="18"/>
  <c r="K23" i="18"/>
  <c r="L22" i="18"/>
  <c r="K22" i="18"/>
  <c r="L21" i="18"/>
  <c r="K21" i="18"/>
  <c r="L20" i="18"/>
  <c r="K20" i="18"/>
  <c r="L19" i="18"/>
  <c r="K19" i="18"/>
  <c r="L18" i="18"/>
  <c r="K18" i="18"/>
  <c r="L17" i="18"/>
  <c r="K17" i="18"/>
  <c r="L16" i="18"/>
  <c r="K16" i="18"/>
  <c r="L15" i="18"/>
  <c r="K15" i="18"/>
  <c r="L14" i="18"/>
  <c r="K14" i="18"/>
  <c r="L13" i="18"/>
  <c r="K13" i="18"/>
  <c r="L12" i="18"/>
  <c r="K12" i="18"/>
  <c r="L11" i="18"/>
  <c r="K11" i="18"/>
  <c r="L10" i="18"/>
  <c r="K10" i="18"/>
  <c r="L9" i="18"/>
  <c r="K9" i="18"/>
  <c r="L8" i="18"/>
  <c r="K8" i="18"/>
  <c r="W87" i="18"/>
  <c r="L7" i="18"/>
  <c r="K7" i="18"/>
  <c r="L6" i="18"/>
  <c r="K6" i="18"/>
  <c r="AA88" i="13"/>
  <c r="AA88" i="14"/>
  <c r="R87" i="17"/>
  <c r="X86" i="17"/>
  <c r="X38" i="17"/>
  <c r="X37" i="17"/>
  <c r="X70" i="17"/>
  <c r="X73" i="17"/>
  <c r="X58" i="17"/>
  <c r="X65" i="17"/>
  <c r="W59" i="17"/>
  <c r="W16" i="17"/>
  <c r="W60" i="17"/>
  <c r="W63" i="17"/>
  <c r="W71" i="17"/>
  <c r="W26" i="17"/>
  <c r="AA134" i="18" l="1"/>
  <c r="Y134" i="18"/>
  <c r="U134" i="18"/>
  <c r="AA88" i="18"/>
  <c r="U88" i="18"/>
  <c r="AC134" i="18"/>
  <c r="AC88" i="18" s="1"/>
  <c r="S134" i="18"/>
  <c r="S88" i="18" s="1"/>
  <c r="W134" i="18"/>
  <c r="Q134" i="18"/>
  <c r="Q88" i="18" s="1"/>
  <c r="N90" i="18" s="1"/>
  <c r="AA90" i="18"/>
  <c r="Y88" i="18"/>
  <c r="W88" i="18"/>
  <c r="N92" i="18"/>
  <c r="S92" i="18"/>
  <c r="G88" i="18"/>
  <c r="W25" i="17"/>
  <c r="W7" i="17"/>
  <c r="W13" i="17"/>
  <c r="W36" i="17"/>
  <c r="W30" i="17"/>
  <c r="W82" i="17"/>
  <c r="W81" i="17"/>
  <c r="W80" i="17"/>
  <c r="W79" i="17"/>
  <c r="W75" i="17"/>
  <c r="W51" i="17"/>
  <c r="W53" i="17"/>
  <c r="W54" i="17"/>
  <c r="W9" i="17"/>
  <c r="W34" i="17"/>
  <c r="W24" i="17"/>
  <c r="AD133" i="17"/>
  <c r="AC133" i="17"/>
  <c r="AB133" i="17"/>
  <c r="AA133" i="17"/>
  <c r="AA134" i="17" s="1"/>
  <c r="Z133" i="17"/>
  <c r="Y133" i="17"/>
  <c r="V133" i="17"/>
  <c r="U133" i="17"/>
  <c r="U134" i="17" s="1"/>
  <c r="T133" i="17"/>
  <c r="S133" i="17"/>
  <c r="S134" i="17" s="1"/>
  <c r="R133" i="17"/>
  <c r="Q133" i="17"/>
  <c r="Q134" i="17" s="1"/>
  <c r="H133" i="17"/>
  <c r="G133" i="17"/>
  <c r="X133" i="17"/>
  <c r="W123" i="17"/>
  <c r="W133" i="17" s="1"/>
  <c r="X99" i="17"/>
  <c r="X98" i="17"/>
  <c r="O97" i="17"/>
  <c r="AD87" i="17"/>
  <c r="AC87" i="17"/>
  <c r="AC88" i="17" s="1"/>
  <c r="AB87" i="17"/>
  <c r="AA87" i="17"/>
  <c r="AA88" i="17" s="1"/>
  <c r="Z87" i="17"/>
  <c r="Y87" i="17"/>
  <c r="Y88" i="17" s="1"/>
  <c r="V87" i="17"/>
  <c r="AA92" i="17" s="1"/>
  <c r="U87" i="17"/>
  <c r="U88" i="17" s="1"/>
  <c r="T87" i="17"/>
  <c r="S87" i="17"/>
  <c r="S88" i="17" s="1"/>
  <c r="Q87" i="17"/>
  <c r="Q88" i="17" s="1"/>
  <c r="H87" i="17"/>
  <c r="S91" i="17" s="1"/>
  <c r="G87" i="17"/>
  <c r="N91" i="17" s="1"/>
  <c r="L86" i="17"/>
  <c r="K86" i="17"/>
  <c r="L85" i="17"/>
  <c r="K85" i="17"/>
  <c r="L83" i="17"/>
  <c r="K83" i="17"/>
  <c r="L82" i="17"/>
  <c r="K82" i="17"/>
  <c r="L81" i="17"/>
  <c r="K81" i="17"/>
  <c r="L80" i="17"/>
  <c r="K80" i="17"/>
  <c r="L79" i="17"/>
  <c r="L78" i="17"/>
  <c r="K78" i="17"/>
  <c r="L77" i="17"/>
  <c r="K77" i="17"/>
  <c r="L76" i="17"/>
  <c r="K76" i="17"/>
  <c r="L75" i="17"/>
  <c r="K75" i="17"/>
  <c r="L74" i="17"/>
  <c r="K74" i="17"/>
  <c r="L73" i="17"/>
  <c r="K73" i="17"/>
  <c r="L72" i="17"/>
  <c r="K72" i="17"/>
  <c r="L71" i="17"/>
  <c r="K71" i="17"/>
  <c r="L70" i="17"/>
  <c r="K70" i="17"/>
  <c r="L69" i="17"/>
  <c r="K69" i="17"/>
  <c r="L68" i="17"/>
  <c r="K68" i="17"/>
  <c r="L67" i="17"/>
  <c r="K67" i="17"/>
  <c r="L66" i="17"/>
  <c r="K66" i="17"/>
  <c r="L65" i="17"/>
  <c r="K65" i="17"/>
  <c r="L64" i="17"/>
  <c r="K64" i="17"/>
  <c r="L63" i="17"/>
  <c r="K63" i="17"/>
  <c r="L62" i="17"/>
  <c r="K62" i="17"/>
  <c r="L61" i="17"/>
  <c r="K61" i="17"/>
  <c r="L60" i="17"/>
  <c r="K60" i="17"/>
  <c r="L59" i="17"/>
  <c r="K59" i="17"/>
  <c r="L58" i="17"/>
  <c r="K58" i="17"/>
  <c r="L57" i="17"/>
  <c r="K57" i="17"/>
  <c r="L55" i="17"/>
  <c r="K55" i="17"/>
  <c r="L54" i="17"/>
  <c r="K54" i="17"/>
  <c r="L53" i="17"/>
  <c r="K53" i="17"/>
  <c r="L52" i="17"/>
  <c r="K52" i="17"/>
  <c r="L51" i="17"/>
  <c r="K51" i="17"/>
  <c r="L50" i="17"/>
  <c r="K50" i="17"/>
  <c r="L49" i="17"/>
  <c r="K49" i="17"/>
  <c r="L48" i="17"/>
  <c r="K48" i="17"/>
  <c r="L47" i="17"/>
  <c r="K47" i="17"/>
  <c r="L46" i="17"/>
  <c r="K46" i="17"/>
  <c r="L45" i="17"/>
  <c r="K45" i="17"/>
  <c r="L44" i="17"/>
  <c r="K44" i="17"/>
  <c r="L43" i="17"/>
  <c r="K43" i="17"/>
  <c r="L42" i="17"/>
  <c r="K42" i="17"/>
  <c r="L41" i="17"/>
  <c r="K41" i="17"/>
  <c r="L40" i="17"/>
  <c r="K40" i="17"/>
  <c r="L39" i="17"/>
  <c r="K39" i="17"/>
  <c r="L38" i="17"/>
  <c r="K38" i="17"/>
  <c r="L37" i="17"/>
  <c r="K37" i="17"/>
  <c r="L36" i="17"/>
  <c r="K36" i="17"/>
  <c r="L35" i="17"/>
  <c r="K35" i="17"/>
  <c r="L34" i="17"/>
  <c r="K34" i="17"/>
  <c r="L33" i="17"/>
  <c r="K33" i="17"/>
  <c r="L32" i="17"/>
  <c r="K32" i="17"/>
  <c r="L31" i="17"/>
  <c r="K31" i="17"/>
  <c r="L30" i="17"/>
  <c r="K30" i="17"/>
  <c r="L29" i="17"/>
  <c r="K29" i="17"/>
  <c r="L28" i="17"/>
  <c r="K28" i="17"/>
  <c r="L27" i="17"/>
  <c r="K27" i="17"/>
  <c r="L26" i="17"/>
  <c r="K26" i="17"/>
  <c r="L25" i="17"/>
  <c r="K25" i="17"/>
  <c r="L24" i="17"/>
  <c r="K24" i="17"/>
  <c r="L23" i="17"/>
  <c r="K23" i="17"/>
  <c r="L22" i="17"/>
  <c r="K22" i="17"/>
  <c r="L21" i="17"/>
  <c r="K21" i="17"/>
  <c r="L20" i="17"/>
  <c r="K20" i="17"/>
  <c r="L19" i="17"/>
  <c r="K19" i="17"/>
  <c r="L18" i="17"/>
  <c r="K18" i="17"/>
  <c r="L17" i="17"/>
  <c r="K17" i="17"/>
  <c r="L16" i="17"/>
  <c r="K16" i="17"/>
  <c r="L15" i="17"/>
  <c r="K15" i="17"/>
  <c r="L14" i="17"/>
  <c r="K14" i="17"/>
  <c r="L13" i="17"/>
  <c r="K13" i="17"/>
  <c r="L12" i="17"/>
  <c r="K12" i="17"/>
  <c r="L11" i="17"/>
  <c r="K11" i="17"/>
  <c r="L10" i="17"/>
  <c r="K10" i="17"/>
  <c r="L9" i="17"/>
  <c r="K9" i="17"/>
  <c r="L8" i="17"/>
  <c r="K8" i="17"/>
  <c r="L7" i="17"/>
  <c r="K7" i="17"/>
  <c r="L6" i="17"/>
  <c r="K6" i="17"/>
  <c r="G6" i="15" a="1"/>
  <c r="G6" i="15" s="1"/>
  <c r="G9" i="15"/>
  <c r="G10" i="15"/>
  <c r="G11" i="15"/>
  <c r="G12" i="15"/>
  <c r="G13" i="15"/>
  <c r="G14" i="15"/>
  <c r="G15" i="15"/>
  <c r="G16" i="15"/>
  <c r="G17" i="15"/>
  <c r="G21" i="15"/>
  <c r="G22" i="15"/>
  <c r="G23" i="15"/>
  <c r="G24" i="15"/>
  <c r="G25" i="15"/>
  <c r="G26" i="15"/>
  <c r="G27" i="15"/>
  <c r="G28" i="15"/>
  <c r="G29" i="15"/>
  <c r="G33" i="15"/>
  <c r="G34" i="15"/>
  <c r="G35" i="15"/>
  <c r="G36" i="15"/>
  <c r="G37" i="15"/>
  <c r="G38" i="15"/>
  <c r="G39" i="15"/>
  <c r="G40" i="15"/>
  <c r="G41" i="15"/>
  <c r="G45" i="15"/>
  <c r="G46" i="15"/>
  <c r="G47" i="15"/>
  <c r="G48" i="15"/>
  <c r="G49" i="15"/>
  <c r="G50" i="15"/>
  <c r="G51" i="15"/>
  <c r="G52" i="15"/>
  <c r="G53" i="15"/>
  <c r="G57" i="15"/>
  <c r="G58" i="15"/>
  <c r="G59" i="15"/>
  <c r="G60" i="15"/>
  <c r="G61" i="15"/>
  <c r="G62" i="15"/>
  <c r="G63" i="15"/>
  <c r="G64" i="15"/>
  <c r="G65" i="15"/>
  <c r="G69" i="15"/>
  <c r="G70" i="15"/>
  <c r="G71" i="15"/>
  <c r="G72" i="15"/>
  <c r="G73" i="15"/>
  <c r="G74" i="15"/>
  <c r="G75" i="15"/>
  <c r="G76" i="15"/>
  <c r="G77" i="15"/>
  <c r="G81" i="15"/>
  <c r="G82" i="15"/>
  <c r="G83" i="15"/>
  <c r="G84" i="15"/>
  <c r="G85" i="15"/>
  <c r="AC134" i="17" l="1"/>
  <c r="Y134" i="17"/>
  <c r="N92" i="17"/>
  <c r="AA91" i="17"/>
  <c r="AA90" i="17" s="1"/>
  <c r="W87" i="17"/>
  <c r="X87" i="17"/>
  <c r="G88" i="17"/>
  <c r="N90" i="17"/>
  <c r="W134" i="17"/>
  <c r="G80" i="15"/>
  <c r="G68" i="15"/>
  <c r="G56" i="15"/>
  <c r="G44" i="15"/>
  <c r="G32" i="15"/>
  <c r="G20" i="15"/>
  <c r="G8" i="15"/>
  <c r="G79" i="15"/>
  <c r="G67" i="15"/>
  <c r="G55" i="15"/>
  <c r="G43" i="15"/>
  <c r="G31" i="15"/>
  <c r="G19" i="15"/>
  <c r="G7" i="15"/>
  <c r="G78" i="15"/>
  <c r="G66" i="15"/>
  <c r="G54" i="15"/>
  <c r="G42" i="15"/>
  <c r="G30" i="15"/>
  <c r="G18" i="15"/>
  <c r="W88" i="17" l="1"/>
  <c r="X23" i="16"/>
  <c r="X10" i="16"/>
  <c r="X62" i="16"/>
  <c r="X68" i="16"/>
  <c r="X60" i="16"/>
  <c r="X70" i="16"/>
  <c r="X61" i="16"/>
  <c r="X65" i="16"/>
  <c r="X63" i="16"/>
  <c r="X64" i="16"/>
  <c r="X59" i="16"/>
  <c r="X17" i="16"/>
  <c r="X18" i="16"/>
  <c r="X77" i="16"/>
  <c r="X78" i="16"/>
  <c r="X22" i="16"/>
  <c r="X139" i="16"/>
  <c r="X143" i="16"/>
  <c r="X142" i="16"/>
  <c r="X42" i="16"/>
  <c r="X24" i="16"/>
  <c r="W13" i="16"/>
  <c r="W11" i="16"/>
  <c r="W15" i="16"/>
  <c r="W16" i="16"/>
  <c r="W67" i="16"/>
  <c r="W6" i="16"/>
  <c r="W69" i="16"/>
  <c r="W71" i="16"/>
  <c r="W73" i="16"/>
  <c r="X26" i="16"/>
  <c r="W26" i="16"/>
  <c r="W39" i="16"/>
  <c r="W40" i="16"/>
  <c r="W43" i="16"/>
  <c r="W51" i="16"/>
  <c r="W44" i="16"/>
  <c r="W53" i="16"/>
  <c r="W52" i="16"/>
  <c r="W56" i="16"/>
  <c r="W55" i="16"/>
  <c r="W139" i="16"/>
  <c r="W142" i="16"/>
  <c r="X88" i="15"/>
  <c r="L88" i="15"/>
  <c r="K88" i="15"/>
  <c r="L24" i="15" l="1"/>
  <c r="K84" i="15"/>
  <c r="W8" i="16"/>
  <c r="W58" i="16"/>
  <c r="W141" i="16"/>
  <c r="W81" i="16"/>
  <c r="W20" i="16"/>
  <c r="W21" i="16"/>
  <c r="W27" i="16"/>
  <c r="W28" i="16"/>
  <c r="W29" i="16"/>
  <c r="W75" i="16"/>
  <c r="W76" i="16"/>
  <c r="X85" i="15"/>
  <c r="X86" i="15"/>
  <c r="AD149" i="16"/>
  <c r="AC149" i="16"/>
  <c r="AB149" i="16"/>
  <c r="AA149" i="16"/>
  <c r="AA150" i="16" s="1"/>
  <c r="Z149" i="16"/>
  <c r="X149" i="16"/>
  <c r="V149" i="16"/>
  <c r="U149" i="16"/>
  <c r="T149" i="16"/>
  <c r="S149" i="16"/>
  <c r="R149" i="16"/>
  <c r="Q149" i="16"/>
  <c r="H149" i="16"/>
  <c r="G149" i="16"/>
  <c r="Y149" i="16"/>
  <c r="AD133" i="16"/>
  <c r="AC134" i="16" s="1"/>
  <c r="AB133" i="16"/>
  <c r="AA133" i="16"/>
  <c r="AA134" i="16" s="1"/>
  <c r="Z133" i="16"/>
  <c r="Y133" i="16"/>
  <c r="Y134" i="16" s="1"/>
  <c r="X133" i="16"/>
  <c r="W133" i="16"/>
  <c r="W134" i="16" s="1"/>
  <c r="V133" i="16"/>
  <c r="U133" i="16"/>
  <c r="T133" i="16"/>
  <c r="S133" i="16"/>
  <c r="R133" i="16"/>
  <c r="Q133" i="16"/>
  <c r="H133" i="16"/>
  <c r="G133" i="16"/>
  <c r="X99" i="16"/>
  <c r="X98" i="16"/>
  <c r="T97" i="16"/>
  <c r="O97" i="16"/>
  <c r="AD87" i="16"/>
  <c r="AC87" i="16"/>
  <c r="AB87" i="16"/>
  <c r="AA87" i="16"/>
  <c r="V87" i="16"/>
  <c r="AA92" i="16" s="1"/>
  <c r="U87" i="16"/>
  <c r="AA91" i="16" s="1"/>
  <c r="T87" i="16"/>
  <c r="S87" i="16"/>
  <c r="R87" i="16"/>
  <c r="Q87" i="16"/>
  <c r="H87" i="16"/>
  <c r="S92" i="16" s="1"/>
  <c r="G87" i="16"/>
  <c r="N92" i="16" s="1"/>
  <c r="L86" i="16"/>
  <c r="K86" i="16"/>
  <c r="L85" i="16"/>
  <c r="K85" i="16"/>
  <c r="L83" i="16"/>
  <c r="K83" i="16"/>
  <c r="L82" i="16"/>
  <c r="K82" i="16"/>
  <c r="L81" i="16"/>
  <c r="K81" i="16"/>
  <c r="L80" i="16"/>
  <c r="K80" i="16"/>
  <c r="L79" i="16"/>
  <c r="L78" i="16"/>
  <c r="K78" i="16"/>
  <c r="L77" i="16"/>
  <c r="K77" i="16"/>
  <c r="L76" i="16"/>
  <c r="K76" i="16"/>
  <c r="L75" i="16"/>
  <c r="K75" i="16"/>
  <c r="L74" i="16"/>
  <c r="K74" i="16"/>
  <c r="L73" i="16"/>
  <c r="K73" i="16"/>
  <c r="L72" i="16"/>
  <c r="K72" i="16"/>
  <c r="L71" i="16"/>
  <c r="K71" i="16"/>
  <c r="L70" i="16"/>
  <c r="K70" i="16"/>
  <c r="L69" i="16"/>
  <c r="K69" i="16"/>
  <c r="L68" i="16"/>
  <c r="K68" i="16"/>
  <c r="L67" i="16"/>
  <c r="K67" i="16"/>
  <c r="L66" i="16"/>
  <c r="K66" i="16"/>
  <c r="L65" i="16"/>
  <c r="K65" i="16"/>
  <c r="L64" i="16"/>
  <c r="K64" i="16"/>
  <c r="L63" i="16"/>
  <c r="K63" i="16"/>
  <c r="L62" i="16"/>
  <c r="K62" i="16"/>
  <c r="L61" i="16"/>
  <c r="K61" i="16"/>
  <c r="L60" i="16"/>
  <c r="K60" i="16"/>
  <c r="L59" i="16"/>
  <c r="K59" i="16"/>
  <c r="L58" i="16"/>
  <c r="K58" i="16"/>
  <c r="L57" i="16"/>
  <c r="K57" i="16"/>
  <c r="L55" i="16"/>
  <c r="K55" i="16"/>
  <c r="L54" i="16"/>
  <c r="K54" i="16"/>
  <c r="L53" i="16"/>
  <c r="K53" i="16"/>
  <c r="L52" i="16"/>
  <c r="K52" i="16"/>
  <c r="L51" i="16"/>
  <c r="K51" i="16"/>
  <c r="L50" i="16"/>
  <c r="K50" i="16"/>
  <c r="L49" i="16"/>
  <c r="K49" i="16"/>
  <c r="L48" i="16"/>
  <c r="K48" i="16"/>
  <c r="L47" i="16"/>
  <c r="K47" i="16"/>
  <c r="L46" i="16"/>
  <c r="K46" i="16"/>
  <c r="L45" i="16"/>
  <c r="K45" i="16"/>
  <c r="L44" i="16"/>
  <c r="K44" i="16"/>
  <c r="L43" i="16"/>
  <c r="K43" i="16"/>
  <c r="L42" i="16"/>
  <c r="K42" i="16"/>
  <c r="L41" i="16"/>
  <c r="K41" i="16"/>
  <c r="L40" i="16"/>
  <c r="K40" i="16"/>
  <c r="L39" i="16"/>
  <c r="K39" i="16"/>
  <c r="L38" i="16"/>
  <c r="K38" i="16"/>
  <c r="L37" i="16"/>
  <c r="K37" i="16"/>
  <c r="L36" i="16"/>
  <c r="K36" i="16"/>
  <c r="L35" i="16"/>
  <c r="K35" i="16"/>
  <c r="L34" i="16"/>
  <c r="K34" i="16"/>
  <c r="L33" i="16"/>
  <c r="K33" i="16"/>
  <c r="L32" i="16"/>
  <c r="K32" i="16"/>
  <c r="L31" i="16"/>
  <c r="K31" i="16"/>
  <c r="L30" i="16"/>
  <c r="K30" i="16"/>
  <c r="Z87" i="16"/>
  <c r="L29" i="16"/>
  <c r="K29" i="16"/>
  <c r="L28" i="16"/>
  <c r="K28" i="16"/>
  <c r="L27" i="16"/>
  <c r="K27" i="16"/>
  <c r="L26" i="16"/>
  <c r="K26" i="16"/>
  <c r="L25" i="16"/>
  <c r="K25" i="16"/>
  <c r="L24" i="16"/>
  <c r="K24" i="16"/>
  <c r="L23" i="16"/>
  <c r="K23" i="16"/>
  <c r="L22" i="16"/>
  <c r="K22" i="16"/>
  <c r="L21" i="16"/>
  <c r="K21" i="16"/>
  <c r="L20" i="16"/>
  <c r="K20" i="16"/>
  <c r="L19" i="16"/>
  <c r="K19" i="16"/>
  <c r="L18" i="16"/>
  <c r="K18" i="16"/>
  <c r="X87" i="16"/>
  <c r="L17" i="16"/>
  <c r="K17" i="16"/>
  <c r="L16" i="16"/>
  <c r="K16" i="16"/>
  <c r="L15" i="16"/>
  <c r="K15" i="16"/>
  <c r="L14" i="16"/>
  <c r="K14" i="16"/>
  <c r="L13" i="16"/>
  <c r="K13" i="16"/>
  <c r="L12" i="16"/>
  <c r="K12" i="16"/>
  <c r="L11" i="16"/>
  <c r="K11" i="16"/>
  <c r="L10" i="16"/>
  <c r="K10" i="16"/>
  <c r="L9" i="16"/>
  <c r="K9" i="16"/>
  <c r="L8" i="16"/>
  <c r="K8" i="16"/>
  <c r="L7" i="16"/>
  <c r="K7" i="16"/>
  <c r="L6" i="16"/>
  <c r="K6" i="16"/>
  <c r="X78" i="15"/>
  <c r="X25" i="15"/>
  <c r="X9" i="15"/>
  <c r="X62" i="15"/>
  <c r="X65" i="15"/>
  <c r="X61" i="15"/>
  <c r="X23" i="15"/>
  <c r="X79" i="15"/>
  <c r="X74" i="15"/>
  <c r="L74" i="15"/>
  <c r="K74" i="15"/>
  <c r="X84" i="15"/>
  <c r="K24" i="15"/>
  <c r="K22" i="15"/>
  <c r="L22" i="15"/>
  <c r="W22" i="15"/>
  <c r="L84" i="15"/>
  <c r="X17" i="15"/>
  <c r="X18" i="15"/>
  <c r="X87" i="15"/>
  <c r="U150" i="16" l="1"/>
  <c r="U88" i="16" s="1"/>
  <c r="S134" i="16"/>
  <c r="AC150" i="16"/>
  <c r="AC88" i="16" s="1"/>
  <c r="AA88" i="16"/>
  <c r="U134" i="16"/>
  <c r="Q150" i="16"/>
  <c r="Q88" i="16" s="1"/>
  <c r="N90" i="16" s="1"/>
  <c r="Q134" i="16"/>
  <c r="AA90" i="16"/>
  <c r="Y150" i="16"/>
  <c r="S150" i="16"/>
  <c r="S88" i="16" s="1"/>
  <c r="Y87" i="16"/>
  <c r="Y88" i="16" s="1"/>
  <c r="W87" i="16"/>
  <c r="W149" i="16"/>
  <c r="W150" i="16" s="1"/>
  <c r="N91" i="16"/>
  <c r="S91" i="16"/>
  <c r="G88" i="16"/>
  <c r="W88" i="16" l="1"/>
  <c r="X69" i="15" l="1"/>
  <c r="Z69" i="15" s="1"/>
  <c r="X20" i="15"/>
  <c r="Z20" i="15" s="1"/>
  <c r="X29" i="15"/>
  <c r="Z29" i="15" s="1"/>
  <c r="X30" i="15"/>
  <c r="Z30" i="15" s="1"/>
  <c r="W8" i="15"/>
  <c r="Y8" i="15" s="1"/>
  <c r="W54" i="15"/>
  <c r="Y54" i="15" s="1"/>
  <c r="W75" i="15"/>
  <c r="Y75" i="15" s="1"/>
  <c r="W53" i="15"/>
  <c r="Y53" i="15" s="1"/>
  <c r="W144" i="15"/>
  <c r="Y144" i="15" s="1"/>
  <c r="W41" i="15"/>
  <c r="Y41" i="15" s="1"/>
  <c r="W7" i="15"/>
  <c r="Y7" i="15" s="1"/>
  <c r="W6" i="15"/>
  <c r="Y6" i="15" s="1"/>
  <c r="W67" i="15"/>
  <c r="Y67" i="15" s="1"/>
  <c r="W142" i="15"/>
  <c r="W68" i="15"/>
  <c r="Y68" i="15" s="1"/>
  <c r="W146" i="15"/>
  <c r="Y146" i="15" s="1"/>
  <c r="W12" i="15"/>
  <c r="Y12" i="15" s="1"/>
  <c r="W19" i="15"/>
  <c r="Y19" i="15" s="1"/>
  <c r="W27" i="15"/>
  <c r="W28" i="15"/>
  <c r="W72" i="15"/>
  <c r="W71" i="15"/>
  <c r="Y71" i="15" s="1"/>
  <c r="W70" i="15"/>
  <c r="Y70" i="15" s="1"/>
  <c r="W63" i="15"/>
  <c r="Y63" i="15" s="1"/>
  <c r="W59" i="15"/>
  <c r="Y59" i="15" s="1"/>
  <c r="W60" i="15"/>
  <c r="Y60" i="15" s="1"/>
  <c r="W64" i="15"/>
  <c r="Y64" i="15" s="1"/>
  <c r="W21" i="15"/>
  <c r="Y21" i="15" s="1"/>
  <c r="W76" i="15"/>
  <c r="Y76" i="15" s="1"/>
  <c r="W77" i="15"/>
  <c r="Y77" i="15" s="1"/>
  <c r="W79" i="15"/>
  <c r="Y79" i="15" s="1"/>
  <c r="W82" i="15"/>
  <c r="Y82" i="15" s="1"/>
  <c r="W81" i="15"/>
  <c r="Y81" i="15" s="1"/>
  <c r="W80" i="15"/>
  <c r="Y80" i="15" s="1"/>
  <c r="W83" i="15"/>
  <c r="Y83" i="15" s="1"/>
  <c r="AD152" i="15"/>
  <c r="AC152" i="15"/>
  <c r="AB152" i="15"/>
  <c r="AA152" i="15"/>
  <c r="Z152" i="15"/>
  <c r="X152" i="15"/>
  <c r="V152" i="15"/>
  <c r="U152" i="15"/>
  <c r="U153" i="15" s="1"/>
  <c r="T152" i="15"/>
  <c r="S152" i="15"/>
  <c r="R152" i="15"/>
  <c r="Q152" i="15"/>
  <c r="H152" i="15"/>
  <c r="G152" i="15"/>
  <c r="AD136" i="15"/>
  <c r="AC137" i="15" s="1"/>
  <c r="AB136" i="15"/>
  <c r="AA136" i="15"/>
  <c r="Z136" i="15"/>
  <c r="Y136" i="15"/>
  <c r="X136" i="15"/>
  <c r="W136" i="15"/>
  <c r="V136" i="15"/>
  <c r="U136" i="15"/>
  <c r="U137" i="15" s="1"/>
  <c r="T136" i="15"/>
  <c r="S136" i="15"/>
  <c r="R136" i="15"/>
  <c r="Q136" i="15"/>
  <c r="H136" i="15"/>
  <c r="G136" i="15"/>
  <c r="X101" i="15"/>
  <c r="X100" i="15"/>
  <c r="T99" i="15"/>
  <c r="O99" i="15"/>
  <c r="AD89" i="15"/>
  <c r="AC89" i="15"/>
  <c r="AB89" i="15"/>
  <c r="AA89" i="15"/>
  <c r="V89" i="15"/>
  <c r="AA94" i="15" s="1"/>
  <c r="U89" i="15"/>
  <c r="AA93" i="15" s="1"/>
  <c r="T89" i="15"/>
  <c r="S89" i="15"/>
  <c r="R89" i="15"/>
  <c r="Q89" i="15"/>
  <c r="H89" i="15"/>
  <c r="S94" i="15" s="1"/>
  <c r="G89" i="15"/>
  <c r="N94" i="15" s="1"/>
  <c r="L87" i="15"/>
  <c r="K87" i="15"/>
  <c r="L85" i="15"/>
  <c r="K85" i="15"/>
  <c r="L83" i="15"/>
  <c r="K83" i="15"/>
  <c r="L82" i="15"/>
  <c r="K82" i="15"/>
  <c r="L81" i="15"/>
  <c r="K81" i="15"/>
  <c r="L80" i="15"/>
  <c r="L79" i="15"/>
  <c r="K79" i="15"/>
  <c r="L78" i="15"/>
  <c r="K78" i="15"/>
  <c r="L77" i="15"/>
  <c r="K77" i="15"/>
  <c r="L76" i="15"/>
  <c r="K76" i="15"/>
  <c r="L75" i="15"/>
  <c r="K75" i="15"/>
  <c r="L73" i="15"/>
  <c r="K73" i="15"/>
  <c r="L72" i="15"/>
  <c r="K72" i="15"/>
  <c r="L71" i="15"/>
  <c r="K71" i="15"/>
  <c r="L70" i="15"/>
  <c r="K70" i="15"/>
  <c r="L69" i="15"/>
  <c r="K69" i="15"/>
  <c r="L68" i="15"/>
  <c r="K68" i="15"/>
  <c r="L67" i="15"/>
  <c r="K67" i="15"/>
  <c r="L66" i="15"/>
  <c r="K66" i="15"/>
  <c r="L65" i="15"/>
  <c r="K65" i="15"/>
  <c r="L64" i="15"/>
  <c r="K64" i="15"/>
  <c r="L63" i="15"/>
  <c r="K63" i="15"/>
  <c r="L62" i="15"/>
  <c r="K62" i="15"/>
  <c r="L61" i="15"/>
  <c r="K61" i="15"/>
  <c r="L60" i="15"/>
  <c r="K60" i="15"/>
  <c r="L59" i="15"/>
  <c r="K59" i="15"/>
  <c r="L58" i="15"/>
  <c r="K58" i="15"/>
  <c r="L57" i="15"/>
  <c r="K57" i="15"/>
  <c r="L55" i="15"/>
  <c r="K55" i="15"/>
  <c r="L54" i="15"/>
  <c r="K54" i="15"/>
  <c r="L53" i="15"/>
  <c r="K53" i="15"/>
  <c r="L52" i="15"/>
  <c r="K52" i="15"/>
  <c r="L51" i="15"/>
  <c r="K51" i="15"/>
  <c r="L50" i="15"/>
  <c r="K50" i="15"/>
  <c r="L49" i="15"/>
  <c r="K49" i="15"/>
  <c r="L48" i="15"/>
  <c r="K48" i="15"/>
  <c r="L47" i="15"/>
  <c r="K47" i="15"/>
  <c r="L46" i="15"/>
  <c r="K46" i="15"/>
  <c r="L45" i="15"/>
  <c r="K45" i="15"/>
  <c r="L44" i="15"/>
  <c r="K44" i="15"/>
  <c r="L43" i="15"/>
  <c r="K43" i="15"/>
  <c r="L42" i="15"/>
  <c r="K42" i="15"/>
  <c r="L41" i="15"/>
  <c r="K41" i="15"/>
  <c r="L40" i="15"/>
  <c r="K40" i="15"/>
  <c r="L39" i="15"/>
  <c r="K39" i="15"/>
  <c r="L38" i="15"/>
  <c r="K38" i="15"/>
  <c r="L37" i="15"/>
  <c r="K37" i="15"/>
  <c r="L36" i="15"/>
  <c r="K36" i="15"/>
  <c r="L35" i="15"/>
  <c r="K35" i="15"/>
  <c r="L34" i="15"/>
  <c r="K34" i="15"/>
  <c r="L33" i="15"/>
  <c r="K33" i="15"/>
  <c r="L32" i="15"/>
  <c r="K32" i="15"/>
  <c r="L31" i="15"/>
  <c r="K31" i="15"/>
  <c r="L30" i="15"/>
  <c r="K30" i="15"/>
  <c r="L29" i="15"/>
  <c r="K29" i="15"/>
  <c r="L28" i="15"/>
  <c r="K28" i="15"/>
  <c r="L27" i="15"/>
  <c r="K27" i="15"/>
  <c r="L26" i="15"/>
  <c r="K26" i="15"/>
  <c r="L25" i="15"/>
  <c r="K25" i="15"/>
  <c r="L23" i="15"/>
  <c r="K23" i="15"/>
  <c r="L21" i="15"/>
  <c r="K21" i="15"/>
  <c r="L20" i="15"/>
  <c r="K20" i="15"/>
  <c r="L19" i="15"/>
  <c r="K19" i="15"/>
  <c r="L18" i="15"/>
  <c r="K18" i="15"/>
  <c r="L17" i="15"/>
  <c r="K17" i="15"/>
  <c r="L16" i="15"/>
  <c r="K16" i="15"/>
  <c r="L15" i="15"/>
  <c r="K15" i="15"/>
  <c r="L14" i="15"/>
  <c r="K14" i="15"/>
  <c r="L13" i="15"/>
  <c r="K13" i="15"/>
  <c r="L12" i="15"/>
  <c r="K12" i="15"/>
  <c r="L11" i="15"/>
  <c r="K11" i="15"/>
  <c r="L10" i="15"/>
  <c r="K10" i="15"/>
  <c r="L9" i="15"/>
  <c r="K9" i="15"/>
  <c r="L8" i="15"/>
  <c r="K8" i="15"/>
  <c r="L7" i="15"/>
  <c r="K7" i="15"/>
  <c r="L6" i="15"/>
  <c r="K6" i="15"/>
  <c r="Q137" i="15" l="1"/>
  <c r="W137" i="15"/>
  <c r="S137" i="15"/>
  <c r="AC153" i="15"/>
  <c r="AC90" i="15" s="1"/>
  <c r="Y137" i="15"/>
  <c r="AA137" i="15"/>
  <c r="S153" i="15"/>
  <c r="AA153" i="15"/>
  <c r="W152" i="15"/>
  <c r="W153" i="15" s="1"/>
  <c r="Y142" i="15"/>
  <c r="X89" i="15"/>
  <c r="Y152" i="15"/>
  <c r="Y153" i="15" s="1"/>
  <c r="AA92" i="15"/>
  <c r="G90" i="15"/>
  <c r="N93" i="15"/>
  <c r="S93" i="15"/>
  <c r="AA90" i="15"/>
  <c r="Q153" i="15"/>
  <c r="Q90" i="15" s="1"/>
  <c r="N92" i="15" s="1"/>
  <c r="S90" i="15"/>
  <c r="Y89" i="15"/>
  <c r="U90" i="15"/>
  <c r="W89" i="15"/>
  <c r="Z89" i="15"/>
  <c r="W90" i="15" l="1"/>
  <c r="Y90" i="15"/>
  <c r="X16" i="14" l="1"/>
  <c r="Z16" i="14" s="1"/>
  <c r="X23" i="14"/>
  <c r="Q87" i="12"/>
  <c r="R87" i="12"/>
  <c r="O97" i="12"/>
  <c r="Q132" i="12"/>
  <c r="R132" i="12"/>
  <c r="Q133" i="12"/>
  <c r="Q148" i="12"/>
  <c r="Q149" i="12" s="1"/>
  <c r="R148" i="12"/>
  <c r="Q88" i="12" l="1"/>
  <c r="N90" i="12" s="1"/>
  <c r="X26" i="14" l="1"/>
  <c r="Z26" i="14" s="1"/>
  <c r="X71" i="14"/>
  <c r="Z71" i="14" s="1"/>
  <c r="X72" i="14"/>
  <c r="Z72" i="14" s="1"/>
  <c r="W70" i="14"/>
  <c r="Y70" i="14" s="1"/>
  <c r="W69" i="14"/>
  <c r="Y69" i="14" s="1"/>
  <c r="W20" i="14"/>
  <c r="Y20" i="14" s="1"/>
  <c r="W21" i="14"/>
  <c r="Y21" i="14" s="1"/>
  <c r="W6" i="14"/>
  <c r="Y6" i="14" s="1"/>
  <c r="W11" i="14"/>
  <c r="Y11" i="14" s="1"/>
  <c r="W7" i="14"/>
  <c r="Y7" i="14" s="1"/>
  <c r="W63" i="14" l="1"/>
  <c r="W34" i="14"/>
  <c r="W61" i="14"/>
  <c r="W77" i="14"/>
  <c r="W141" i="14"/>
  <c r="W142" i="14"/>
  <c r="W138" i="14"/>
  <c r="W139" i="14"/>
  <c r="W25" i="14"/>
  <c r="W84" i="14"/>
  <c r="W58" i="14"/>
  <c r="W62" i="14"/>
  <c r="W39" i="14"/>
  <c r="W52" i="14"/>
  <c r="W140" i="14"/>
  <c r="W81" i="14"/>
  <c r="W19" i="14"/>
  <c r="Y19" i="14" s="1"/>
  <c r="Y87" i="14" s="1"/>
  <c r="W64" i="14"/>
  <c r="W59" i="14"/>
  <c r="W60" i="14"/>
  <c r="W65" i="14"/>
  <c r="W38" i="14"/>
  <c r="W37" i="14"/>
  <c r="W36" i="14"/>
  <c r="AD148" i="14"/>
  <c r="AC148" i="14"/>
  <c r="AB148" i="14"/>
  <c r="AA148" i="14"/>
  <c r="AA149" i="14" s="1"/>
  <c r="Z148" i="14"/>
  <c r="Y148" i="14"/>
  <c r="Y149" i="14" s="1"/>
  <c r="X148" i="14"/>
  <c r="V148" i="14"/>
  <c r="U148" i="14"/>
  <c r="U149" i="14" s="1"/>
  <c r="T148" i="14"/>
  <c r="S148" i="14"/>
  <c r="R148" i="14"/>
  <c r="Q148" i="14"/>
  <c r="H148" i="14"/>
  <c r="G148" i="14"/>
  <c r="AC133" i="14"/>
  <c r="AA133" i="14"/>
  <c r="Y133" i="14"/>
  <c r="W133" i="14"/>
  <c r="U133" i="14"/>
  <c r="S133" i="14"/>
  <c r="AD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3" i="14" s="1"/>
  <c r="Q132" i="14"/>
  <c r="H132" i="14"/>
  <c r="G132" i="14"/>
  <c r="X99" i="14"/>
  <c r="X98" i="14"/>
  <c r="T97" i="14"/>
  <c r="O97" i="14"/>
  <c r="AD87" i="14"/>
  <c r="AC87" i="14"/>
  <c r="AB87" i="14"/>
  <c r="AA87" i="14"/>
  <c r="Z87" i="14"/>
  <c r="V87" i="14"/>
  <c r="AA92" i="14" s="1"/>
  <c r="U87" i="14"/>
  <c r="AA91" i="14" s="1"/>
  <c r="T87" i="14"/>
  <c r="S87" i="14"/>
  <c r="R87" i="14"/>
  <c r="Q87" i="14"/>
  <c r="H87" i="14"/>
  <c r="S92" i="14" s="1"/>
  <c r="G87" i="14"/>
  <c r="N91" i="14" s="1"/>
  <c r="L86" i="14"/>
  <c r="K86" i="14"/>
  <c r="L85" i="14"/>
  <c r="K85" i="14"/>
  <c r="L83" i="14"/>
  <c r="K83" i="14"/>
  <c r="L82" i="14"/>
  <c r="K82" i="14"/>
  <c r="L81" i="14"/>
  <c r="K81" i="14"/>
  <c r="L80" i="14"/>
  <c r="K80" i="14"/>
  <c r="L79" i="14"/>
  <c r="L78" i="14"/>
  <c r="K78" i="14"/>
  <c r="L77" i="14"/>
  <c r="K77" i="14"/>
  <c r="L76" i="14"/>
  <c r="K76" i="14"/>
  <c r="L75" i="14"/>
  <c r="K75" i="14"/>
  <c r="L74" i="14"/>
  <c r="K74" i="14"/>
  <c r="L73" i="14"/>
  <c r="K73" i="14"/>
  <c r="L72" i="14"/>
  <c r="K72" i="14"/>
  <c r="L71" i="14"/>
  <c r="K71" i="14"/>
  <c r="L70" i="14"/>
  <c r="K70" i="14"/>
  <c r="L69" i="14"/>
  <c r="K69" i="14"/>
  <c r="L68" i="14"/>
  <c r="K68" i="14"/>
  <c r="L67" i="14"/>
  <c r="K67" i="14"/>
  <c r="L66" i="14"/>
  <c r="K66" i="14"/>
  <c r="L65" i="14"/>
  <c r="K65" i="14"/>
  <c r="L64" i="14"/>
  <c r="K64" i="14"/>
  <c r="L63" i="14"/>
  <c r="K63" i="14"/>
  <c r="L62" i="14"/>
  <c r="K62" i="14"/>
  <c r="L61" i="14"/>
  <c r="K61" i="14"/>
  <c r="L60" i="14"/>
  <c r="K60" i="14"/>
  <c r="L59" i="14"/>
  <c r="K59" i="14"/>
  <c r="L58" i="14"/>
  <c r="K58" i="14"/>
  <c r="L57" i="14"/>
  <c r="K57" i="14"/>
  <c r="L55" i="14"/>
  <c r="K55" i="14"/>
  <c r="L54" i="14"/>
  <c r="K54" i="14"/>
  <c r="L53" i="14"/>
  <c r="K53" i="14"/>
  <c r="L52" i="14"/>
  <c r="K52" i="14"/>
  <c r="L51" i="14"/>
  <c r="K51" i="14"/>
  <c r="L50" i="14"/>
  <c r="K50" i="14"/>
  <c r="L49" i="14"/>
  <c r="K49" i="14"/>
  <c r="L48" i="14"/>
  <c r="K48" i="14"/>
  <c r="L47" i="14"/>
  <c r="K47" i="14"/>
  <c r="L46" i="14"/>
  <c r="K46" i="14"/>
  <c r="L45" i="14"/>
  <c r="K45" i="14"/>
  <c r="L44" i="14"/>
  <c r="K44" i="14"/>
  <c r="L43" i="14"/>
  <c r="K43" i="14"/>
  <c r="L42" i="14"/>
  <c r="K42" i="14"/>
  <c r="L41" i="14"/>
  <c r="K41" i="14"/>
  <c r="L40" i="14"/>
  <c r="K40" i="14"/>
  <c r="L39" i="14"/>
  <c r="K39" i="14"/>
  <c r="L38" i="14"/>
  <c r="K38" i="14"/>
  <c r="L37" i="14"/>
  <c r="K37" i="14"/>
  <c r="L36" i="14"/>
  <c r="K36" i="14"/>
  <c r="L35" i="14"/>
  <c r="K35" i="14"/>
  <c r="L34" i="14"/>
  <c r="K34" i="14"/>
  <c r="L33" i="14"/>
  <c r="K33" i="14"/>
  <c r="L32" i="14"/>
  <c r="K32" i="14"/>
  <c r="L31" i="14"/>
  <c r="K31" i="14"/>
  <c r="L30" i="14"/>
  <c r="K30" i="14"/>
  <c r="L29" i="14"/>
  <c r="K29" i="14"/>
  <c r="L28" i="14"/>
  <c r="K28" i="14"/>
  <c r="L27" i="14"/>
  <c r="K27" i="14"/>
  <c r="L26" i="14"/>
  <c r="K26" i="14"/>
  <c r="L25" i="14"/>
  <c r="K25" i="14"/>
  <c r="L24" i="14"/>
  <c r="K24" i="14"/>
  <c r="L23" i="14"/>
  <c r="K23" i="14"/>
  <c r="L22" i="14"/>
  <c r="K22" i="14"/>
  <c r="L21" i="14"/>
  <c r="K21" i="14"/>
  <c r="L20" i="14"/>
  <c r="K20" i="14"/>
  <c r="L19" i="14"/>
  <c r="K19" i="14"/>
  <c r="L18" i="14"/>
  <c r="K18" i="14"/>
  <c r="X87" i="14"/>
  <c r="L17" i="14"/>
  <c r="K17" i="14"/>
  <c r="L16" i="14"/>
  <c r="K16" i="14"/>
  <c r="L15" i="14"/>
  <c r="K15" i="14"/>
  <c r="L14" i="14"/>
  <c r="K14" i="14"/>
  <c r="L13" i="14"/>
  <c r="K13" i="14"/>
  <c r="L12" i="14"/>
  <c r="K12" i="14"/>
  <c r="L11" i="14"/>
  <c r="K11" i="14"/>
  <c r="L10" i="14"/>
  <c r="K10" i="14"/>
  <c r="L9" i="14"/>
  <c r="K9" i="14"/>
  <c r="L8" i="14"/>
  <c r="K8" i="14"/>
  <c r="L7" i="14"/>
  <c r="K7" i="14"/>
  <c r="L6" i="14"/>
  <c r="K6" i="14"/>
  <c r="X17" i="13"/>
  <c r="X18" i="13"/>
  <c r="X27" i="13"/>
  <c r="W148" i="14" l="1"/>
  <c r="W149" i="14" s="1"/>
  <c r="G88" i="14"/>
  <c r="S91" i="14"/>
  <c r="N92" i="14"/>
  <c r="W87" i="14"/>
  <c r="W88" i="14" s="1"/>
  <c r="Y88" i="14"/>
  <c r="U88" i="14"/>
  <c r="Q149" i="14"/>
  <c r="Q88" i="14" s="1"/>
  <c r="N90" i="14" s="1"/>
  <c r="AC149" i="14"/>
  <c r="AC88" i="14" s="1"/>
  <c r="S149" i="14"/>
  <c r="S88" i="14" s="1"/>
  <c r="AA90" i="14"/>
  <c r="W6" i="13" l="1"/>
  <c r="W23" i="13"/>
  <c r="W140" i="13"/>
  <c r="W138" i="13"/>
  <c r="W141" i="13"/>
  <c r="W20" i="13"/>
  <c r="W70" i="13"/>
  <c r="W69" i="13"/>
  <c r="W71" i="13"/>
  <c r="W29" i="13"/>
  <c r="W30" i="13"/>
  <c r="W55" i="13"/>
  <c r="W19" i="13"/>
  <c r="W7" i="13"/>
  <c r="W22" i="13"/>
  <c r="W28" i="13"/>
  <c r="W13" i="13"/>
  <c r="W51" i="13"/>
  <c r="W58" i="13"/>
  <c r="W8" i="13"/>
  <c r="W21" i="13" l="1"/>
  <c r="W79" i="13"/>
  <c r="W80" i="13"/>
  <c r="W82" i="13"/>
  <c r="W76" i="13"/>
  <c r="W75" i="13"/>
  <c r="W77" i="13"/>
  <c r="W78" i="13"/>
  <c r="W39" i="13"/>
  <c r="W62" i="13"/>
  <c r="AD148" i="13"/>
  <c r="AC148" i="13"/>
  <c r="AC149" i="13" s="1"/>
  <c r="AB148" i="13"/>
  <c r="AA148" i="13"/>
  <c r="AA149" i="13" s="1"/>
  <c r="Z148" i="13"/>
  <c r="X148" i="13"/>
  <c r="V148" i="13"/>
  <c r="U148" i="13"/>
  <c r="U149" i="13" s="1"/>
  <c r="T148" i="13"/>
  <c r="S148" i="13"/>
  <c r="S149" i="13" s="1"/>
  <c r="R148" i="13"/>
  <c r="Q148" i="13"/>
  <c r="H148" i="13"/>
  <c r="G148" i="13"/>
  <c r="Y148" i="13"/>
  <c r="AC133" i="13"/>
  <c r="AA133" i="13"/>
  <c r="Y133" i="13"/>
  <c r="W133" i="13"/>
  <c r="U133" i="13"/>
  <c r="AD132" i="13"/>
  <c r="AB132" i="13"/>
  <c r="AA132" i="13"/>
  <c r="Z132" i="13"/>
  <c r="Y132" i="13"/>
  <c r="X132" i="13"/>
  <c r="W132" i="13"/>
  <c r="V132" i="13"/>
  <c r="U132" i="13"/>
  <c r="T132" i="13"/>
  <c r="S132" i="13"/>
  <c r="S133" i="13" s="1"/>
  <c r="R132" i="13"/>
  <c r="Q132" i="13"/>
  <c r="Q133" i="13" s="1"/>
  <c r="H132" i="13"/>
  <c r="G132" i="13"/>
  <c r="X99" i="13"/>
  <c r="X98" i="13"/>
  <c r="T97" i="13"/>
  <c r="O97" i="13"/>
  <c r="AD87" i="13"/>
  <c r="AC87" i="13"/>
  <c r="AB87" i="13"/>
  <c r="AA87" i="13"/>
  <c r="V87" i="13"/>
  <c r="AA92" i="13" s="1"/>
  <c r="U87" i="13"/>
  <c r="AA91" i="13" s="1"/>
  <c r="T87" i="13"/>
  <c r="S87" i="13"/>
  <c r="R87" i="13"/>
  <c r="Q87" i="13"/>
  <c r="H87" i="13"/>
  <c r="S91" i="13" s="1"/>
  <c r="G87" i="13"/>
  <c r="L86" i="13"/>
  <c r="K86" i="13"/>
  <c r="L85" i="13"/>
  <c r="K85" i="13"/>
  <c r="L83" i="13"/>
  <c r="K83" i="13"/>
  <c r="L82" i="13"/>
  <c r="K82" i="13"/>
  <c r="L81" i="13"/>
  <c r="K81" i="13"/>
  <c r="L80" i="13"/>
  <c r="K80" i="13"/>
  <c r="L79" i="13"/>
  <c r="L78" i="13"/>
  <c r="K78" i="13"/>
  <c r="L77" i="13"/>
  <c r="K77" i="13"/>
  <c r="L76" i="13"/>
  <c r="K76" i="13"/>
  <c r="L75" i="13"/>
  <c r="K75" i="13"/>
  <c r="L74" i="13"/>
  <c r="K74" i="13"/>
  <c r="L73" i="13"/>
  <c r="K73" i="13"/>
  <c r="L72" i="13"/>
  <c r="K72" i="13"/>
  <c r="L71" i="13"/>
  <c r="K71" i="13"/>
  <c r="L70" i="13"/>
  <c r="K70" i="13"/>
  <c r="L69" i="13"/>
  <c r="K69" i="13"/>
  <c r="L68" i="13"/>
  <c r="K68" i="13"/>
  <c r="L67" i="13"/>
  <c r="K67" i="13"/>
  <c r="L66" i="13"/>
  <c r="K66" i="13"/>
  <c r="L65" i="13"/>
  <c r="K65" i="13"/>
  <c r="L64" i="13"/>
  <c r="K64" i="13"/>
  <c r="L63" i="13"/>
  <c r="K63" i="13"/>
  <c r="L62" i="13"/>
  <c r="K62" i="13"/>
  <c r="L61" i="13"/>
  <c r="K61" i="13"/>
  <c r="L60" i="13"/>
  <c r="K60" i="13"/>
  <c r="L59" i="13"/>
  <c r="K59" i="13"/>
  <c r="L58" i="13"/>
  <c r="K58" i="13"/>
  <c r="L57" i="13"/>
  <c r="K57" i="13"/>
  <c r="L55" i="13"/>
  <c r="K55" i="13"/>
  <c r="L54" i="13"/>
  <c r="K54" i="13"/>
  <c r="L53" i="13"/>
  <c r="K53" i="13"/>
  <c r="L52" i="13"/>
  <c r="K52" i="13"/>
  <c r="L51" i="13"/>
  <c r="K51" i="13"/>
  <c r="L50" i="13"/>
  <c r="K50" i="13"/>
  <c r="L49" i="13"/>
  <c r="K49" i="13"/>
  <c r="L48" i="13"/>
  <c r="K48" i="13"/>
  <c r="L47" i="13"/>
  <c r="K47" i="13"/>
  <c r="L46" i="13"/>
  <c r="K46" i="13"/>
  <c r="L45" i="13"/>
  <c r="K45" i="13"/>
  <c r="L44" i="13"/>
  <c r="K44" i="13"/>
  <c r="L43" i="13"/>
  <c r="K43" i="13"/>
  <c r="L42" i="13"/>
  <c r="K42" i="13"/>
  <c r="L41" i="13"/>
  <c r="K41" i="13"/>
  <c r="X87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L32" i="13"/>
  <c r="K32" i="13"/>
  <c r="L31" i="13"/>
  <c r="K31" i="13"/>
  <c r="L30" i="13"/>
  <c r="K30" i="13"/>
  <c r="L29" i="13"/>
  <c r="K29" i="13"/>
  <c r="L28" i="13"/>
  <c r="K28" i="13"/>
  <c r="L27" i="13"/>
  <c r="K27" i="13"/>
  <c r="L26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L13" i="13"/>
  <c r="K13" i="13"/>
  <c r="L12" i="13"/>
  <c r="K12" i="13"/>
  <c r="L11" i="13"/>
  <c r="K11" i="13"/>
  <c r="L10" i="13"/>
  <c r="K10" i="13"/>
  <c r="L9" i="13"/>
  <c r="K9" i="13"/>
  <c r="L8" i="13"/>
  <c r="K8" i="13"/>
  <c r="L7" i="13"/>
  <c r="K7" i="13"/>
  <c r="L6" i="13"/>
  <c r="K6" i="13"/>
  <c r="AC88" i="7"/>
  <c r="AA88" i="7"/>
  <c r="Y88" i="7"/>
  <c r="W88" i="7"/>
  <c r="U88" i="7"/>
  <c r="S88" i="7"/>
  <c r="Q88" i="7"/>
  <c r="AC88" i="11"/>
  <c r="AA88" i="11"/>
  <c r="Y88" i="11"/>
  <c r="W88" i="11"/>
  <c r="U88" i="11"/>
  <c r="S88" i="11"/>
  <c r="Q88" i="11"/>
  <c r="AC148" i="12"/>
  <c r="X48" i="12"/>
  <c r="Z48" i="12" s="1"/>
  <c r="X56" i="12"/>
  <c r="Z56" i="12" s="1"/>
  <c r="X40" i="12"/>
  <c r="Z40" i="12" s="1"/>
  <c r="X55" i="12"/>
  <c r="Z55" i="12" s="1"/>
  <c r="X54" i="12"/>
  <c r="Z54" i="12" s="1"/>
  <c r="X10" i="12"/>
  <c r="Z10" i="12" s="1"/>
  <c r="X63" i="12"/>
  <c r="Z63" i="12" s="1"/>
  <c r="X49" i="12"/>
  <c r="Z49" i="12" s="1"/>
  <c r="X65" i="12"/>
  <c r="Z65" i="12" s="1"/>
  <c r="X59" i="12"/>
  <c r="Z59" i="12" s="1"/>
  <c r="X60" i="12"/>
  <c r="Z60" i="12" s="1"/>
  <c r="W61" i="12"/>
  <c r="Y61" i="12" s="1"/>
  <c r="W72" i="12"/>
  <c r="Y72" i="12" s="1"/>
  <c r="W47" i="12"/>
  <c r="Y47" i="12" s="1"/>
  <c r="W67" i="12"/>
  <c r="Y67" i="12" s="1"/>
  <c r="W76" i="12"/>
  <c r="Y76" i="12" s="1"/>
  <c r="AA90" i="13" l="1"/>
  <c r="G88" i="13"/>
  <c r="S92" i="13"/>
  <c r="N92" i="13"/>
  <c r="Q149" i="13"/>
  <c r="Y149" i="13"/>
  <c r="AC88" i="13"/>
  <c r="Y87" i="13"/>
  <c r="S88" i="13"/>
  <c r="Q88" i="13"/>
  <c r="N90" i="13" s="1"/>
  <c r="Z87" i="13"/>
  <c r="N91" i="13"/>
  <c r="W148" i="13"/>
  <c r="W149" i="13" s="1"/>
  <c r="U88" i="13"/>
  <c r="W87" i="13"/>
  <c r="Y139" i="12"/>
  <c r="Y140" i="12"/>
  <c r="Y141" i="12"/>
  <c r="Y138" i="12"/>
  <c r="W53" i="12"/>
  <c r="Y53" i="12" s="1"/>
  <c r="W46" i="12"/>
  <c r="Y46" i="12" s="1"/>
  <c r="W9" i="12"/>
  <c r="Y9" i="12" s="1"/>
  <c r="W69" i="12"/>
  <c r="Y69" i="12" s="1"/>
  <c r="W64" i="12"/>
  <c r="Y64" i="12" s="1"/>
  <c r="W22" i="12"/>
  <c r="Y22" i="12" s="1"/>
  <c r="W140" i="12"/>
  <c r="W139" i="12"/>
  <c r="W141" i="12"/>
  <c r="W138" i="12"/>
  <c r="W81" i="12"/>
  <c r="Y81" i="12" s="1"/>
  <c r="W58" i="12"/>
  <c r="Y58" i="12" s="1"/>
  <c r="W75" i="12"/>
  <c r="Y75" i="12" s="1"/>
  <c r="W79" i="12"/>
  <c r="Y79" i="12" s="1"/>
  <c r="W80" i="12"/>
  <c r="Y80" i="12" s="1"/>
  <c r="W82" i="12"/>
  <c r="Y82" i="12" s="1"/>
  <c r="AD148" i="12"/>
  <c r="AC149" i="12" s="1"/>
  <c r="AB148" i="12"/>
  <c r="AA148" i="12"/>
  <c r="AA149" i="12" s="1"/>
  <c r="Z148" i="12"/>
  <c r="X148" i="12"/>
  <c r="V148" i="12"/>
  <c r="U148" i="12"/>
  <c r="U149" i="12" s="1"/>
  <c r="T148" i="12"/>
  <c r="S148" i="12"/>
  <c r="S149" i="12" s="1"/>
  <c r="H148" i="12"/>
  <c r="G148" i="12"/>
  <c r="W148" i="12"/>
  <c r="Y133" i="12"/>
  <c r="W133" i="12"/>
  <c r="U133" i="12"/>
  <c r="AD132" i="12"/>
  <c r="AC133" i="12" s="1"/>
  <c r="AB132" i="12"/>
  <c r="AA132" i="12"/>
  <c r="AA133" i="12" s="1"/>
  <c r="Z132" i="12"/>
  <c r="Y132" i="12"/>
  <c r="X132" i="12"/>
  <c r="W132" i="12"/>
  <c r="V132" i="12"/>
  <c r="U132" i="12"/>
  <c r="T132" i="12"/>
  <c r="S132" i="12"/>
  <c r="S133" i="12" s="1"/>
  <c r="H132" i="12"/>
  <c r="G132" i="12"/>
  <c r="X99" i="12"/>
  <c r="X98" i="12"/>
  <c r="T97" i="12"/>
  <c r="AD87" i="12"/>
  <c r="AC87" i="12"/>
  <c r="AC88" i="12" s="1"/>
  <c r="AB87" i="12"/>
  <c r="AA87" i="12"/>
  <c r="V87" i="12"/>
  <c r="AA92" i="12" s="1"/>
  <c r="U87" i="12"/>
  <c r="T87" i="12"/>
  <c r="S87" i="12"/>
  <c r="S88" i="12" s="1"/>
  <c r="H87" i="12"/>
  <c r="S92" i="12" s="1"/>
  <c r="G87" i="12"/>
  <c r="L86" i="12"/>
  <c r="K86" i="12"/>
  <c r="L85" i="12"/>
  <c r="K85" i="12"/>
  <c r="L83" i="12"/>
  <c r="K83" i="12"/>
  <c r="L82" i="12"/>
  <c r="K82" i="12"/>
  <c r="L81" i="12"/>
  <c r="K81" i="12"/>
  <c r="L80" i="12"/>
  <c r="K80" i="12"/>
  <c r="L79" i="12"/>
  <c r="L78" i="12"/>
  <c r="K78" i="12"/>
  <c r="L77" i="12"/>
  <c r="K77" i="12"/>
  <c r="L76" i="12"/>
  <c r="K76" i="12"/>
  <c r="L75" i="12"/>
  <c r="K75" i="12"/>
  <c r="L74" i="12"/>
  <c r="K74" i="12"/>
  <c r="L73" i="12"/>
  <c r="K73" i="12"/>
  <c r="L72" i="12"/>
  <c r="K72" i="12"/>
  <c r="L71" i="12"/>
  <c r="K71" i="12"/>
  <c r="L70" i="12"/>
  <c r="K70" i="12"/>
  <c r="L69" i="12"/>
  <c r="K69" i="12"/>
  <c r="L68" i="12"/>
  <c r="K68" i="12"/>
  <c r="L67" i="12"/>
  <c r="K67" i="12"/>
  <c r="L66" i="12"/>
  <c r="K66" i="12"/>
  <c r="L65" i="12"/>
  <c r="K65" i="12"/>
  <c r="L64" i="12"/>
  <c r="K64" i="12"/>
  <c r="L63" i="12"/>
  <c r="K63" i="12"/>
  <c r="L62" i="12"/>
  <c r="K62" i="12"/>
  <c r="L61" i="12"/>
  <c r="K61" i="12"/>
  <c r="L60" i="12"/>
  <c r="K60" i="12"/>
  <c r="L59" i="12"/>
  <c r="K59" i="12"/>
  <c r="L58" i="12"/>
  <c r="K58" i="12"/>
  <c r="L57" i="12"/>
  <c r="K57" i="12"/>
  <c r="L55" i="12"/>
  <c r="K55" i="12"/>
  <c r="L54" i="12"/>
  <c r="K54" i="12"/>
  <c r="L53" i="12"/>
  <c r="K53" i="12"/>
  <c r="L52" i="12"/>
  <c r="K52" i="12"/>
  <c r="L51" i="12"/>
  <c r="K51" i="12"/>
  <c r="L50" i="12"/>
  <c r="K50" i="12"/>
  <c r="L49" i="12"/>
  <c r="K49" i="12"/>
  <c r="L48" i="12"/>
  <c r="K48" i="12"/>
  <c r="L47" i="12"/>
  <c r="K47" i="12"/>
  <c r="L46" i="12"/>
  <c r="K46" i="12"/>
  <c r="L45" i="12"/>
  <c r="K45" i="12"/>
  <c r="L44" i="12"/>
  <c r="K44" i="12"/>
  <c r="L43" i="12"/>
  <c r="K43" i="12"/>
  <c r="L42" i="12"/>
  <c r="K42" i="12"/>
  <c r="L41" i="12"/>
  <c r="K41" i="12"/>
  <c r="L40" i="12"/>
  <c r="K40" i="12"/>
  <c r="L39" i="12"/>
  <c r="K39" i="12"/>
  <c r="L38" i="12"/>
  <c r="K38" i="12"/>
  <c r="L37" i="12"/>
  <c r="K37" i="12"/>
  <c r="L36" i="12"/>
  <c r="K36" i="12"/>
  <c r="L35" i="12"/>
  <c r="K35" i="12"/>
  <c r="L34" i="12"/>
  <c r="K34" i="12"/>
  <c r="L33" i="12"/>
  <c r="K33" i="12"/>
  <c r="L32" i="12"/>
  <c r="K32" i="12"/>
  <c r="L31" i="12"/>
  <c r="K31" i="12"/>
  <c r="L30" i="12"/>
  <c r="K30" i="12"/>
  <c r="L29" i="12"/>
  <c r="K29" i="12"/>
  <c r="L28" i="12"/>
  <c r="K28" i="12"/>
  <c r="L27" i="12"/>
  <c r="K27" i="12"/>
  <c r="L26" i="12"/>
  <c r="K26" i="12"/>
  <c r="L25" i="12"/>
  <c r="K25" i="12"/>
  <c r="L24" i="12"/>
  <c r="K24" i="12"/>
  <c r="L23" i="12"/>
  <c r="K23" i="12"/>
  <c r="L22" i="12"/>
  <c r="K22" i="12"/>
  <c r="L21" i="12"/>
  <c r="K21" i="12"/>
  <c r="L20" i="12"/>
  <c r="K20" i="12"/>
  <c r="L19" i="12"/>
  <c r="K19" i="12"/>
  <c r="L18" i="12"/>
  <c r="K18" i="12"/>
  <c r="L17" i="12"/>
  <c r="K17" i="12"/>
  <c r="L16" i="12"/>
  <c r="K16" i="12"/>
  <c r="L15" i="12"/>
  <c r="K15" i="12"/>
  <c r="L14" i="12"/>
  <c r="K14" i="12"/>
  <c r="L13" i="12"/>
  <c r="K13" i="12"/>
  <c r="L12" i="12"/>
  <c r="K12" i="12"/>
  <c r="L11" i="12"/>
  <c r="K11" i="12"/>
  <c r="L10" i="12"/>
  <c r="K10" i="12"/>
  <c r="L9" i="12"/>
  <c r="K9" i="12"/>
  <c r="L8" i="12"/>
  <c r="K8" i="12"/>
  <c r="L7" i="12"/>
  <c r="K7" i="12"/>
  <c r="L6" i="12"/>
  <c r="K6" i="12"/>
  <c r="X43" i="11"/>
  <c r="X50" i="11"/>
  <c r="X68" i="11"/>
  <c r="X52" i="11"/>
  <c r="X34" i="11"/>
  <c r="X12" i="11"/>
  <c r="X25" i="11"/>
  <c r="X19" i="11"/>
  <c r="U88" i="12" l="1"/>
  <c r="N91" i="12"/>
  <c r="N92" i="12"/>
  <c r="W88" i="13"/>
  <c r="Y88" i="13"/>
  <c r="G88" i="12"/>
  <c r="Z87" i="12"/>
  <c r="W87" i="12"/>
  <c r="X87" i="12"/>
  <c r="W149" i="12"/>
  <c r="AA91" i="12"/>
  <c r="AA90" i="12" s="1"/>
  <c r="AA88" i="12"/>
  <c r="Y148" i="12"/>
  <c r="Y149" i="12" s="1"/>
  <c r="S91" i="12"/>
  <c r="Y87" i="12"/>
  <c r="X8" i="11"/>
  <c r="Z8" i="11" s="1"/>
  <c r="X44" i="11"/>
  <c r="Z44" i="11" s="1"/>
  <c r="X48" i="11"/>
  <c r="Z48" i="11" s="1"/>
  <c r="X29" i="11"/>
  <c r="Z29" i="11" s="1"/>
  <c r="X74" i="11"/>
  <c r="Z74" i="11" s="1"/>
  <c r="X26" i="11"/>
  <c r="Z26" i="11" s="1"/>
  <c r="W41" i="11"/>
  <c r="Y41" i="11" s="1"/>
  <c r="W42" i="11"/>
  <c r="Y42" i="11" s="1"/>
  <c r="W10" i="11"/>
  <c r="Y10" i="11" s="1"/>
  <c r="W55" i="11"/>
  <c r="Y55" i="11" s="1"/>
  <c r="W23" i="11"/>
  <c r="Y23" i="11" s="1"/>
  <c r="W6" i="11"/>
  <c r="Y6" i="11" s="1"/>
  <c r="W7" i="11"/>
  <c r="Y7" i="11" s="1"/>
  <c r="W27" i="11"/>
  <c r="Y27" i="11" s="1"/>
  <c r="W88" i="12" l="1"/>
  <c r="Y88" i="12"/>
  <c r="W21" i="11"/>
  <c r="Y21" i="11" s="1"/>
  <c r="Y139" i="11" l="1"/>
  <c r="Y138" i="11"/>
  <c r="W72" i="11"/>
  <c r="Y72" i="11" s="1"/>
  <c r="W140" i="11"/>
  <c r="W138" i="11"/>
  <c r="W139" i="11"/>
  <c r="W83" i="11"/>
  <c r="Y83" i="11" s="1"/>
  <c r="W65" i="11"/>
  <c r="Y65" i="11" s="1"/>
  <c r="W63" i="11"/>
  <c r="Y63" i="11" s="1"/>
  <c r="W54" i="11"/>
  <c r="Y54" i="11" s="1"/>
  <c r="W67" i="11"/>
  <c r="Y67" i="11" s="1"/>
  <c r="W28" i="11"/>
  <c r="Y28" i="11" s="1"/>
  <c r="W25" i="11"/>
  <c r="Y25" i="11" s="1"/>
  <c r="W22" i="11"/>
  <c r="Y22" i="11" s="1"/>
  <c r="W58" i="11"/>
  <c r="Y58" i="11" s="1"/>
  <c r="AD148" i="11"/>
  <c r="AC149" i="11" s="1"/>
  <c r="AB148" i="11"/>
  <c r="AA148" i="11"/>
  <c r="AA149" i="11" s="1"/>
  <c r="Z148" i="11"/>
  <c r="X148" i="11"/>
  <c r="V148" i="11"/>
  <c r="U148" i="11"/>
  <c r="U149" i="11" s="1"/>
  <c r="T148" i="11"/>
  <c r="S148" i="11"/>
  <c r="S149" i="11" s="1"/>
  <c r="R148" i="11"/>
  <c r="Q148" i="11"/>
  <c r="Q149" i="11" s="1"/>
  <c r="H148" i="11"/>
  <c r="G148" i="11"/>
  <c r="AC133" i="11"/>
  <c r="AA133" i="11"/>
  <c r="U133" i="11"/>
  <c r="S133" i="11"/>
  <c r="AD132" i="11"/>
  <c r="AB132" i="11"/>
  <c r="AA132" i="11"/>
  <c r="Z132" i="11"/>
  <c r="Y132" i="11"/>
  <c r="Y133" i="11" s="1"/>
  <c r="X132" i="11"/>
  <c r="W132" i="11"/>
  <c r="W133" i="11" s="1"/>
  <c r="V132" i="11"/>
  <c r="U132" i="11"/>
  <c r="T132" i="11"/>
  <c r="S132" i="11"/>
  <c r="R132" i="11"/>
  <c r="Q132" i="11"/>
  <c r="Q133" i="11" s="1"/>
  <c r="H132" i="11"/>
  <c r="G132" i="11"/>
  <c r="X99" i="11"/>
  <c r="X98" i="11"/>
  <c r="T97" i="11"/>
  <c r="O97" i="11"/>
  <c r="AD87" i="11"/>
  <c r="AC87" i="11"/>
  <c r="AB87" i="11"/>
  <c r="AA87" i="11"/>
  <c r="V87" i="11"/>
  <c r="AA92" i="11" s="1"/>
  <c r="U87" i="11"/>
  <c r="AA91" i="11" s="1"/>
  <c r="T87" i="11"/>
  <c r="S87" i="11"/>
  <c r="R87" i="11"/>
  <c r="Q87" i="11"/>
  <c r="H87" i="11"/>
  <c r="S91" i="11" s="1"/>
  <c r="G87" i="11"/>
  <c r="N92" i="11" s="1"/>
  <c r="L86" i="11"/>
  <c r="K86" i="11"/>
  <c r="L85" i="11"/>
  <c r="K85" i="11"/>
  <c r="L83" i="11"/>
  <c r="K83" i="11"/>
  <c r="L82" i="11"/>
  <c r="K82" i="11"/>
  <c r="L81" i="11"/>
  <c r="K81" i="11"/>
  <c r="L80" i="11"/>
  <c r="K80" i="11"/>
  <c r="L79" i="11"/>
  <c r="L78" i="11"/>
  <c r="K78" i="11"/>
  <c r="L77" i="11"/>
  <c r="K77" i="11"/>
  <c r="L76" i="11"/>
  <c r="K76" i="11"/>
  <c r="L75" i="11"/>
  <c r="K75" i="11"/>
  <c r="L74" i="11"/>
  <c r="K74" i="11"/>
  <c r="L73" i="11"/>
  <c r="K73" i="11"/>
  <c r="L72" i="11"/>
  <c r="K72" i="11"/>
  <c r="L71" i="11"/>
  <c r="K71" i="11"/>
  <c r="L70" i="11"/>
  <c r="K70" i="11"/>
  <c r="L69" i="11"/>
  <c r="K69" i="11"/>
  <c r="L68" i="11"/>
  <c r="K68" i="11"/>
  <c r="L67" i="11"/>
  <c r="K67" i="11"/>
  <c r="L66" i="11"/>
  <c r="K66" i="11"/>
  <c r="L65" i="11"/>
  <c r="K65" i="11"/>
  <c r="L64" i="11"/>
  <c r="K64" i="11"/>
  <c r="L63" i="11"/>
  <c r="K63" i="11"/>
  <c r="L62" i="11"/>
  <c r="K62" i="11"/>
  <c r="L61" i="11"/>
  <c r="K61" i="11"/>
  <c r="L60" i="11"/>
  <c r="K60" i="11"/>
  <c r="L59" i="11"/>
  <c r="K59" i="11"/>
  <c r="L58" i="11"/>
  <c r="K58" i="11"/>
  <c r="L57" i="11"/>
  <c r="K57" i="11"/>
  <c r="L55" i="11"/>
  <c r="K55" i="11"/>
  <c r="L54" i="11"/>
  <c r="K54" i="11"/>
  <c r="L53" i="11"/>
  <c r="K53" i="11"/>
  <c r="L52" i="11"/>
  <c r="K52" i="11"/>
  <c r="L51" i="11"/>
  <c r="K51" i="11"/>
  <c r="L50" i="11"/>
  <c r="K50" i="11"/>
  <c r="L49" i="11"/>
  <c r="K49" i="11"/>
  <c r="L48" i="11"/>
  <c r="K48" i="11"/>
  <c r="L47" i="11"/>
  <c r="K47" i="11"/>
  <c r="L46" i="11"/>
  <c r="K46" i="11"/>
  <c r="L45" i="11"/>
  <c r="K45" i="11"/>
  <c r="L44" i="11"/>
  <c r="K44" i="11"/>
  <c r="L43" i="11"/>
  <c r="K43" i="11"/>
  <c r="L42" i="11"/>
  <c r="K42" i="11"/>
  <c r="L41" i="11"/>
  <c r="K41" i="11"/>
  <c r="L40" i="11"/>
  <c r="K40" i="11"/>
  <c r="L39" i="11"/>
  <c r="K39" i="11"/>
  <c r="L38" i="11"/>
  <c r="K38" i="11"/>
  <c r="L37" i="11"/>
  <c r="K37" i="11"/>
  <c r="L36" i="11"/>
  <c r="K36" i="11"/>
  <c r="L35" i="11"/>
  <c r="K35" i="11"/>
  <c r="L34" i="11"/>
  <c r="K34" i="11"/>
  <c r="L33" i="11"/>
  <c r="K33" i="11"/>
  <c r="L32" i="11"/>
  <c r="K32" i="11"/>
  <c r="L31" i="11"/>
  <c r="K31" i="11"/>
  <c r="L30" i="11"/>
  <c r="K30" i="11"/>
  <c r="L29" i="11"/>
  <c r="K29" i="11"/>
  <c r="L28" i="11"/>
  <c r="K28" i="11"/>
  <c r="L27" i="11"/>
  <c r="K27" i="11"/>
  <c r="L26" i="11"/>
  <c r="K26" i="11"/>
  <c r="L25" i="11"/>
  <c r="K25" i="11"/>
  <c r="L24" i="11"/>
  <c r="K24" i="11"/>
  <c r="L23" i="11"/>
  <c r="K23" i="11"/>
  <c r="L22" i="11"/>
  <c r="K22" i="11"/>
  <c r="L21" i="11"/>
  <c r="K21" i="11"/>
  <c r="L20" i="11"/>
  <c r="K20" i="11"/>
  <c r="L19" i="11"/>
  <c r="K19" i="11"/>
  <c r="L18" i="11"/>
  <c r="K18" i="11"/>
  <c r="X87" i="11"/>
  <c r="L17" i="11"/>
  <c r="K17" i="11"/>
  <c r="L16" i="11"/>
  <c r="K16" i="11"/>
  <c r="L15" i="11"/>
  <c r="K15" i="11"/>
  <c r="L14" i="11"/>
  <c r="K14" i="11"/>
  <c r="L13" i="11"/>
  <c r="K13" i="11"/>
  <c r="L12" i="11"/>
  <c r="K12" i="11"/>
  <c r="L11" i="11"/>
  <c r="K11" i="11"/>
  <c r="L10" i="11"/>
  <c r="K10" i="11"/>
  <c r="L9" i="11"/>
  <c r="K9" i="11"/>
  <c r="L8" i="11"/>
  <c r="K8" i="11"/>
  <c r="L7" i="11"/>
  <c r="K7" i="11"/>
  <c r="L6" i="11"/>
  <c r="K6" i="11"/>
  <c r="X78" i="7"/>
  <c r="Z78" i="7" s="1"/>
  <c r="X53" i="7"/>
  <c r="X51" i="7"/>
  <c r="X59" i="7"/>
  <c r="X60" i="7"/>
  <c r="X40" i="7"/>
  <c r="X73" i="7"/>
  <c r="X70" i="7"/>
  <c r="X20" i="7"/>
  <c r="X47" i="7"/>
  <c r="X46" i="7"/>
  <c r="X9" i="7"/>
  <c r="Z9" i="7" s="1"/>
  <c r="X61" i="7"/>
  <c r="Z61" i="7" s="1"/>
  <c r="X62" i="7"/>
  <c r="Z62" i="7" s="1"/>
  <c r="X64" i="7"/>
  <c r="Z64" i="7" s="1"/>
  <c r="X58" i="7"/>
  <c r="Z58" i="7" s="1"/>
  <c r="X39" i="7"/>
  <c r="Z39" i="7" s="1"/>
  <c r="X76" i="7"/>
  <c r="Z76" i="7" s="1"/>
  <c r="X17" i="7"/>
  <c r="Z17" i="7" s="1"/>
  <c r="Y141" i="7"/>
  <c r="Y138" i="7"/>
  <c r="X74" i="7"/>
  <c r="Z74" i="7" s="1"/>
  <c r="X69" i="7"/>
  <c r="Z69" i="7" s="1"/>
  <c r="X71" i="7"/>
  <c r="Z71" i="7" s="1"/>
  <c r="X30" i="7"/>
  <c r="Z30" i="7" s="1"/>
  <c r="X49" i="7"/>
  <c r="Z49" i="7" s="1"/>
  <c r="X52" i="7"/>
  <c r="Z52" i="7" s="1"/>
  <c r="X56" i="7"/>
  <c r="Z56" i="7" s="1"/>
  <c r="X8" i="7"/>
  <c r="Z8" i="7" s="1"/>
  <c r="X16" i="7"/>
  <c r="Z16" i="7" s="1"/>
  <c r="X37" i="7"/>
  <c r="Z37" i="7" s="1"/>
  <c r="X38" i="7"/>
  <c r="Z38" i="7" s="1"/>
  <c r="X81" i="7"/>
  <c r="Z81" i="7" s="1"/>
  <c r="X27" i="7"/>
  <c r="Z27" i="7" s="1"/>
  <c r="X18" i="7"/>
  <c r="Z18" i="7" s="1"/>
  <c r="W79" i="7"/>
  <c r="Y79" i="7" s="1"/>
  <c r="W75" i="7"/>
  <c r="Y75" i="7" s="1"/>
  <c r="W141" i="7"/>
  <c r="W138" i="7"/>
  <c r="Y148" i="11" l="1"/>
  <c r="W87" i="11"/>
  <c r="Y149" i="11"/>
  <c r="AA90" i="11"/>
  <c r="N90" i="11"/>
  <c r="Y87" i="11"/>
  <c r="N91" i="11"/>
  <c r="G88" i="11"/>
  <c r="Z87" i="11"/>
  <c r="W148" i="11"/>
  <c r="W149" i="11" s="1"/>
  <c r="S92" i="11"/>
  <c r="Y140" i="7"/>
  <c r="Y139" i="7"/>
  <c r="W140" i="7"/>
  <c r="W139" i="7"/>
  <c r="W67" i="7"/>
  <c r="Y67" i="7" s="1"/>
  <c r="W51" i="7"/>
  <c r="Y51" i="7" s="1"/>
  <c r="W47" i="7"/>
  <c r="Y47" i="7" s="1"/>
  <c r="W48" i="7"/>
  <c r="Y48" i="7" s="1"/>
  <c r="W23" i="7"/>
  <c r="Y23" i="7" s="1"/>
  <c r="W65" i="7"/>
  <c r="Y65" i="7" s="1"/>
  <c r="W60" i="7"/>
  <c r="Y60" i="7" s="1"/>
  <c r="W29" i="7"/>
  <c r="Y29" i="7" s="1"/>
  <c r="W21" i="7"/>
  <c r="Y21" i="7" s="1"/>
  <c r="W26" i="7"/>
  <c r="Y26" i="7" s="1"/>
  <c r="W62" i="7"/>
  <c r="Y62" i="7" s="1"/>
  <c r="W43" i="7"/>
  <c r="Y43" i="7" s="1"/>
  <c r="W10" i="7"/>
  <c r="Y10" i="7" s="1"/>
  <c r="W55" i="7"/>
  <c r="Y55" i="7" s="1"/>
  <c r="W50" i="7"/>
  <c r="Y50" i="7" s="1"/>
  <c r="W6" i="7"/>
  <c r="Y6" i="7" s="1"/>
  <c r="W19" i="7"/>
  <c r="Y19" i="7" s="1"/>
  <c r="X28" i="7"/>
  <c r="Z28" i="7" s="1"/>
  <c r="Z87" i="7" s="1"/>
  <c r="W28" i="7"/>
  <c r="Y28" i="7" s="1"/>
  <c r="W25" i="7"/>
  <c r="Y25" i="7" s="1"/>
  <c r="W22" i="7"/>
  <c r="Y22" i="7" s="1"/>
  <c r="W80" i="7"/>
  <c r="Y80" i="7" s="1"/>
  <c r="W82" i="7"/>
  <c r="Y82" i="7" s="1"/>
  <c r="W77" i="7"/>
  <c r="Y77" i="7" s="1"/>
  <c r="X141" i="6"/>
  <c r="X142" i="6"/>
  <c r="X138" i="6"/>
  <c r="X59" i="6"/>
  <c r="X64" i="6"/>
  <c r="X46" i="6"/>
  <c r="X11" i="6"/>
  <c r="X7" i="6"/>
  <c r="X54" i="6"/>
  <c r="X68" i="6"/>
  <c r="X61" i="6"/>
  <c r="X63" i="6"/>
  <c r="X9" i="6"/>
  <c r="X39" i="6"/>
  <c r="Z39" i="6" s="1"/>
  <c r="Q143" i="6"/>
  <c r="R143" i="6"/>
  <c r="S143" i="6"/>
  <c r="T143" i="6"/>
  <c r="S144" i="6" s="1"/>
  <c r="U143" i="6"/>
  <c r="V143" i="6"/>
  <c r="W143" i="6"/>
  <c r="X143" i="6"/>
  <c r="Y143" i="6"/>
  <c r="Z143" i="6"/>
  <c r="AA143" i="6"/>
  <c r="AB143" i="6"/>
  <c r="AD143" i="6"/>
  <c r="AC144" i="6" s="1"/>
  <c r="Q144" i="6"/>
  <c r="W133" i="10"/>
  <c r="U133" i="10"/>
  <c r="AD132" i="10"/>
  <c r="AC133" i="10" s="1"/>
  <c r="AC88" i="10" s="1"/>
  <c r="AB132" i="10"/>
  <c r="AA132" i="10"/>
  <c r="AA133" i="10" s="1"/>
  <c r="AA88" i="10" s="1"/>
  <c r="Z132" i="10"/>
  <c r="Y132" i="10"/>
  <c r="Y133" i="10" s="1"/>
  <c r="Y88" i="10" s="1"/>
  <c r="X132" i="10"/>
  <c r="W132" i="10"/>
  <c r="V132" i="10"/>
  <c r="U132" i="10"/>
  <c r="T132" i="10"/>
  <c r="S132" i="10"/>
  <c r="S133" i="10" s="1"/>
  <c r="R132" i="10"/>
  <c r="Q132" i="10"/>
  <c r="Q133" i="10" s="1"/>
  <c r="H132" i="10"/>
  <c r="G132" i="10"/>
  <c r="X99" i="10"/>
  <c r="X98" i="10"/>
  <c r="T97" i="10"/>
  <c r="O97" i="10"/>
  <c r="AA92" i="10"/>
  <c r="AA91" i="10"/>
  <c r="AA90" i="10"/>
  <c r="AD87" i="10"/>
  <c r="AC87" i="10"/>
  <c r="AB87" i="10"/>
  <c r="AA87" i="10"/>
  <c r="Z87" i="10"/>
  <c r="Y87" i="10"/>
  <c r="X87" i="10"/>
  <c r="W87" i="10"/>
  <c r="W88" i="10" s="1"/>
  <c r="V87" i="10"/>
  <c r="U87" i="10"/>
  <c r="U88" i="10" s="1"/>
  <c r="T87" i="10"/>
  <c r="S87" i="10"/>
  <c r="S88" i="10" s="1"/>
  <c r="R87" i="10"/>
  <c r="Q87" i="10"/>
  <c r="H87" i="10"/>
  <c r="S91" i="10" s="1"/>
  <c r="G87" i="10"/>
  <c r="N91" i="10" s="1"/>
  <c r="L86" i="10"/>
  <c r="K86" i="10"/>
  <c r="L85" i="10"/>
  <c r="K85" i="10"/>
  <c r="L83" i="10"/>
  <c r="K83" i="10"/>
  <c r="L82" i="10"/>
  <c r="K82" i="10"/>
  <c r="L81" i="10"/>
  <c r="K81" i="10"/>
  <c r="L80" i="10"/>
  <c r="K80" i="10"/>
  <c r="L79" i="10"/>
  <c r="K79" i="10"/>
  <c r="L78" i="10"/>
  <c r="K78" i="10"/>
  <c r="L77" i="10"/>
  <c r="K77" i="10"/>
  <c r="L76" i="10"/>
  <c r="K76" i="10"/>
  <c r="L75" i="10"/>
  <c r="K75" i="10"/>
  <c r="L74" i="10"/>
  <c r="K74" i="10"/>
  <c r="L73" i="10"/>
  <c r="K73" i="10"/>
  <c r="L72" i="10"/>
  <c r="K72" i="10"/>
  <c r="L71" i="10"/>
  <c r="K71" i="10"/>
  <c r="L70" i="10"/>
  <c r="K70" i="10"/>
  <c r="L69" i="10"/>
  <c r="K69" i="10"/>
  <c r="L68" i="10"/>
  <c r="K68" i="10"/>
  <c r="L67" i="10"/>
  <c r="K67" i="10"/>
  <c r="L66" i="10"/>
  <c r="K66" i="10"/>
  <c r="L65" i="10"/>
  <c r="K65" i="10"/>
  <c r="L64" i="10"/>
  <c r="K64" i="10"/>
  <c r="L63" i="10"/>
  <c r="K63" i="10"/>
  <c r="L62" i="10"/>
  <c r="K62" i="10"/>
  <c r="L61" i="10"/>
  <c r="K61" i="10"/>
  <c r="L60" i="10"/>
  <c r="K60" i="10"/>
  <c r="L59" i="10"/>
  <c r="K59" i="10"/>
  <c r="L58" i="10"/>
  <c r="K58" i="10"/>
  <c r="L57" i="10"/>
  <c r="K57" i="10"/>
  <c r="L55" i="10"/>
  <c r="K55" i="10"/>
  <c r="L54" i="10"/>
  <c r="K54" i="10"/>
  <c r="L53" i="10"/>
  <c r="K53" i="10"/>
  <c r="L52" i="10"/>
  <c r="K52" i="10"/>
  <c r="L51" i="10"/>
  <c r="K51" i="10"/>
  <c r="L50" i="10"/>
  <c r="K50" i="10"/>
  <c r="L49" i="10"/>
  <c r="K49" i="10"/>
  <c r="L48" i="10"/>
  <c r="K48" i="10"/>
  <c r="L47" i="10"/>
  <c r="K47" i="10"/>
  <c r="L46" i="10"/>
  <c r="K46" i="10"/>
  <c r="L45" i="10"/>
  <c r="K45" i="10"/>
  <c r="L44" i="10"/>
  <c r="K44" i="10"/>
  <c r="L43" i="10"/>
  <c r="K43" i="10"/>
  <c r="L42" i="10"/>
  <c r="K42" i="10"/>
  <c r="L41" i="10"/>
  <c r="K41" i="10"/>
  <c r="L40" i="10"/>
  <c r="K40" i="10"/>
  <c r="L39" i="10"/>
  <c r="K39" i="10"/>
  <c r="L38" i="10"/>
  <c r="K38" i="10"/>
  <c r="L37" i="10"/>
  <c r="K37" i="10"/>
  <c r="L36" i="10"/>
  <c r="K36" i="10"/>
  <c r="L35" i="10"/>
  <c r="K35" i="10"/>
  <c r="L34" i="10"/>
  <c r="K34" i="10"/>
  <c r="L33" i="10"/>
  <c r="K33" i="10"/>
  <c r="L32" i="10"/>
  <c r="K32" i="10"/>
  <c r="L31" i="10"/>
  <c r="K31" i="10"/>
  <c r="L30" i="10"/>
  <c r="K30" i="10"/>
  <c r="L29" i="10"/>
  <c r="K29" i="10"/>
  <c r="L28" i="10"/>
  <c r="K28" i="10"/>
  <c r="L27" i="10"/>
  <c r="K27" i="10"/>
  <c r="L26" i="10"/>
  <c r="K26" i="10"/>
  <c r="L25" i="10"/>
  <c r="K25" i="10"/>
  <c r="L24" i="10"/>
  <c r="K24" i="10"/>
  <c r="L23" i="10"/>
  <c r="K23" i="10"/>
  <c r="L22" i="10"/>
  <c r="K22" i="10"/>
  <c r="L21" i="10"/>
  <c r="K21" i="10"/>
  <c r="L20" i="10"/>
  <c r="K20" i="10"/>
  <c r="L19" i="10"/>
  <c r="K19" i="10"/>
  <c r="L18" i="10"/>
  <c r="K18" i="10"/>
  <c r="L17" i="10"/>
  <c r="K17" i="10"/>
  <c r="L16" i="10"/>
  <c r="K16" i="10"/>
  <c r="L15" i="10"/>
  <c r="K15" i="10"/>
  <c r="L14" i="10"/>
  <c r="K14" i="10"/>
  <c r="L13" i="10"/>
  <c r="K13" i="10"/>
  <c r="L12" i="10"/>
  <c r="K12" i="10"/>
  <c r="L11" i="10"/>
  <c r="K11" i="10"/>
  <c r="L10" i="10"/>
  <c r="K10" i="10"/>
  <c r="L9" i="10"/>
  <c r="K9" i="10"/>
  <c r="L8" i="10"/>
  <c r="K8" i="10"/>
  <c r="L7" i="10"/>
  <c r="K7" i="10"/>
  <c r="L6" i="10"/>
  <c r="K6" i="10"/>
  <c r="AD148" i="7"/>
  <c r="AC149" i="7" s="1"/>
  <c r="AB148" i="7"/>
  <c r="AA148" i="7"/>
  <c r="AA149" i="7" s="1"/>
  <c r="Z148" i="7"/>
  <c r="X148" i="7"/>
  <c r="V148" i="7"/>
  <c r="U148" i="7"/>
  <c r="U149" i="7" s="1"/>
  <c r="T148" i="7"/>
  <c r="S148" i="7"/>
  <c r="S149" i="7" s="1"/>
  <c r="R148" i="7"/>
  <c r="Q148" i="7"/>
  <c r="H148" i="7"/>
  <c r="G148" i="7"/>
  <c r="W133" i="7"/>
  <c r="AD132" i="7"/>
  <c r="AC133" i="7" s="1"/>
  <c r="AB132" i="7"/>
  <c r="AA132" i="7"/>
  <c r="AA133" i="7" s="1"/>
  <c r="Z132" i="7"/>
  <c r="Y133" i="7" s="1"/>
  <c r="Y132" i="7"/>
  <c r="X132" i="7"/>
  <c r="W132" i="7"/>
  <c r="V132" i="7"/>
  <c r="U132" i="7"/>
  <c r="U133" i="7" s="1"/>
  <c r="T132" i="7"/>
  <c r="S132" i="7"/>
  <c r="S133" i="7" s="1"/>
  <c r="R132" i="7"/>
  <c r="Q132" i="7"/>
  <c r="Q133" i="7" s="1"/>
  <c r="H132" i="7"/>
  <c r="G132" i="7"/>
  <c r="X99" i="7"/>
  <c r="X98" i="7"/>
  <c r="T97" i="7"/>
  <c r="O97" i="7"/>
  <c r="AD87" i="7"/>
  <c r="AC87" i="7"/>
  <c r="AB87" i="7"/>
  <c r="AA87" i="7"/>
  <c r="V87" i="7"/>
  <c r="AA92" i="7" s="1"/>
  <c r="U87" i="7"/>
  <c r="T87" i="7"/>
  <c r="S87" i="7"/>
  <c r="R87" i="7"/>
  <c r="Q87" i="7"/>
  <c r="H87" i="7"/>
  <c r="S92" i="7" s="1"/>
  <c r="G87" i="7"/>
  <c r="N92" i="7" s="1"/>
  <c r="L86" i="7"/>
  <c r="K86" i="7"/>
  <c r="L85" i="7"/>
  <c r="K85" i="7"/>
  <c r="L83" i="7"/>
  <c r="K83" i="7"/>
  <c r="L82" i="7"/>
  <c r="K82" i="7"/>
  <c r="L81" i="7"/>
  <c r="K81" i="7"/>
  <c r="L80" i="7"/>
  <c r="K80" i="7"/>
  <c r="L79" i="7"/>
  <c r="L78" i="7"/>
  <c r="K78" i="7"/>
  <c r="L77" i="7"/>
  <c r="K77" i="7"/>
  <c r="L76" i="7"/>
  <c r="K76" i="7"/>
  <c r="L75" i="7"/>
  <c r="K75" i="7"/>
  <c r="L74" i="7"/>
  <c r="K74" i="7"/>
  <c r="L73" i="7"/>
  <c r="K73" i="7"/>
  <c r="L72" i="7"/>
  <c r="K72" i="7"/>
  <c r="L71" i="7"/>
  <c r="K71" i="7"/>
  <c r="L70" i="7"/>
  <c r="K70" i="7"/>
  <c r="L69" i="7"/>
  <c r="K69" i="7"/>
  <c r="L68" i="7"/>
  <c r="K68" i="7"/>
  <c r="L67" i="7"/>
  <c r="K67" i="7"/>
  <c r="L66" i="7"/>
  <c r="K66" i="7"/>
  <c r="L65" i="7"/>
  <c r="K65" i="7"/>
  <c r="L64" i="7"/>
  <c r="K64" i="7"/>
  <c r="L63" i="7"/>
  <c r="K63" i="7"/>
  <c r="L62" i="7"/>
  <c r="K62" i="7"/>
  <c r="L61" i="7"/>
  <c r="K61" i="7"/>
  <c r="L60" i="7"/>
  <c r="K60" i="7"/>
  <c r="L59" i="7"/>
  <c r="K59" i="7"/>
  <c r="L58" i="7"/>
  <c r="K58" i="7"/>
  <c r="L57" i="7"/>
  <c r="K57" i="7"/>
  <c r="L55" i="7"/>
  <c r="K55" i="7"/>
  <c r="L54" i="7"/>
  <c r="K54" i="7"/>
  <c r="L53" i="7"/>
  <c r="K53" i="7"/>
  <c r="L52" i="7"/>
  <c r="K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L43" i="7"/>
  <c r="K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L27" i="7"/>
  <c r="K27" i="7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L8" i="7"/>
  <c r="K8" i="7"/>
  <c r="L7" i="7"/>
  <c r="K7" i="7"/>
  <c r="L6" i="7"/>
  <c r="K6" i="7"/>
  <c r="X8" i="6"/>
  <c r="Z8" i="6" s="1"/>
  <c r="X20" i="6"/>
  <c r="Z20" i="6" s="1"/>
  <c r="X62" i="6"/>
  <c r="Z62" i="6" s="1"/>
  <c r="X45" i="6"/>
  <c r="Z45" i="6" s="1"/>
  <c r="X42" i="6"/>
  <c r="Z42" i="6" s="1"/>
  <c r="X41" i="6"/>
  <c r="Z41" i="6" s="1"/>
  <c r="X34" i="6"/>
  <c r="Z34" i="6" s="1"/>
  <c r="W58" i="6"/>
  <c r="Y58" i="6" s="1"/>
  <c r="W33" i="6"/>
  <c r="Y33" i="6" s="1"/>
  <c r="W32" i="6"/>
  <c r="Y32" i="6" s="1"/>
  <c r="W78" i="6"/>
  <c r="Y78" i="6" s="1"/>
  <c r="W44" i="6"/>
  <c r="Y44" i="6" s="1"/>
  <c r="W27" i="6"/>
  <c r="Y27" i="6" s="1"/>
  <c r="W17" i="6"/>
  <c r="Y17" i="6" s="1"/>
  <c r="W139" i="6"/>
  <c r="W81" i="6"/>
  <c r="Y81" i="6" s="1"/>
  <c r="W75" i="6"/>
  <c r="Y75" i="6" s="1"/>
  <c r="W82" i="6"/>
  <c r="Y82" i="6" s="1"/>
  <c r="W79" i="6"/>
  <c r="Y79" i="6" s="1"/>
  <c r="W76" i="6"/>
  <c r="Y76" i="6" s="1"/>
  <c r="W148" i="7" l="1"/>
  <c r="W149" i="7" s="1"/>
  <c r="N90" i="7"/>
  <c r="Q149" i="7"/>
  <c r="AA144" i="6"/>
  <c r="Y144" i="6"/>
  <c r="U144" i="6"/>
  <c r="W144" i="6"/>
  <c r="Q88" i="10"/>
  <c r="N90" i="10" s="1"/>
  <c r="G88" i="10"/>
  <c r="W87" i="7"/>
  <c r="N91" i="7"/>
  <c r="S91" i="7"/>
  <c r="Y87" i="7"/>
  <c r="G88" i="7"/>
  <c r="AA91" i="7"/>
  <c r="AA90" i="7" s="1"/>
  <c r="Y148" i="7"/>
  <c r="Y149" i="7" s="1"/>
  <c r="X87" i="7"/>
  <c r="W13" i="6" l="1"/>
  <c r="Y13" i="6" s="1"/>
  <c r="W53" i="6"/>
  <c r="Y53" i="6" s="1"/>
  <c r="W29" i="6"/>
  <c r="Y29" i="6" s="1"/>
  <c r="W30" i="6"/>
  <c r="Y30" i="6" s="1"/>
  <c r="W49" i="6"/>
  <c r="Y49" i="6" s="1"/>
  <c r="W52" i="6"/>
  <c r="Y52" i="6" s="1"/>
  <c r="W56" i="6"/>
  <c r="Y56" i="6" s="1"/>
  <c r="W16" i="6"/>
  <c r="Y16" i="6" s="1"/>
  <c r="W22" i="6"/>
  <c r="Y22" i="6" s="1"/>
  <c r="W6" i="6"/>
  <c r="Y6" i="6" s="1"/>
  <c r="W19" i="6"/>
  <c r="Y19" i="6" s="1"/>
  <c r="W28" i="6"/>
  <c r="Y28" i="6" s="1"/>
  <c r="W25" i="6"/>
  <c r="Y25" i="6" s="1"/>
  <c r="W18" i="6"/>
  <c r="Y18" i="6" s="1"/>
  <c r="W77" i="6"/>
  <c r="Y77" i="6" s="1"/>
  <c r="W80" i="6"/>
  <c r="Y80" i="6" s="1"/>
  <c r="W140" i="6"/>
  <c r="H143" i="6"/>
  <c r="G143" i="6"/>
  <c r="AD132" i="6"/>
  <c r="AC133" i="6" s="1"/>
  <c r="AB132" i="6"/>
  <c r="AA132" i="6"/>
  <c r="Z132" i="6"/>
  <c r="Y132" i="6"/>
  <c r="X132" i="6"/>
  <c r="W132" i="6"/>
  <c r="W133" i="6" s="1"/>
  <c r="V132" i="6"/>
  <c r="U132" i="6"/>
  <c r="U133" i="6" s="1"/>
  <c r="T132" i="6"/>
  <c r="S132" i="6"/>
  <c r="S133" i="6" s="1"/>
  <c r="R132" i="6"/>
  <c r="Q132" i="6"/>
  <c r="Q133" i="6" s="1"/>
  <c r="H132" i="6"/>
  <c r="G132" i="6"/>
  <c r="X99" i="6"/>
  <c r="X98" i="6"/>
  <c r="T97" i="6"/>
  <c r="O97" i="6"/>
  <c r="AD87" i="6"/>
  <c r="AC87" i="6"/>
  <c r="AB87" i="6"/>
  <c r="AA87" i="6"/>
  <c r="V87" i="6"/>
  <c r="AA92" i="6" s="1"/>
  <c r="U87" i="6"/>
  <c r="AA91" i="6" s="1"/>
  <c r="T87" i="6"/>
  <c r="S87" i="6"/>
  <c r="R87" i="6"/>
  <c r="Q87" i="6"/>
  <c r="H87" i="6"/>
  <c r="S92" i="6" s="1"/>
  <c r="G87" i="6"/>
  <c r="L86" i="6"/>
  <c r="K86" i="6"/>
  <c r="L85" i="6"/>
  <c r="K85" i="6"/>
  <c r="L83" i="6"/>
  <c r="K83" i="6"/>
  <c r="L82" i="6"/>
  <c r="K82" i="6"/>
  <c r="L81" i="6"/>
  <c r="K81" i="6"/>
  <c r="L80" i="6"/>
  <c r="K80" i="6"/>
  <c r="L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X87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Z87" i="6"/>
  <c r="L7" i="6"/>
  <c r="K7" i="6"/>
  <c r="L6" i="6"/>
  <c r="K6" i="6"/>
  <c r="X40" i="5"/>
  <c r="X59" i="5"/>
  <c r="X60" i="5"/>
  <c r="X23" i="5"/>
  <c r="X67" i="5"/>
  <c r="X48" i="5"/>
  <c r="X47" i="5"/>
  <c r="X61" i="5"/>
  <c r="X54" i="5"/>
  <c r="X55" i="5"/>
  <c r="X10" i="5"/>
  <c r="X29" i="5"/>
  <c r="X26" i="5"/>
  <c r="X62" i="5"/>
  <c r="X84" i="5"/>
  <c r="X50" i="5"/>
  <c r="X81" i="5"/>
  <c r="X139" i="5"/>
  <c r="X73" i="5"/>
  <c r="Z73" i="5" s="1"/>
  <c r="Y133" i="6" l="1"/>
  <c r="AA133" i="6"/>
  <c r="Y140" i="6"/>
  <c r="AC88" i="6"/>
  <c r="S88" i="6"/>
  <c r="W87" i="6"/>
  <c r="W88" i="6" s="1"/>
  <c r="G88" i="6"/>
  <c r="AA90" i="6"/>
  <c r="AA88" i="6"/>
  <c r="Y87" i="6"/>
  <c r="Y88" i="6" s="1"/>
  <c r="Q88" i="6"/>
  <c r="N90" i="6" s="1"/>
  <c r="N92" i="6"/>
  <c r="N91" i="6"/>
  <c r="S91" i="6"/>
  <c r="U88" i="6"/>
  <c r="X21" i="5"/>
  <c r="Z21" i="5" s="1"/>
  <c r="X46" i="5"/>
  <c r="Z46" i="5" s="1"/>
  <c r="X71" i="5"/>
  <c r="Z71" i="5" s="1"/>
  <c r="X36" i="5"/>
  <c r="Z36" i="5" s="1"/>
  <c r="X63" i="5"/>
  <c r="Z63" i="5" s="1"/>
  <c r="X7" i="5"/>
  <c r="Z7" i="5" s="1"/>
  <c r="X27" i="5"/>
  <c r="Z27" i="5" s="1"/>
  <c r="W17" i="5"/>
  <c r="Y17" i="5" s="1"/>
  <c r="W74" i="5"/>
  <c r="Y74" i="5" s="1"/>
  <c r="W58" i="5"/>
  <c r="Y58" i="5" s="1"/>
  <c r="W83" i="5" l="1"/>
  <c r="Y83" i="5" s="1"/>
  <c r="W79" i="5"/>
  <c r="Y79" i="5" s="1"/>
  <c r="W8" i="5"/>
  <c r="Y8" i="5" s="1"/>
  <c r="W44" i="5"/>
  <c r="Y44" i="5" s="1"/>
  <c r="W51" i="5"/>
  <c r="Y51" i="5" s="1"/>
  <c r="W20" i="5"/>
  <c r="Y20" i="5" s="1"/>
  <c r="W9" i="5"/>
  <c r="Y9" i="5" s="1"/>
  <c r="W68" i="5"/>
  <c r="Y68" i="5" s="1"/>
  <c r="W82" i="5"/>
  <c r="Y82" i="5" s="1"/>
  <c r="W43" i="5"/>
  <c r="Y43" i="5" s="1"/>
  <c r="W16" i="5"/>
  <c r="Y16" i="5" s="1"/>
  <c r="W78" i="5"/>
  <c r="Y78" i="5" s="1"/>
  <c r="W65" i="5"/>
  <c r="Y65" i="5" s="1"/>
  <c r="W19" i="5"/>
  <c r="Y19" i="5" s="1"/>
  <c r="W28" i="5"/>
  <c r="Y28" i="5" s="1"/>
  <c r="W22" i="5"/>
  <c r="Y22" i="5" s="1"/>
  <c r="W25" i="5"/>
  <c r="Y25" i="5" s="1"/>
  <c r="W18" i="5"/>
  <c r="Y18" i="5" s="1"/>
  <c r="W80" i="5"/>
  <c r="Y80" i="5" s="1"/>
  <c r="W75" i="5"/>
  <c r="Y75" i="5" s="1"/>
  <c r="W76" i="5"/>
  <c r="Y76" i="5" s="1"/>
  <c r="W77" i="5"/>
  <c r="Y77" i="5" s="1"/>
  <c r="AA149" i="5"/>
  <c r="Y149" i="5"/>
  <c r="U149" i="5"/>
  <c r="AD148" i="5"/>
  <c r="AC149" i="5" s="1"/>
  <c r="AB148" i="5"/>
  <c r="AA148" i="5"/>
  <c r="Z148" i="5"/>
  <c r="Y148" i="5"/>
  <c r="X148" i="5"/>
  <c r="W148" i="5"/>
  <c r="V148" i="5"/>
  <c r="U148" i="5"/>
  <c r="T148" i="5"/>
  <c r="S148" i="5"/>
  <c r="R148" i="5"/>
  <c r="Q148" i="5"/>
  <c r="Q149" i="5" s="1"/>
  <c r="H148" i="5"/>
  <c r="G148" i="5"/>
  <c r="U133" i="5"/>
  <c r="AD132" i="5"/>
  <c r="AC133" i="5" s="1"/>
  <c r="AB132" i="5"/>
  <c r="AA132" i="5"/>
  <c r="AA133" i="5" s="1"/>
  <c r="Z132" i="5"/>
  <c r="V132" i="5"/>
  <c r="U132" i="5"/>
  <c r="T132" i="5"/>
  <c r="S132" i="5"/>
  <c r="S133" i="5" s="1"/>
  <c r="R132" i="5"/>
  <c r="Q132" i="5"/>
  <c r="Q133" i="5" s="1"/>
  <c r="H132" i="5"/>
  <c r="G132" i="5"/>
  <c r="W132" i="5"/>
  <c r="X132" i="5"/>
  <c r="X99" i="5"/>
  <c r="X98" i="5"/>
  <c r="T97" i="5"/>
  <c r="O97" i="5"/>
  <c r="AD87" i="5"/>
  <c r="AC87" i="5"/>
  <c r="AB87" i="5"/>
  <c r="AA87" i="5"/>
  <c r="V87" i="5"/>
  <c r="AA92" i="5" s="1"/>
  <c r="U87" i="5"/>
  <c r="AA91" i="5" s="1"/>
  <c r="T87" i="5"/>
  <c r="S87" i="5"/>
  <c r="R87" i="5"/>
  <c r="Q87" i="5"/>
  <c r="H87" i="5"/>
  <c r="S91" i="5" s="1"/>
  <c r="G87" i="5"/>
  <c r="N92" i="5" s="1"/>
  <c r="L86" i="5"/>
  <c r="K86" i="5"/>
  <c r="L85" i="5"/>
  <c r="K85" i="5"/>
  <c r="L83" i="5"/>
  <c r="K83" i="5"/>
  <c r="L82" i="5"/>
  <c r="K82" i="5"/>
  <c r="L81" i="5"/>
  <c r="K81" i="5"/>
  <c r="L80" i="5"/>
  <c r="K80" i="5"/>
  <c r="L79" i="5"/>
  <c r="L78" i="5"/>
  <c r="K78" i="5"/>
  <c r="L77" i="5"/>
  <c r="K77" i="5"/>
  <c r="L76" i="5"/>
  <c r="K76" i="5"/>
  <c r="L75" i="5"/>
  <c r="K75" i="5"/>
  <c r="L74" i="5"/>
  <c r="K74" i="5"/>
  <c r="L73" i="5"/>
  <c r="K73" i="5"/>
  <c r="L72" i="5"/>
  <c r="K72" i="5"/>
  <c r="L71" i="5"/>
  <c r="K71" i="5"/>
  <c r="L70" i="5"/>
  <c r="K70" i="5"/>
  <c r="L69" i="5"/>
  <c r="K69" i="5"/>
  <c r="L68" i="5"/>
  <c r="K68" i="5"/>
  <c r="L67" i="5"/>
  <c r="K67" i="5"/>
  <c r="L66" i="5"/>
  <c r="K66" i="5"/>
  <c r="L65" i="5"/>
  <c r="K65" i="5"/>
  <c r="L64" i="5"/>
  <c r="K64" i="5"/>
  <c r="L63" i="5"/>
  <c r="K63" i="5"/>
  <c r="L62" i="5"/>
  <c r="K62" i="5"/>
  <c r="L61" i="5"/>
  <c r="K61" i="5"/>
  <c r="L60" i="5"/>
  <c r="K60" i="5"/>
  <c r="L59" i="5"/>
  <c r="K59" i="5"/>
  <c r="L58" i="5"/>
  <c r="K58" i="5"/>
  <c r="L57" i="5"/>
  <c r="K57" i="5"/>
  <c r="L55" i="5"/>
  <c r="K55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X52" i="4"/>
  <c r="X59" i="4"/>
  <c r="X60" i="4"/>
  <c r="X64" i="4"/>
  <c r="X61" i="4"/>
  <c r="X54" i="4"/>
  <c r="X55" i="4"/>
  <c r="X71" i="4"/>
  <c r="X53" i="4"/>
  <c r="X49" i="4"/>
  <c r="X45" i="4"/>
  <c r="X42" i="4"/>
  <c r="X41" i="4"/>
  <c r="X30" i="4"/>
  <c r="X122" i="4"/>
  <c r="AD148" i="4"/>
  <c r="AC149" i="4" s="1"/>
  <c r="AB148" i="4"/>
  <c r="AA148" i="4"/>
  <c r="AA149" i="4" s="1"/>
  <c r="Z148" i="4"/>
  <c r="X148" i="4"/>
  <c r="V148" i="4"/>
  <c r="U148" i="4"/>
  <c r="U149" i="4" s="1"/>
  <c r="T148" i="4"/>
  <c r="S148" i="4"/>
  <c r="S149" i="4" s="1"/>
  <c r="R148" i="4"/>
  <c r="Q148" i="4"/>
  <c r="Q149" i="4" s="1"/>
  <c r="H148" i="4"/>
  <c r="G148" i="4"/>
  <c r="W148" i="4"/>
  <c r="Y124" i="4"/>
  <c r="Y123" i="4"/>
  <c r="X83" i="4"/>
  <c r="Z83" i="4" s="1"/>
  <c r="X34" i="4"/>
  <c r="Z34" i="4" s="1"/>
  <c r="X62" i="4"/>
  <c r="Z62" i="4" s="1"/>
  <c r="X79" i="4"/>
  <c r="Z79" i="4" s="1"/>
  <c r="X75" i="4"/>
  <c r="Z75" i="4" s="1"/>
  <c r="X58" i="4"/>
  <c r="Z58" i="4" s="1"/>
  <c r="X39" i="4"/>
  <c r="Z39" i="4" s="1"/>
  <c r="W12" i="4"/>
  <c r="Y12" i="4" s="1"/>
  <c r="W47" i="4"/>
  <c r="Y47" i="4" s="1"/>
  <c r="W46" i="4"/>
  <c r="Y46" i="4" s="1"/>
  <c r="W48" i="4"/>
  <c r="Y48" i="4" s="1"/>
  <c r="W67" i="4"/>
  <c r="Y67" i="4" s="1"/>
  <c r="W124" i="4"/>
  <c r="W125" i="4"/>
  <c r="W123" i="4"/>
  <c r="W149" i="5" l="1"/>
  <c r="S149" i="5"/>
  <c r="S92" i="5"/>
  <c r="AA90" i="5"/>
  <c r="AA88" i="5"/>
  <c r="AC88" i="5"/>
  <c r="X87" i="5"/>
  <c r="S88" i="5"/>
  <c r="Q88" i="5"/>
  <c r="N90" i="5" s="1"/>
  <c r="W87" i="5"/>
  <c r="W133" i="5"/>
  <c r="Z87" i="5"/>
  <c r="N91" i="5"/>
  <c r="Y132" i="5"/>
  <c r="Y133" i="5" s="1"/>
  <c r="U88" i="5"/>
  <c r="Y87" i="5"/>
  <c r="G88" i="5"/>
  <c r="W149" i="4"/>
  <c r="Y148" i="4"/>
  <c r="Y149" i="4" s="1"/>
  <c r="Y88" i="5" l="1"/>
  <c r="W88" i="5"/>
  <c r="H87" i="4" l="1"/>
  <c r="S92" i="4" s="1"/>
  <c r="G87" i="4"/>
  <c r="H87" i="3"/>
  <c r="S92" i="3" s="1"/>
  <c r="G87" i="3"/>
  <c r="G88" i="3" s="1"/>
  <c r="S92" i="2"/>
  <c r="N92" i="2"/>
  <c r="H87" i="2"/>
  <c r="G88" i="4" l="1"/>
  <c r="W50" i="4" l="1"/>
  <c r="Y50" i="4" s="1"/>
  <c r="W72" i="4"/>
  <c r="Y72" i="4" s="1"/>
  <c r="W23" i="4"/>
  <c r="Y23" i="4" s="1"/>
  <c r="W63" i="4"/>
  <c r="Y63" i="4" s="1"/>
  <c r="W56" i="4"/>
  <c r="Y56" i="4" s="1"/>
  <c r="W22" i="4"/>
  <c r="Y22" i="4" s="1"/>
  <c r="W76" i="4"/>
  <c r="Y76" i="4" s="1"/>
  <c r="W77" i="4"/>
  <c r="Y77" i="4" s="1"/>
  <c r="W18" i="4"/>
  <c r="Y18" i="4" s="1"/>
  <c r="W80" i="4"/>
  <c r="Y80" i="4" s="1"/>
  <c r="W44" i="4"/>
  <c r="Y44" i="4" s="1"/>
  <c r="W8" i="4"/>
  <c r="Y8" i="4" s="1"/>
  <c r="W26" i="4"/>
  <c r="Y26" i="4" s="1"/>
  <c r="W21" i="4"/>
  <c r="Y21" i="4" s="1"/>
  <c r="W29" i="4"/>
  <c r="Y29" i="4" s="1"/>
  <c r="W81" i="4"/>
  <c r="Y81" i="4" s="1"/>
  <c r="W10" i="4"/>
  <c r="Y10" i="4" s="1"/>
  <c r="W133" i="4"/>
  <c r="U133" i="4"/>
  <c r="AD132" i="4"/>
  <c r="AC133" i="4" s="1"/>
  <c r="AB132" i="4"/>
  <c r="AA132" i="4"/>
  <c r="AA133" i="4" s="1"/>
  <c r="Z132" i="4"/>
  <c r="Y132" i="4"/>
  <c r="X132" i="4"/>
  <c r="W132" i="4"/>
  <c r="V132" i="4"/>
  <c r="U132" i="4"/>
  <c r="T132" i="4"/>
  <c r="S132" i="4"/>
  <c r="R132" i="4"/>
  <c r="Q132" i="4"/>
  <c r="H132" i="4"/>
  <c r="G132" i="4"/>
  <c r="X99" i="4"/>
  <c r="X98" i="4"/>
  <c r="T97" i="4"/>
  <c r="O97" i="4"/>
  <c r="S91" i="4"/>
  <c r="AD87" i="4"/>
  <c r="AC87" i="4"/>
  <c r="AB87" i="4"/>
  <c r="AA87" i="4"/>
  <c r="V87" i="4"/>
  <c r="AA92" i="4" s="1"/>
  <c r="U87" i="4"/>
  <c r="AA91" i="4" s="1"/>
  <c r="T87" i="4"/>
  <c r="S87" i="4"/>
  <c r="R87" i="4"/>
  <c r="Q87" i="4"/>
  <c r="N92" i="4"/>
  <c r="L86" i="4"/>
  <c r="K86" i="4"/>
  <c r="L85" i="4"/>
  <c r="K85" i="4"/>
  <c r="L83" i="4"/>
  <c r="K83" i="4"/>
  <c r="L82" i="4"/>
  <c r="K82" i="4"/>
  <c r="L81" i="4"/>
  <c r="K81" i="4"/>
  <c r="L80" i="4"/>
  <c r="K80" i="4"/>
  <c r="L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X79" i="3"/>
  <c r="Z79" i="3" s="1"/>
  <c r="X27" i="3"/>
  <c r="Z27" i="3" s="1"/>
  <c r="X19" i="3"/>
  <c r="Z19" i="3" s="1"/>
  <c r="X75" i="3"/>
  <c r="Z75" i="3" s="1"/>
  <c r="X82" i="3"/>
  <c r="Z82" i="3" s="1"/>
  <c r="X51" i="3"/>
  <c r="Z51" i="3" s="1"/>
  <c r="X78" i="3"/>
  <c r="Z78" i="3" s="1"/>
  <c r="X61" i="3"/>
  <c r="Z61" i="3" s="1"/>
  <c r="X60" i="3"/>
  <c r="Z60" i="3" s="1"/>
  <c r="X59" i="3"/>
  <c r="Z59" i="3" s="1"/>
  <c r="X65" i="3"/>
  <c r="Z65" i="3" s="1"/>
  <c r="X64" i="3"/>
  <c r="Z64" i="3" s="1"/>
  <c r="X54" i="3"/>
  <c r="Z54" i="3" s="1"/>
  <c r="X74" i="3"/>
  <c r="Z74" i="3" s="1"/>
  <c r="X73" i="3"/>
  <c r="Z73" i="3" s="1"/>
  <c r="X58" i="3"/>
  <c r="Z58" i="3" s="1"/>
  <c r="Y22" i="3"/>
  <c r="W49" i="3"/>
  <c r="Y49" i="3" s="1"/>
  <c r="W52" i="3"/>
  <c r="Y52" i="3" s="1"/>
  <c r="W23" i="3"/>
  <c r="Y23" i="3" s="1"/>
  <c r="W55" i="3"/>
  <c r="Y55" i="3" s="1"/>
  <c r="W67" i="3"/>
  <c r="Y67" i="3" s="1"/>
  <c r="W46" i="3"/>
  <c r="Y46" i="3" s="1"/>
  <c r="W47" i="3"/>
  <c r="Y47" i="3" s="1"/>
  <c r="W48" i="3"/>
  <c r="Y48" i="3" s="1"/>
  <c r="W53" i="3"/>
  <c r="Y53" i="3" s="1"/>
  <c r="W22" i="3"/>
  <c r="W25" i="3"/>
  <c r="Y25" i="3" s="1"/>
  <c r="W17" i="3"/>
  <c r="Y17" i="3" s="1"/>
  <c r="W77" i="3"/>
  <c r="Y77" i="3" s="1"/>
  <c r="W76" i="3"/>
  <c r="Y76" i="3" s="1"/>
  <c r="W80" i="3"/>
  <c r="Y80" i="3" s="1"/>
  <c r="AC133" i="3"/>
  <c r="AD132" i="3"/>
  <c r="AB132" i="3"/>
  <c r="AA132" i="3"/>
  <c r="AA133" i="3" s="1"/>
  <c r="Z132" i="3"/>
  <c r="Y132" i="3"/>
  <c r="Y133" i="3" s="1"/>
  <c r="X132" i="3"/>
  <c r="W132" i="3"/>
  <c r="V132" i="3"/>
  <c r="U132" i="3"/>
  <c r="U133" i="3" s="1"/>
  <c r="T132" i="3"/>
  <c r="S132" i="3"/>
  <c r="R132" i="3"/>
  <c r="Q132" i="3"/>
  <c r="H132" i="3"/>
  <c r="G132" i="3"/>
  <c r="X99" i="3"/>
  <c r="X98" i="3"/>
  <c r="T97" i="3"/>
  <c r="O97" i="3"/>
  <c r="S91" i="3"/>
  <c r="AD87" i="3"/>
  <c r="AC87" i="3"/>
  <c r="AB87" i="3"/>
  <c r="AA87" i="3"/>
  <c r="V87" i="3"/>
  <c r="U87" i="3"/>
  <c r="AA91" i="3" s="1"/>
  <c r="T87" i="3"/>
  <c r="S87" i="3"/>
  <c r="R87" i="3"/>
  <c r="Q87" i="3"/>
  <c r="N92" i="3"/>
  <c r="L86" i="3"/>
  <c r="K86" i="3"/>
  <c r="L85" i="3"/>
  <c r="K85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Y133" i="4" l="1"/>
  <c r="S133" i="4"/>
  <c r="Q133" i="4"/>
  <c r="S88" i="4"/>
  <c r="Q88" i="4"/>
  <c r="N90" i="4" s="1"/>
  <c r="W87" i="4"/>
  <c r="U88" i="4"/>
  <c r="AA88" i="4"/>
  <c r="AA90" i="4"/>
  <c r="AC88" i="4"/>
  <c r="Z87" i="4"/>
  <c r="Y87" i="4"/>
  <c r="X87" i="4"/>
  <c r="N91" i="4"/>
  <c r="W133" i="3"/>
  <c r="Q133" i="3"/>
  <c r="S133" i="3"/>
  <c r="Z87" i="3"/>
  <c r="X87" i="3"/>
  <c r="S88" i="3"/>
  <c r="Q88" i="3"/>
  <c r="N90" i="3" s="1"/>
  <c r="Y87" i="3"/>
  <c r="W87" i="3"/>
  <c r="AC88" i="3"/>
  <c r="U88" i="3"/>
  <c r="AA88" i="3"/>
  <c r="N91" i="3"/>
  <c r="AA92" i="3"/>
  <c r="AA90" i="3" s="1"/>
  <c r="W49" i="2"/>
  <c r="Y49" i="2" s="1"/>
  <c r="W9" i="2"/>
  <c r="Y9" i="2" s="1"/>
  <c r="W24" i="2"/>
  <c r="Y24" i="2" s="1"/>
  <c r="W43" i="2"/>
  <c r="Y43" i="2" s="1"/>
  <c r="W61" i="2"/>
  <c r="Y61" i="2" s="1"/>
  <c r="W60" i="2"/>
  <c r="Y60" i="2" s="1"/>
  <c r="W59" i="2"/>
  <c r="Y59" i="2" s="1"/>
  <c r="W65" i="2"/>
  <c r="Y65" i="2" s="1"/>
  <c r="W40" i="2"/>
  <c r="Y40" i="2" s="1"/>
  <c r="W56" i="2"/>
  <c r="Y56" i="2" s="1"/>
  <c r="W62" i="2"/>
  <c r="Y62" i="2" s="1"/>
  <c r="W52" i="2"/>
  <c r="Y52" i="2" s="1"/>
  <c r="W10" i="2"/>
  <c r="Y10" i="2" s="1"/>
  <c r="Y88" i="4" l="1"/>
  <c r="W88" i="4"/>
  <c r="Y88" i="3"/>
  <c r="W88" i="3"/>
  <c r="W133" i="2"/>
  <c r="U133" i="2"/>
  <c r="AD132" i="2"/>
  <c r="AC133" i="2" s="1"/>
  <c r="AB132" i="2"/>
  <c r="AA132" i="2"/>
  <c r="AA133" i="2" s="1"/>
  <c r="Z132" i="2"/>
  <c r="Y132" i="2"/>
  <c r="Y133" i="2" s="1"/>
  <c r="X132" i="2"/>
  <c r="W132" i="2"/>
  <c r="V132" i="2"/>
  <c r="U132" i="2"/>
  <c r="T132" i="2"/>
  <c r="S132" i="2"/>
  <c r="S133" i="2" s="1"/>
  <c r="R132" i="2"/>
  <c r="Q132" i="2"/>
  <c r="Q133" i="2" s="1"/>
  <c r="H132" i="2"/>
  <c r="G132" i="2"/>
  <c r="X99" i="2"/>
  <c r="X98" i="2"/>
  <c r="T97" i="2"/>
  <c r="O97" i="2"/>
  <c r="S91" i="2"/>
  <c r="AD87" i="2"/>
  <c r="AC87" i="2"/>
  <c r="AB87" i="2"/>
  <c r="AA87" i="2"/>
  <c r="V87" i="2"/>
  <c r="AA92" i="2" s="1"/>
  <c r="U87" i="2"/>
  <c r="T87" i="2"/>
  <c r="S87" i="2"/>
  <c r="R87" i="2"/>
  <c r="Q87" i="2"/>
  <c r="Q88" i="2" s="1"/>
  <c r="N90" i="2" s="1"/>
  <c r="G87" i="2"/>
  <c r="N91" i="2" s="1"/>
  <c r="L86" i="2"/>
  <c r="K86" i="2"/>
  <c r="L85" i="2"/>
  <c r="K85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W87" i="2"/>
  <c r="L6" i="2"/>
  <c r="K6" i="2"/>
  <c r="U88" i="2" l="1"/>
  <c r="S88" i="2"/>
  <c r="AA88" i="2"/>
  <c r="AA91" i="2"/>
  <c r="AA90" i="2" s="1"/>
  <c r="AC88" i="2"/>
  <c r="Y87" i="2"/>
  <c r="Z87" i="2"/>
  <c r="G88" i="2"/>
  <c r="X87" i="2"/>
  <c r="W88" i="2" s="1"/>
  <c r="Y8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B125D6B9-52D9-4AE4-BD9A-C669F920B47F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A9BC0FD4-96BF-4B7C-B826-68B3839B552C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5A088937-EE5F-4E31-900F-773AF7D8ECEC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5C6C6108-6363-49EA-91FA-6DEF30B19EE6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F3738FC1-4651-474B-824F-3DF3AF0C0B57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AD42F840-47E5-4BF6-AC7C-A62D451D0C2F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9E288D31-2275-4283-8510-2ED6F32A2231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509B8034-EB7C-4EB0-8857-9C82E4BF0B45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C6DC1AF4-E9A2-42C2-AE6F-1DCF04F76453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FFB802FB-4659-4BAE-A4F6-A4B2F43BBD32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F28FA711-037E-4EB8-8E7F-8DD9A5610CB4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33A811DB-51C2-418B-B275-E054E51071C4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AE83BECF-1CDC-4DA7-8752-46AA71A98D52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B629F9A6-E594-46BA-A20A-0C3F08F75039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380BD2A3-D76F-40DF-BA78-239CA91905A4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E73FBD1E-C149-4A3C-834D-18DFD756B3EA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Zola Polysack</author>
  </authors>
  <commentList>
    <comment ref="AA67" authorId="0" shapeId="0" xr:uid="{3961B72A-540C-4D5D-94DE-7ECB3F9E287D}">
      <text>
        <r>
          <rPr>
            <b/>
            <sz val="9"/>
            <color indexed="81"/>
            <rFont val="Tahoma"/>
            <family val="2"/>
          </rPr>
          <t>Zola Polysack
เฉลี่ยม้วนต่ำ/ลายอัด2/1ขาดหาย</t>
        </r>
      </text>
    </comment>
  </commentList>
</comments>
</file>

<file path=xl/sharedStrings.xml><?xml version="1.0" encoding="utf-8"?>
<sst xmlns="http://schemas.openxmlformats.org/spreadsheetml/2006/main" count="11152" uniqueCount="370">
  <si>
    <t xml:space="preserve"> </t>
  </si>
  <si>
    <t>No.</t>
  </si>
  <si>
    <t>ชื่อพนักงานทอ</t>
  </si>
  <si>
    <t>ขนาด</t>
  </si>
  <si>
    <t>ยอดทอ</t>
  </si>
  <si>
    <t>ความเร็วรอบ</t>
  </si>
  <si>
    <t>ประสิทธิภาพ</t>
  </si>
  <si>
    <t>เลขมิเตอร์ประจำวัน</t>
  </si>
  <si>
    <t>ความยาวตัดม้วน</t>
  </si>
  <si>
    <t>น้ำหนักม้วน</t>
  </si>
  <si>
    <t>จำนวนแผล</t>
  </si>
  <si>
    <t>ค่าเฉลี่ย</t>
  </si>
  <si>
    <t>ผ่าน</t>
  </si>
  <si>
    <t>ไม่ผ่าน</t>
  </si>
  <si>
    <t>น้ำหนัก</t>
  </si>
  <si>
    <t>หน้าผ้า</t>
  </si>
  <si>
    <t>Lot.No</t>
  </si>
  <si>
    <t>เลขที่ใบสั่งผลิต</t>
  </si>
  <si>
    <t>08.00 - 20.00 น.(กะ A)</t>
  </si>
  <si>
    <t>20.00 - 08.00 น. (กะ B)</t>
  </si>
  <si>
    <t xml:space="preserve"> (เมตร)</t>
  </si>
  <si>
    <t>(Kg)</t>
  </si>
  <si>
    <t>ต่อม้วน</t>
  </si>
  <si>
    <t>ต่อม้วน(g/ใบ)</t>
  </si>
  <si>
    <t>(ใบ)</t>
  </si>
  <si>
    <t>เครื่อง</t>
  </si>
  <si>
    <t>กะ A</t>
  </si>
  <si>
    <t>กะ B</t>
  </si>
  <si>
    <t>(รหัส)</t>
  </si>
  <si>
    <t>(กะ A)%</t>
  </si>
  <si>
    <t>(กะ B)%</t>
  </si>
  <si>
    <t>เริ่มงาน</t>
  </si>
  <si>
    <t>เลิกงาน</t>
  </si>
  <si>
    <t>CL1</t>
  </si>
  <si>
    <t>ZP91569</t>
  </si>
  <si>
    <t>ZP92285</t>
  </si>
  <si>
    <t>2625850SM</t>
  </si>
  <si>
    <t>CL2</t>
  </si>
  <si>
    <t>CL3</t>
  </si>
  <si>
    <t>2125650</t>
  </si>
  <si>
    <t>CL4</t>
  </si>
  <si>
    <t>ZP9174</t>
  </si>
  <si>
    <t>ZP91042</t>
  </si>
  <si>
    <t>2025800</t>
  </si>
  <si>
    <t>CL5</t>
  </si>
  <si>
    <t>ZP9060</t>
  </si>
  <si>
    <t>ZP92286</t>
  </si>
  <si>
    <t>2025850</t>
  </si>
  <si>
    <t>CL6</t>
  </si>
  <si>
    <t>ZP92425</t>
  </si>
  <si>
    <t>CL7</t>
  </si>
  <si>
    <t>ZP92250</t>
  </si>
  <si>
    <t>2325650</t>
  </si>
  <si>
    <t>CL8</t>
  </si>
  <si>
    <t>CL9</t>
  </si>
  <si>
    <t>CL12</t>
  </si>
  <si>
    <t>CL13</t>
  </si>
  <si>
    <t>1921720</t>
  </si>
  <si>
    <t>CL14</t>
  </si>
  <si>
    <t>2121670SM</t>
  </si>
  <si>
    <t>CL15</t>
  </si>
  <si>
    <t>2121670SMN</t>
  </si>
  <si>
    <t>CL16</t>
  </si>
  <si>
    <t>ZP92282</t>
  </si>
  <si>
    <t>ZP92317</t>
  </si>
  <si>
    <t>1825800</t>
  </si>
  <si>
    <t>CL17</t>
  </si>
  <si>
    <t>CL19</t>
  </si>
  <si>
    <t>CL25</t>
  </si>
  <si>
    <t>ZP92491</t>
  </si>
  <si>
    <t>CL26</t>
  </si>
  <si>
    <t>1925800</t>
  </si>
  <si>
    <t>CL27</t>
  </si>
  <si>
    <t>CL28</t>
  </si>
  <si>
    <t>CL29</t>
  </si>
  <si>
    <t>ZP92237</t>
  </si>
  <si>
    <t>ZP92402</t>
  </si>
  <si>
    <t>CL30</t>
  </si>
  <si>
    <t>CL31</t>
  </si>
  <si>
    <t>CL32</t>
  </si>
  <si>
    <t>CL33</t>
  </si>
  <si>
    <t>CL44</t>
  </si>
  <si>
    <t>CL45</t>
  </si>
  <si>
    <t>CL46</t>
  </si>
  <si>
    <t>CL47</t>
  </si>
  <si>
    <t>ZP92318</t>
  </si>
  <si>
    <t>CL48</t>
  </si>
  <si>
    <t>2421112512551</t>
  </si>
  <si>
    <t>CL49</t>
  </si>
  <si>
    <t>ZP92186</t>
  </si>
  <si>
    <t>ZP92187</t>
  </si>
  <si>
    <t>CL50</t>
  </si>
  <si>
    <t>CL51</t>
  </si>
  <si>
    <t>CL52</t>
  </si>
  <si>
    <t>2025700</t>
  </si>
  <si>
    <t>CL53</t>
  </si>
  <si>
    <t>CL54</t>
  </si>
  <si>
    <t>ZP92434</t>
  </si>
  <si>
    <t>CL55</t>
  </si>
  <si>
    <t>CL56</t>
  </si>
  <si>
    <t>CL57</t>
  </si>
  <si>
    <t>2625800</t>
  </si>
  <si>
    <t>CL58</t>
  </si>
  <si>
    <t>CL59</t>
  </si>
  <si>
    <t>2825850</t>
  </si>
  <si>
    <t>CL60</t>
  </si>
  <si>
    <t>CL61</t>
  </si>
  <si>
    <t>CL62</t>
  </si>
  <si>
    <t>CL63</t>
  </si>
  <si>
    <t>CL64</t>
  </si>
  <si>
    <t>CL65</t>
  </si>
  <si>
    <t>CL66</t>
  </si>
  <si>
    <t>CL67</t>
  </si>
  <si>
    <t>CL68</t>
  </si>
  <si>
    <t>CL69</t>
  </si>
  <si>
    <t>ZP91718</t>
  </si>
  <si>
    <t>ZP92471</t>
  </si>
  <si>
    <t>CL70</t>
  </si>
  <si>
    <t>TEST24</t>
  </si>
  <si>
    <t>CL71</t>
  </si>
  <si>
    <t>ZP91702</t>
  </si>
  <si>
    <t>ZP92350</t>
  </si>
  <si>
    <t>CL72</t>
  </si>
  <si>
    <t>CL73</t>
  </si>
  <si>
    <t>CL74</t>
  </si>
  <si>
    <t>CL75</t>
  </si>
  <si>
    <t>CL76</t>
  </si>
  <si>
    <t>ZP9499</t>
  </si>
  <si>
    <t>CL77</t>
  </si>
  <si>
    <t>CL78</t>
  </si>
  <si>
    <t>CL79</t>
  </si>
  <si>
    <t>CL80</t>
  </si>
  <si>
    <t>CL81</t>
  </si>
  <si>
    <t>CL82</t>
  </si>
  <si>
    <t>CL83</t>
  </si>
  <si>
    <t>CL84</t>
  </si>
  <si>
    <t>CL85</t>
  </si>
  <si>
    <t>CL86</t>
  </si>
  <si>
    <t>CL87</t>
  </si>
  <si>
    <t>CL88</t>
  </si>
  <si>
    <t>2025800SMN</t>
  </si>
  <si>
    <t>CL89</t>
  </si>
  <si>
    <t>CL90</t>
  </si>
  <si>
    <t>CL91</t>
  </si>
  <si>
    <t>CL92</t>
  </si>
  <si>
    <t>CL93</t>
  </si>
  <si>
    <t>2025800SM</t>
  </si>
  <si>
    <t>CL94</t>
  </si>
  <si>
    <t>CL95</t>
  </si>
  <si>
    <t>CL36</t>
  </si>
  <si>
    <t>TOTAL</t>
  </si>
  <si>
    <t>.</t>
  </si>
  <si>
    <t>เลขที่ใบเบิก</t>
  </si>
  <si>
    <t>ตัดม้วนความยาว</t>
  </si>
  <si>
    <t>เมตร</t>
  </si>
  <si>
    <t>จำนวนแผลรวม</t>
  </si>
  <si>
    <t>1...................................................................</t>
  </si>
  <si>
    <t>กะAทอได้           .......................                   .เมตร/เครื่อง</t>
  </si>
  <si>
    <t>.เมตร/เครื่อง</t>
  </si>
  <si>
    <t xml:space="preserve">         กะBทอได้      </t>
  </si>
  <si>
    <t xml:space="preserve">แผล /กะA       </t>
  </si>
  <si>
    <t>2...................................................................</t>
  </si>
  <si>
    <t xml:space="preserve">จำนวน    </t>
  </si>
  <si>
    <t>กะAทอเฉลี่ย       ........................เมตร/เครื่อง</t>
  </si>
  <si>
    <t xml:space="preserve">         กะBทอเฉลี่ย  </t>
  </si>
  <si>
    <t>แผล /กะB</t>
  </si>
  <si>
    <t>3...................................................................</t>
  </si>
  <si>
    <t>2.2625800</t>
  </si>
  <si>
    <t>3.1921720</t>
  </si>
  <si>
    <t>4.2025800</t>
  </si>
  <si>
    <t>หมายเหตุ</t>
  </si>
  <si>
    <t>เลขที่ใบแจ้งยอด</t>
  </si>
  <si>
    <t>5.2121670SMN</t>
  </si>
  <si>
    <t>,</t>
  </si>
  <si>
    <t>6.2025800SMN</t>
  </si>
  <si>
    <t xml:space="preserve">เครื่องทอทั้งหมด                 </t>
  </si>
  <si>
    <t xml:space="preserve">         กะA      ………………เครื่อง</t>
  </si>
  <si>
    <t xml:space="preserve">กะB      </t>
  </si>
  <si>
    <t>8.2025850</t>
  </si>
  <si>
    <t>พนักงานรายวันกะA</t>
  </si>
  <si>
    <t>คน</t>
  </si>
  <si>
    <t>พนักงานทอเหมา</t>
  </si>
  <si>
    <t>มาทำงาน</t>
  </si>
  <si>
    <t>หยุดงาน</t>
  </si>
  <si>
    <t>9.2625850SM</t>
  </si>
  <si>
    <t>พนักงานรายวันกะB</t>
  </si>
  <si>
    <t>เลขที่ใบคืน</t>
  </si>
  <si>
    <t>10.1925800</t>
  </si>
  <si>
    <t>A</t>
  </si>
  <si>
    <t>พร</t>
  </si>
  <si>
    <t>11.2121670SM</t>
  </si>
  <si>
    <t>12.2125650</t>
  </si>
  <si>
    <t>13.2625850SMN</t>
  </si>
  <si>
    <t>B</t>
  </si>
  <si>
    <t>CL57,80  เปลี่ยนหน้าผ้า 2825850</t>
  </si>
  <si>
    <t>หม่องซอ</t>
  </si>
  <si>
    <t>14.2321112512551</t>
  </si>
  <si>
    <t>CL9,27  เปลี่ยนหน้าผ้า 2321112512551</t>
  </si>
  <si>
    <t>15.2025850SM</t>
  </si>
  <si>
    <t>กิจ</t>
  </si>
  <si>
    <t>16.2025700</t>
  </si>
  <si>
    <t>ป่วย</t>
  </si>
  <si>
    <t>17.2325650</t>
  </si>
  <si>
    <t>จำนวน 51ม้วน</t>
  </si>
  <si>
    <t>ลงชื่อ ...........................................ผู้บันทึก</t>
  </si>
  <si>
    <t>ลงชื่อ ...........................................ผู้ตรวจสอบ</t>
  </si>
  <si>
    <t>วันที่ ............./............../..............</t>
  </si>
  <si>
    <t>ยืน</t>
  </si>
  <si>
    <t>พุ่ง</t>
  </si>
  <si>
    <t>21/1125</t>
  </si>
  <si>
    <t>2.5/1080</t>
  </si>
  <si>
    <t>2321112512551</t>
  </si>
  <si>
    <t>รายงานแผนกผลิต 2     ประจำวันที่    02/01/2569</t>
  </si>
  <si>
    <t>สรุปยอดผลิตประจำวันที่    03/1/2569</t>
  </si>
  <si>
    <t>CL34</t>
  </si>
  <si>
    <t>CL35</t>
  </si>
  <si>
    <t>รายงานแผนกผลิต 2     ประจำวันที่    03/01/2569</t>
  </si>
  <si>
    <t>สรุปยอดผลิตประจำวันที่    04/1/2569</t>
  </si>
  <si>
    <t>รายงานแผนกผลิต 2     ประจำวันที่    04/01/2569</t>
  </si>
  <si>
    <t>จำนวน 31ม้วน</t>
  </si>
  <si>
    <t>2.2825850</t>
  </si>
  <si>
    <t>4.2025700</t>
  </si>
  <si>
    <t>10.2325650</t>
  </si>
  <si>
    <t>CL72,73,74,26,  เปลี่ยนหน้าผ้า 1921720</t>
  </si>
  <si>
    <t>CL48,79,70 เปลี่ยนหน้าผ้า 23211125130</t>
  </si>
  <si>
    <t>ยานลินออง</t>
  </si>
  <si>
    <t>วิ</t>
  </si>
  <si>
    <t>รายงานแผนกผลิต 2     ประจำวันที่    05/01/2569</t>
  </si>
  <si>
    <t>ลาคลอด</t>
  </si>
  <si>
    <t>นันมาเลยี</t>
  </si>
  <si>
    <t>เอวิน</t>
  </si>
  <si>
    <t>สรุปยอดผลิตประจำวันที่    05/1/2569</t>
  </si>
  <si>
    <t>ZP91385</t>
  </si>
  <si>
    <t>ZP92481</t>
  </si>
  <si>
    <t>ZP91680</t>
  </si>
  <si>
    <t>สรุปยอดผลิตประจำวันที่ 2/1/2568</t>
  </si>
  <si>
    <t>หม่องซฮ</t>
  </si>
  <si>
    <t>23211125130</t>
  </si>
  <si>
    <t>จำนวน 47ม้วน</t>
  </si>
  <si>
    <t>CL74,69,68,67  เปลี่ยนหน้าผ้า 2025850</t>
  </si>
  <si>
    <t>CL95,91 เปลี่ยนหน้าผ้า 2025800sm</t>
  </si>
  <si>
    <t>2625850SMN</t>
  </si>
  <si>
    <t>CL85 เปลี่ยนหน้าผ้า  1825800sm</t>
  </si>
  <si>
    <t>CL53,84,76, เปลี่ยนหน้าผ้า  25025850</t>
  </si>
  <si>
    <t>รายงานแผนกผลิต 2     ประจำวันที่    06/01/2569</t>
  </si>
  <si>
    <t>สรุปยอดผลิตประจำวันที่    06/1/2569</t>
  </si>
  <si>
    <t>12.23211125130</t>
  </si>
  <si>
    <t>6.2125650</t>
  </si>
  <si>
    <t>ติดแถบกาว36ชิ้น6/1/69</t>
  </si>
  <si>
    <t>รายงานแผนกผลิต 2     ประจำวันที่    07/01/2569</t>
  </si>
  <si>
    <t>สรุปยอดผลิตประจำวันที่    07/1/2569</t>
  </si>
  <si>
    <t>ประจำเดือน</t>
  </si>
  <si>
    <t>FCL 0223</t>
  </si>
  <si>
    <t>231125130</t>
  </si>
  <si>
    <t>26sm</t>
  </si>
  <si>
    <t>26sMN</t>
  </si>
  <si>
    <t>20sm</t>
  </si>
  <si>
    <t>20sMN</t>
  </si>
  <si>
    <t>21sm</t>
  </si>
  <si>
    <t>21sMN</t>
  </si>
  <si>
    <t>1.2025850SMN</t>
  </si>
  <si>
    <t>CL8 เปลี่ยนหน้าผ้า  FCL 022325650</t>
  </si>
  <si>
    <t>69010806,07</t>
  </si>
  <si>
    <t>ติดแถบกาว35ชิ้น8/1/69</t>
  </si>
  <si>
    <t>69010814,51</t>
  </si>
  <si>
    <t>69010822,55</t>
  </si>
  <si>
    <t>69010818,60</t>
  </si>
  <si>
    <t>69010823,62</t>
  </si>
  <si>
    <t>จำนวน 63ม้วน</t>
  </si>
  <si>
    <t>15.2025850SMN</t>
  </si>
  <si>
    <t>รายงานแผนกผลิต 2     ประจำวันที่    08/01/2569</t>
  </si>
  <si>
    <t>รายงานแผนกผลิต 2     ประจำวันที่    09/01/2569</t>
  </si>
  <si>
    <t>1825800SM</t>
  </si>
  <si>
    <t>สรุปยอดผลิตประจำวันที่    09/1/2569</t>
  </si>
  <si>
    <t>สรุปยอดผลิตประจำวันที่    08/1/2569</t>
  </si>
  <si>
    <t>CL85 เปลี่ยนหน้าผ้า  1925800SM</t>
  </si>
  <si>
    <t>CL66,64 เปลี่ยนหน้าผ้า  FCL 022325650</t>
  </si>
  <si>
    <t>CL1 เปลี่ยนหน้าผ้า  262575051</t>
  </si>
  <si>
    <t>CL6,28เปลี่ยนหน้าผ้า  2625800</t>
  </si>
  <si>
    <t>69010903,30</t>
  </si>
  <si>
    <t>จำนวน 36ม้วน</t>
  </si>
  <si>
    <t>1.1825800SM</t>
  </si>
  <si>
    <t>ติดแถบกาว35ชิ้น9/1/69</t>
  </si>
  <si>
    <t>รายงานแผนกผลิต 2     ประจำวันที่    10/01/2569</t>
  </si>
  <si>
    <t>สรุปยอดผลิตประจำวันที่    10/1/2569</t>
  </si>
  <si>
    <t>FCL022325650</t>
  </si>
  <si>
    <t>1925800SMN</t>
  </si>
  <si>
    <t>ติดแถบกาว18ชิ้น10/1/69</t>
  </si>
  <si>
    <t>จำนวน 32ม้วน</t>
  </si>
  <si>
    <t>1.1925800SM</t>
  </si>
  <si>
    <t>3.1925800</t>
  </si>
  <si>
    <t>11.2025800SM</t>
  </si>
  <si>
    <t>17.FCL2325650</t>
  </si>
  <si>
    <t>สรุปยอดผลิตประจำวันที่    12/1/2569</t>
  </si>
  <si>
    <t>รายงานแผนกผลิต 2     ประจำวันที่    12/01/2569</t>
  </si>
  <si>
    <t>2021750</t>
  </si>
  <si>
    <t>262575051</t>
  </si>
  <si>
    <t>2025650</t>
  </si>
  <si>
    <t>จำนวน 33ม้วน</t>
  </si>
  <si>
    <t>10.2021750</t>
  </si>
  <si>
    <t>2.2121670SM</t>
  </si>
  <si>
    <t>4.262575051</t>
  </si>
  <si>
    <t>สรุปยอดผลิตประจำวันที่    13/1/2569</t>
  </si>
  <si>
    <t>รายงานแผนกผลิต 2     ประจำวันที่    13/01/2569</t>
  </si>
  <si>
    <t>1925800SM</t>
  </si>
  <si>
    <t>รัดดา</t>
  </si>
  <si>
    <t>10.1925800SM</t>
  </si>
  <si>
    <t>6.1925800</t>
  </si>
  <si>
    <t>5.2625800</t>
  </si>
  <si>
    <t>สรุปยอดผลิตประจำวันที่    14/1/2569</t>
  </si>
  <si>
    <t>รายงานแผนกผลิต 2     ประจำวันที่    14/01/2569</t>
  </si>
  <si>
    <t>CL54,4,47,69,81 เปลี่ยนหน้าผ้า 2025850</t>
  </si>
  <si>
    <t>พนักงานตัดม้วนเริ่มงาน1  คน</t>
  </si>
  <si>
    <t>CL72,73,76,77,83,84 เปลี่ยนหน้าผ้า 1921720</t>
  </si>
  <si>
    <t>2021850</t>
  </si>
  <si>
    <t>69011405,46</t>
  </si>
  <si>
    <t>2321750</t>
  </si>
  <si>
    <t>จำนวน 52ม้วน</t>
  </si>
  <si>
    <t>13.2021850</t>
  </si>
  <si>
    <t>14.2021750</t>
  </si>
  <si>
    <t>9.2321750</t>
  </si>
  <si>
    <t>10.2121670SMN</t>
  </si>
  <si>
    <t>16.2825850</t>
  </si>
  <si>
    <t>สรุปยอดผลิตประจำวันที่    15/1/2569</t>
  </si>
  <si>
    <t>รายงานแผนกผลิต 2     ประจำวันที่    15/01/2569</t>
  </si>
  <si>
    <t>18.2825850</t>
  </si>
  <si>
    <t>19.1925800SMN</t>
  </si>
  <si>
    <t>69011523,24</t>
  </si>
  <si>
    <t>69011512,36</t>
  </si>
  <si>
    <t>69011513,38</t>
  </si>
  <si>
    <t>จำนวน 54ม้วน</t>
  </si>
  <si>
    <t>14.2025800</t>
  </si>
  <si>
    <t>8.2325650</t>
  </si>
  <si>
    <t>ติดแถบกาว35ชิ้น15/1/69</t>
  </si>
  <si>
    <t>ซอพูยาซา</t>
  </si>
  <si>
    <t>รายงานแผนกผลิต 2     ประจำวันที่    16/01/2569</t>
  </si>
  <si>
    <t>สรุปยอดผลิตประจำวันที่    16/1/2569</t>
  </si>
  <si>
    <t>2021800</t>
  </si>
  <si>
    <t>5.2021800</t>
  </si>
  <si>
    <t>2.1925800</t>
  </si>
  <si>
    <t>3.2025650</t>
  </si>
  <si>
    <t>6.2021850</t>
  </si>
  <si>
    <t>7.2025850</t>
  </si>
  <si>
    <t>9.2325650</t>
  </si>
  <si>
    <t>10.FCL2325650</t>
  </si>
  <si>
    <t>11.23211125130</t>
  </si>
  <si>
    <t>12.2321750</t>
  </si>
  <si>
    <t>13.2625800</t>
  </si>
  <si>
    <t>14.202580SMN</t>
  </si>
  <si>
    <t>8.2121670SMN</t>
  </si>
  <si>
    <t>สรุปยอดผลิตประจำวันที่    17/1/2569</t>
  </si>
  <si>
    <t xml:space="preserve">เอวิน </t>
  </si>
  <si>
    <t>รายงานแผนกผลิต 2     ประจำวันที่    17/01/2569</t>
  </si>
  <si>
    <t>15.202580SM</t>
  </si>
  <si>
    <t>5.2125650</t>
  </si>
  <si>
    <t>8.2121670SM</t>
  </si>
  <si>
    <t>3.2121670SMN</t>
  </si>
  <si>
    <t>2.262575051</t>
  </si>
  <si>
    <t>9.2825850</t>
  </si>
  <si>
    <t>69011807,08</t>
  </si>
  <si>
    <t>รายงานแผนกผลิต 2     ประจำวันที่    18/01/2569</t>
  </si>
  <si>
    <t>สรุปยอดผลิตประจำวันที่    18/1/2569</t>
  </si>
  <si>
    <t>5.2625850SMN</t>
  </si>
  <si>
    <t>รายงานแผนกผลิต 2     ประจำวันที่    19/01/2569</t>
  </si>
  <si>
    <t>สรุปยอดผลิตประจำวันที่    19/1/2569</t>
  </si>
  <si>
    <t>69011916,27</t>
  </si>
  <si>
    <t>1625800</t>
  </si>
  <si>
    <t xml:space="preserve">
</t>
  </si>
  <si>
    <t>ยุนวาติ</t>
  </si>
  <si>
    <t>พิวไวจอ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</si>
</sst>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฿&quot;* #,##0.00_-;\-&quot;฿&quot;* #,##0.00_-;_-&quot;฿&quot;* &quot;-&quot;??_-;_-@_-"/>
    <numFmt numFmtId="43" formatCode="_-* #,##0.00_-;\-* #,##0.00_-;_-* &quot;-&quot;??_-;_-@_-"/>
    <numFmt numFmtId="187" formatCode="0.00;[Red]0.00"/>
    <numFmt numFmtId="188" formatCode="0.0"/>
    <numFmt numFmtId="189" formatCode="_-* #,##0_-;\-* #,##0_-;_-* &quot;-&quot;??_-;_-@_-"/>
    <numFmt numFmtId="190" formatCode="_-* #,##0.0_-;\-* #,##0.0_-;_-* &quot;-&quot;??_-;_-@_-"/>
    <numFmt numFmtId="191" formatCode="0.0000000"/>
  </numFmts>
  <fonts count="78" x14ac:knownFonts="1">
    <font>
      <sz val="14"/>
      <name val="Cordia New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4"/>
      <name val="Cordia New"/>
      <family val="2"/>
    </font>
    <font>
      <b/>
      <sz val="18"/>
      <name val="Angsana New"/>
      <family val="1"/>
    </font>
    <font>
      <sz val="12"/>
      <name val="Angsana New"/>
      <family val="1"/>
    </font>
    <font>
      <b/>
      <u/>
      <sz val="16"/>
      <name val="Angsana New"/>
      <family val="1"/>
    </font>
    <font>
      <sz val="12"/>
      <color theme="7" tint="-0.249977111117893"/>
      <name val="Angsana New"/>
      <family val="1"/>
    </font>
    <font>
      <sz val="14"/>
      <name val="Angsana New"/>
      <family val="1"/>
    </font>
    <font>
      <b/>
      <sz val="12"/>
      <color rgb="FF0070C0"/>
      <name val="Angsana New"/>
      <family val="1"/>
    </font>
    <font>
      <b/>
      <sz val="12"/>
      <color rgb="FFC00000"/>
      <name val="Angsana New"/>
      <family val="1"/>
    </font>
    <font>
      <sz val="18"/>
      <name val="Angsana New"/>
      <family val="1"/>
    </font>
    <font>
      <sz val="18"/>
      <name val="Angsana New"/>
      <family val="1"/>
      <charset val="222"/>
    </font>
    <font>
      <b/>
      <sz val="16"/>
      <name val="Angsana New"/>
      <family val="1"/>
    </font>
    <font>
      <sz val="22"/>
      <color rgb="FF002060"/>
      <name val="Angsana New"/>
      <family val="1"/>
    </font>
    <font>
      <sz val="18"/>
      <color rgb="FF002060"/>
      <name val="Angsana New"/>
      <family val="1"/>
    </font>
    <font>
      <sz val="14"/>
      <color theme="1" tint="0.14999847407452621"/>
      <name val="Bodoni MT"/>
      <family val="1"/>
    </font>
    <font>
      <sz val="14"/>
      <name val="Bodoni MT"/>
      <family val="1"/>
    </font>
    <font>
      <sz val="16"/>
      <name val="Angsana New"/>
      <family val="1"/>
    </font>
    <font>
      <sz val="16"/>
      <name val="DilleniaUPC"/>
      <family val="1"/>
      <charset val="222"/>
    </font>
    <font>
      <sz val="18"/>
      <color theme="1"/>
      <name val="Angsana New"/>
      <family val="1"/>
    </font>
    <font>
      <b/>
      <sz val="16"/>
      <color rgb="FF00B050"/>
      <name val="Angsana New"/>
      <family val="1"/>
      <charset val="222"/>
    </font>
    <font>
      <b/>
      <sz val="18"/>
      <color rgb="FFFF0000"/>
      <name val="Angsana New"/>
      <family val="1"/>
    </font>
    <font>
      <b/>
      <sz val="18"/>
      <color rgb="FF7030A0"/>
      <name val="Angsana New"/>
      <family val="1"/>
      <charset val="222"/>
    </font>
    <font>
      <b/>
      <sz val="20"/>
      <name val="Angsana New"/>
      <family val="1"/>
    </font>
    <font>
      <sz val="18"/>
      <color rgb="FFFF0000"/>
      <name val="Angsana New"/>
      <family val="1"/>
    </font>
    <font>
      <sz val="14"/>
      <color theme="1"/>
      <name val="Bodoni MT"/>
      <family val="1"/>
    </font>
    <font>
      <sz val="14"/>
      <color rgb="FF002060"/>
      <name val="Bodoni MT"/>
      <family val="1"/>
    </font>
    <font>
      <sz val="12"/>
      <name val="Adobe Devanagari"/>
      <family val="1"/>
    </font>
    <font>
      <sz val="16"/>
      <name val="DilleniaUPC"/>
      <family val="1"/>
    </font>
    <font>
      <b/>
      <sz val="12"/>
      <name val="Angsana New"/>
      <family val="1"/>
    </font>
    <font>
      <sz val="12"/>
      <name val="Browallia New"/>
      <family val="2"/>
    </font>
    <font>
      <b/>
      <sz val="14"/>
      <name val="Angsana New"/>
      <family val="1"/>
    </font>
    <font>
      <b/>
      <sz val="14"/>
      <color rgb="FF00B050"/>
      <name val="Angsana New"/>
      <family val="1"/>
    </font>
    <font>
      <b/>
      <sz val="14"/>
      <color rgb="FFFF0000"/>
      <name val="Angsana New"/>
      <family val="1"/>
    </font>
    <font>
      <b/>
      <sz val="14"/>
      <color rgb="FF7030A0"/>
      <name val="Angsana New"/>
      <family val="1"/>
    </font>
    <font>
      <u/>
      <sz val="16"/>
      <name val="Angsana New"/>
      <family val="1"/>
    </font>
    <font>
      <sz val="16"/>
      <color theme="7" tint="-0.249977111117893"/>
      <name val="Angsana New"/>
      <family val="1"/>
    </font>
    <font>
      <u val="singleAccounting"/>
      <sz val="14"/>
      <name val="Angsana New"/>
      <family val="1"/>
    </font>
    <font>
      <u val="singleAccounting"/>
      <sz val="16"/>
      <name val="Angsana New"/>
      <family val="1"/>
    </font>
    <font>
      <b/>
      <u/>
      <sz val="16"/>
      <color theme="7" tint="-0.249977111117893"/>
      <name val="Angsana New"/>
      <family val="1"/>
    </font>
    <font>
      <b/>
      <u val="double"/>
      <sz val="16"/>
      <name val="Angsana New"/>
      <family val="1"/>
    </font>
    <font>
      <sz val="18"/>
      <color rgb="FFFF33CC"/>
      <name val="Angsana New"/>
      <family val="1"/>
    </font>
    <font>
      <b/>
      <sz val="16"/>
      <color rgb="FFFF0000"/>
      <name val="Angsana New"/>
      <family val="1"/>
    </font>
    <font>
      <b/>
      <sz val="18"/>
      <color theme="1"/>
      <name val="Angsana New"/>
      <family val="1"/>
    </font>
    <font>
      <b/>
      <sz val="16"/>
      <color rgb="FF7030A0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u/>
      <sz val="18"/>
      <name val="Angsana New"/>
      <family val="1"/>
    </font>
    <font>
      <b/>
      <sz val="16"/>
      <color rgb="FF00B050"/>
      <name val="Angsana New"/>
      <family val="1"/>
    </font>
    <font>
      <sz val="14"/>
      <name val="Cordia New"/>
      <family val="2"/>
      <charset val="222"/>
    </font>
    <font>
      <sz val="14"/>
      <color theme="1" tint="0.14999847407452621"/>
      <name val="Baskerville Old Face"/>
      <family val="1"/>
    </font>
    <font>
      <sz val="14"/>
      <color rgb="FF002060"/>
      <name val="Baskerville Old Face"/>
      <family val="1"/>
    </font>
    <font>
      <b/>
      <sz val="18"/>
      <color theme="7" tint="-0.249977111117893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  <font>
      <b/>
      <sz val="9"/>
      <color indexed="81"/>
      <name val="Tahoma"/>
      <family val="2"/>
    </font>
    <font>
      <sz val="8"/>
      <name val="Cordia New"/>
      <family val="2"/>
    </font>
    <font>
      <b/>
      <sz val="16"/>
      <color rgb="FF7030A0"/>
      <name val="Angsana New"/>
      <family val="1"/>
      <charset val="222"/>
    </font>
    <font>
      <sz val="8"/>
      <name val="Cordia New"/>
      <family val="2"/>
    </font>
    <font>
      <sz val="13"/>
      <name val="Angsana New"/>
      <family val="1"/>
    </font>
    <font>
      <sz val="20"/>
      <color rgb="FF002060"/>
      <name val="Angsana New"/>
      <family val="1"/>
    </font>
    <font>
      <sz val="18"/>
      <color theme="1" tint="0.14999847407452621"/>
      <name val="TH Kodchasal"/>
    </font>
    <font>
      <sz val="8"/>
      <name val="Cordia New"/>
      <family val="2"/>
    </font>
    <font>
      <sz val="18"/>
      <color theme="1"/>
      <name val="TH Kodchasal"/>
    </font>
    <font>
      <sz val="18"/>
      <name val="TH Kodchasal"/>
    </font>
    <font>
      <b/>
      <sz val="20"/>
      <name val="TH Kodchasal"/>
    </font>
    <font>
      <sz val="20"/>
      <name val="TH Kodchasal"/>
    </font>
    <font>
      <sz val="20"/>
      <color rgb="FF002060"/>
      <name val="TH Kodchasal"/>
    </font>
    <font>
      <sz val="20"/>
      <color theme="1" tint="0.14999847407452621"/>
      <name val="TH Kodchasal"/>
    </font>
    <font>
      <sz val="20"/>
      <color theme="1"/>
      <name val="TH Kodchasal"/>
    </font>
    <font>
      <b/>
      <sz val="20"/>
      <color rgb="FF00B050"/>
      <name val="TH Kodchasal"/>
    </font>
    <font>
      <b/>
      <sz val="20"/>
      <color rgb="FFFF0000"/>
      <name val="TH Kodchasal"/>
    </font>
    <font>
      <b/>
      <sz val="20"/>
      <color rgb="FF7030A0"/>
      <name val="TH Kodchasal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  <charset val="222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AC9F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0.59999389629810485"/>
        <bgColor indexed="64"/>
      </patternFill>
    </fill>
  </fills>
  <borders count="7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0" fontId="3" fillId="2" borderId="1" applyNumberFormat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  <xf numFmtId="0" fontId="75" fillId="0" borderId="0"/>
    <xf numFmtId="0" fontId="76" fillId="0" borderId="0"/>
    <xf numFmtId="0" fontId="1" fillId="0" borderId="0"/>
    <xf numFmtId="44" fontId="75" fillId="0" borderId="0" applyFont="0" applyFill="0" applyBorder="0" applyAlignment="0" applyProtection="0"/>
    <xf numFmtId="0" fontId="77" fillId="0" borderId="0"/>
    <xf numFmtId="0" fontId="77" fillId="0" borderId="0"/>
    <xf numFmtId="43" fontId="4" fillId="0" borderId="0" applyFont="0" applyFill="0" applyBorder="0" applyAlignment="0" applyProtection="0"/>
    <xf numFmtId="43" fontId="75" fillId="0" borderId="0" applyFont="0" applyFill="0" applyBorder="0" applyAlignment="0" applyProtection="0"/>
  </cellStyleXfs>
  <cellXfs count="387">
    <xf numFmtId="0" fontId="0" fillId="0" borderId="0" xfId="0"/>
    <xf numFmtId="0" fontId="6" fillId="0" borderId="0" xfId="2" applyFont="1"/>
    <xf numFmtId="187" fontId="7" fillId="0" borderId="0" xfId="2" applyNumberFormat="1" applyFont="1" applyAlignment="1">
      <alignment horizontal="center" vertical="center"/>
    </xf>
    <xf numFmtId="2" fontId="6" fillId="0" borderId="0" xfId="2" applyNumberFormat="1" applyFont="1" applyAlignment="1">
      <alignment horizontal="center"/>
    </xf>
    <xf numFmtId="0" fontId="8" fillId="0" borderId="0" xfId="2" applyFont="1"/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6" xfId="2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16" xfId="2" applyFont="1" applyBorder="1" applyAlignment="1">
      <alignment vertical="center"/>
    </xf>
    <xf numFmtId="0" fontId="6" fillId="0" borderId="22" xfId="2" applyFont="1" applyBorder="1" applyAlignment="1">
      <alignment horizontal="center" vertical="center"/>
    </xf>
    <xf numFmtId="16" fontId="6" fillId="0" borderId="23" xfId="2" applyNumberFormat="1" applyFont="1" applyBorder="1" applyAlignment="1">
      <alignment horizontal="center" vertical="center"/>
    </xf>
    <xf numFmtId="16" fontId="6" fillId="0" borderId="24" xfId="2" applyNumberFormat="1" applyFont="1" applyBorder="1" applyAlignment="1">
      <alignment horizontal="center" vertical="center"/>
    </xf>
    <xf numFmtId="16" fontId="6" fillId="0" borderId="25" xfId="2" applyNumberFormat="1" applyFont="1" applyBorder="1" applyAlignment="1">
      <alignment horizontal="center" vertical="center"/>
    </xf>
    <xf numFmtId="16" fontId="6" fillId="0" borderId="26" xfId="2" applyNumberFormat="1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1" fillId="0" borderId="27" xfId="2" applyFont="1" applyBorder="1" applyAlignment="1">
      <alignment horizontal="center" vertical="center"/>
    </xf>
    <xf numFmtId="0" fontId="11" fillId="0" borderId="28" xfId="2" applyFont="1" applyBorder="1" applyAlignment="1">
      <alignment horizontal="center" vertical="center"/>
    </xf>
    <xf numFmtId="0" fontId="10" fillId="0" borderId="24" xfId="2" applyFont="1" applyBorder="1" applyAlignment="1">
      <alignment horizontal="center" vertical="center"/>
    </xf>
    <xf numFmtId="16" fontId="6" fillId="0" borderId="29" xfId="2" applyNumberFormat="1" applyFont="1" applyBorder="1" applyAlignment="1">
      <alignment horizontal="center" vertical="center"/>
    </xf>
    <xf numFmtId="188" fontId="6" fillId="0" borderId="29" xfId="2" applyNumberFormat="1" applyFont="1" applyBorder="1" applyAlignment="1">
      <alignment horizontal="center" vertical="center"/>
    </xf>
    <xf numFmtId="187" fontId="6" fillId="0" borderId="30" xfId="2" applyNumberFormat="1" applyFont="1" applyBorder="1" applyAlignment="1">
      <alignment horizontal="center" vertical="center"/>
    </xf>
    <xf numFmtId="2" fontId="6" fillId="0" borderId="27" xfId="2" applyNumberFormat="1" applyFont="1" applyBorder="1" applyAlignment="1">
      <alignment horizontal="center" vertical="center"/>
    </xf>
    <xf numFmtId="16" fontId="6" fillId="0" borderId="31" xfId="2" applyNumberFormat="1" applyFont="1" applyBorder="1" applyAlignment="1">
      <alignment horizontal="center" vertical="center"/>
    </xf>
    <xf numFmtId="16" fontId="8" fillId="0" borderId="32" xfId="2" applyNumberFormat="1" applyFont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49" fontId="14" fillId="5" borderId="35" xfId="2" applyNumberFormat="1" applyFont="1" applyFill="1" applyBorder="1" applyAlignment="1">
      <alignment horizontal="center"/>
    </xf>
    <xf numFmtId="0" fontId="15" fillId="4" borderId="35" xfId="0" applyFont="1" applyFill="1" applyBorder="1" applyAlignment="1">
      <alignment horizontal="left" vertical="center"/>
    </xf>
    <xf numFmtId="0" fontId="16" fillId="4" borderId="35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8" fillId="4" borderId="34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20" fillId="4" borderId="36" xfId="0" applyFont="1" applyFill="1" applyBorder="1" applyAlignment="1">
      <alignment horizontal="center" vertical="center"/>
    </xf>
    <xf numFmtId="0" fontId="20" fillId="4" borderId="37" xfId="0" applyFont="1" applyFill="1" applyBorder="1" applyAlignment="1">
      <alignment horizontal="center" vertical="center"/>
    </xf>
    <xf numFmtId="189" fontId="21" fillId="0" borderId="36" xfId="4" applyNumberFormat="1" applyFont="1" applyFill="1" applyBorder="1" applyAlignment="1">
      <alignment horizontal="center" vertical="center"/>
    </xf>
    <xf numFmtId="190" fontId="21" fillId="0" borderId="38" xfId="4" applyNumberFormat="1" applyFont="1" applyFill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43" fontId="12" fillId="0" borderId="20" xfId="0" applyNumberFormat="1" applyFont="1" applyBorder="1" applyAlignment="1">
      <alignment horizontal="center" vertical="center"/>
    </xf>
    <xf numFmtId="2" fontId="22" fillId="0" borderId="31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horizontal="center" vertical="center"/>
    </xf>
    <xf numFmtId="2" fontId="23" fillId="0" borderId="39" xfId="0" applyNumberFormat="1" applyFont="1" applyBorder="1" applyAlignment="1">
      <alignment horizontal="center" vertical="center"/>
    </xf>
    <xf numFmtId="43" fontId="24" fillId="0" borderId="40" xfId="4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9" fillId="4" borderId="42" xfId="0" applyFont="1" applyFill="1" applyBorder="1" applyAlignment="1">
      <alignment horizontal="center" vertical="center"/>
    </xf>
    <xf numFmtId="0" fontId="20" fillId="4" borderId="39" xfId="0" applyFont="1" applyFill="1" applyBorder="1" applyAlignment="1">
      <alignment horizontal="center" vertical="center"/>
    </xf>
    <xf numFmtId="189" fontId="21" fillId="0" borderId="40" xfId="4" applyNumberFormat="1" applyFont="1" applyFill="1" applyBorder="1" applyAlignment="1">
      <alignment vertical="center"/>
    </xf>
    <xf numFmtId="49" fontId="25" fillId="4" borderId="38" xfId="0" applyNumberFormat="1" applyFont="1" applyFill="1" applyBorder="1" applyAlignment="1">
      <alignment horizontal="center" vertical="center"/>
    </xf>
    <xf numFmtId="0" fontId="26" fillId="4" borderId="41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2" fontId="22" fillId="0" borderId="35" xfId="0" applyNumberFormat="1" applyFont="1" applyBorder="1" applyAlignment="1">
      <alignment horizontal="center" vertical="center"/>
    </xf>
    <xf numFmtId="0" fontId="27" fillId="4" borderId="34" xfId="0" applyFont="1" applyFill="1" applyBorder="1" applyAlignment="1">
      <alignment horizontal="center" vertical="center"/>
    </xf>
    <xf numFmtId="16" fontId="6" fillId="0" borderId="0" xfId="2" applyNumberFormat="1" applyFont="1"/>
    <xf numFmtId="49" fontId="17" fillId="0" borderId="35" xfId="0" applyNumberFormat="1" applyFont="1" applyBorder="1" applyAlignment="1">
      <alignment horizontal="center" vertical="center"/>
    </xf>
    <xf numFmtId="189" fontId="21" fillId="0" borderId="18" xfId="4" applyNumberFormat="1" applyFont="1" applyFill="1" applyBorder="1" applyAlignment="1">
      <alignment vertical="center"/>
    </xf>
    <xf numFmtId="190" fontId="21" fillId="0" borderId="39" xfId="4" applyNumberFormat="1" applyFont="1" applyFill="1" applyBorder="1" applyAlignment="1">
      <alignment vertical="center"/>
    </xf>
    <xf numFmtId="0" fontId="21" fillId="0" borderId="20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49" fontId="17" fillId="0" borderId="35" xfId="0" applyNumberFormat="1" applyFont="1" applyBorder="1" applyAlignment="1">
      <alignment horizontal="center"/>
    </xf>
    <xf numFmtId="189" fontId="21" fillId="0" borderId="43" xfId="4" applyNumberFormat="1" applyFont="1" applyFill="1" applyBorder="1" applyAlignment="1">
      <alignment horizontal="center" vertical="center"/>
    </xf>
    <xf numFmtId="43" fontId="12" fillId="0" borderId="14" xfId="0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49" fontId="14" fillId="7" borderId="35" xfId="2" applyNumberFormat="1" applyFont="1" applyFill="1" applyBorder="1" applyAlignment="1">
      <alignment horizontal="center"/>
    </xf>
    <xf numFmtId="189" fontId="21" fillId="0" borderId="18" xfId="4" applyNumberFormat="1" applyFont="1" applyFill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4" fontId="6" fillId="0" borderId="0" xfId="2" applyNumberFormat="1" applyFont="1"/>
    <xf numFmtId="0" fontId="12" fillId="6" borderId="41" xfId="0" applyFont="1" applyFill="1" applyBorder="1" applyAlignment="1">
      <alignment horizontal="center" vertical="center"/>
    </xf>
    <xf numFmtId="2" fontId="6" fillId="0" borderId="0" xfId="2" applyNumberFormat="1" applyFont="1"/>
    <xf numFmtId="0" fontId="16" fillId="0" borderId="35" xfId="0" applyFont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29" fillId="0" borderId="0" xfId="2" applyFont="1"/>
    <xf numFmtId="0" fontId="30" fillId="0" borderId="39" xfId="0" applyFont="1" applyBorder="1" applyAlignment="1">
      <alignment horizontal="center" vertical="center"/>
    </xf>
    <xf numFmtId="189" fontId="27" fillId="0" borderId="35" xfId="4" applyNumberFormat="1" applyFont="1" applyFill="1" applyBorder="1" applyAlignment="1">
      <alignment horizontal="left" vertical="center"/>
    </xf>
    <xf numFmtId="189" fontId="27" fillId="0" borderId="35" xfId="4" applyNumberFormat="1" applyFont="1" applyFill="1" applyBorder="1" applyAlignment="1">
      <alignment vertical="center"/>
    </xf>
    <xf numFmtId="189" fontId="27" fillId="0" borderId="35" xfId="4" applyNumberFormat="1" applyFont="1" applyFill="1" applyBorder="1" applyAlignment="1">
      <alignment horizontal="center" vertical="center"/>
    </xf>
    <xf numFmtId="0" fontId="27" fillId="0" borderId="35" xfId="4" applyNumberFormat="1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32" fillId="0" borderId="45" xfId="0" applyFont="1" applyBorder="1" applyAlignment="1">
      <alignment vertical="center"/>
    </xf>
    <xf numFmtId="189" fontId="19" fillId="0" borderId="45" xfId="4" applyNumberFormat="1" applyFont="1" applyFill="1" applyBorder="1" applyAlignment="1">
      <alignment vertical="center"/>
    </xf>
    <xf numFmtId="189" fontId="31" fillId="0" borderId="45" xfId="4" applyNumberFormat="1" applyFont="1" applyFill="1" applyBorder="1" applyAlignment="1">
      <alignment horizontal="center" vertical="center"/>
    </xf>
    <xf numFmtId="189" fontId="31" fillId="0" borderId="46" xfId="4" applyNumberFormat="1" applyFont="1" applyFill="1" applyBorder="1" applyAlignment="1">
      <alignment horizontal="center" vertical="center"/>
    </xf>
    <xf numFmtId="189" fontId="33" fillId="0" borderId="45" xfId="4" applyNumberFormat="1" applyFont="1" applyFill="1" applyBorder="1" applyAlignment="1">
      <alignment vertical="center"/>
    </xf>
    <xf numFmtId="190" fontId="33" fillId="0" borderId="45" xfId="4" applyNumberFormat="1" applyFont="1" applyFill="1" applyBorder="1" applyAlignment="1">
      <alignment horizontal="center" vertical="center"/>
    </xf>
    <xf numFmtId="190" fontId="33" fillId="0" borderId="45" xfId="4" applyNumberFormat="1" applyFont="1" applyFill="1" applyBorder="1" applyAlignment="1">
      <alignment vertical="center"/>
    </xf>
    <xf numFmtId="187" fontId="33" fillId="0" borderId="45" xfId="4" applyNumberFormat="1" applyFont="1" applyFill="1" applyBorder="1" applyAlignment="1">
      <alignment vertical="center"/>
    </xf>
    <xf numFmtId="43" fontId="33" fillId="0" borderId="45" xfId="4" applyFont="1" applyFill="1" applyBorder="1" applyAlignment="1">
      <alignment vertical="center"/>
    </xf>
    <xf numFmtId="2" fontId="34" fillId="0" borderId="45" xfId="4" applyNumberFormat="1" applyFont="1" applyFill="1" applyBorder="1" applyAlignment="1">
      <alignment horizontal="center" vertical="center"/>
    </xf>
    <xf numFmtId="43" fontId="34" fillId="0" borderId="45" xfId="4" applyFont="1" applyFill="1" applyBorder="1" applyAlignment="1">
      <alignment vertical="center"/>
    </xf>
    <xf numFmtId="2" fontId="35" fillId="0" borderId="45" xfId="4" applyNumberFormat="1" applyFont="1" applyFill="1" applyBorder="1" applyAlignment="1">
      <alignment horizontal="center" vertical="center"/>
    </xf>
    <xf numFmtId="43" fontId="35" fillId="0" borderId="45" xfId="4" applyFont="1" applyFill="1" applyBorder="1" applyAlignment="1">
      <alignment vertical="center"/>
    </xf>
    <xf numFmtId="43" fontId="36" fillId="0" borderId="45" xfId="4" applyFont="1" applyFill="1" applyBorder="1" applyAlignment="1">
      <alignment vertical="center"/>
    </xf>
    <xf numFmtId="3" fontId="33" fillId="0" borderId="46" xfId="0" applyNumberFormat="1" applyFont="1" applyBorder="1" applyAlignment="1">
      <alignment horizontal="center" vertical="center"/>
    </xf>
    <xf numFmtId="3" fontId="33" fillId="0" borderId="49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center" vertical="center"/>
    </xf>
    <xf numFmtId="0" fontId="14" fillId="0" borderId="0" xfId="2" applyFont="1" applyAlignment="1">
      <alignment vertical="center"/>
    </xf>
    <xf numFmtId="0" fontId="19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3" fontId="7" fillId="0" borderId="0" xfId="2" applyNumberFormat="1" applyFont="1" applyAlignment="1">
      <alignment vertical="center"/>
    </xf>
    <xf numFmtId="188" fontId="14" fillId="0" borderId="0" xfId="2" applyNumberFormat="1" applyFont="1" applyAlignment="1">
      <alignment horizontal="center" vertical="center"/>
    </xf>
    <xf numFmtId="0" fontId="19" fillId="0" borderId="0" xfId="2" applyFont="1" applyAlignment="1">
      <alignment vertical="center"/>
    </xf>
    <xf numFmtId="0" fontId="19" fillId="0" borderId="0" xfId="2" applyFont="1"/>
    <xf numFmtId="187" fontId="19" fillId="0" borderId="0" xfId="2" applyNumberFormat="1" applyFont="1" applyAlignment="1">
      <alignment vertical="center"/>
    </xf>
    <xf numFmtId="2" fontId="14" fillId="0" borderId="0" xfId="2" applyNumberFormat="1" applyFont="1" applyAlignment="1">
      <alignment horizontal="center" vertical="center"/>
    </xf>
    <xf numFmtId="0" fontId="37" fillId="0" borderId="0" xfId="2" applyFont="1"/>
    <xf numFmtId="0" fontId="38" fillId="0" borderId="0" xfId="2" applyFont="1"/>
    <xf numFmtId="0" fontId="19" fillId="0" borderId="0" xfId="2" applyFont="1" applyAlignment="1">
      <alignment horizontal="left" vertical="center"/>
    </xf>
    <xf numFmtId="49" fontId="16" fillId="0" borderId="0" xfId="0" applyNumberFormat="1" applyFont="1" applyAlignment="1">
      <alignment vertical="center"/>
    </xf>
    <xf numFmtId="0" fontId="12" fillId="0" borderId="0" xfId="2" applyFont="1" applyAlignment="1">
      <alignment horizontal="left" vertical="center"/>
    </xf>
    <xf numFmtId="189" fontId="19" fillId="0" borderId="0" xfId="4" applyNumberFormat="1" applyFont="1" applyFill="1" applyBorder="1" applyAlignment="1">
      <alignment horizontal="center" vertical="center"/>
    </xf>
    <xf numFmtId="0" fontId="9" fillId="0" borderId="0" xfId="2" applyFont="1"/>
    <xf numFmtId="189" fontId="39" fillId="0" borderId="0" xfId="2" applyNumberFormat="1" applyFont="1" applyAlignment="1">
      <alignment horizontal="center" vertical="center"/>
    </xf>
    <xf numFmtId="189" fontId="39" fillId="0" borderId="0" xfId="4" applyNumberFormat="1" applyFont="1" applyAlignment="1">
      <alignment horizontal="center" vertical="center"/>
    </xf>
    <xf numFmtId="2" fontId="19" fillId="0" borderId="0" xfId="2" applyNumberFormat="1" applyFont="1" applyAlignment="1">
      <alignment vertical="center"/>
    </xf>
    <xf numFmtId="189" fontId="40" fillId="0" borderId="0" xfId="2" applyNumberFormat="1" applyFont="1"/>
    <xf numFmtId="191" fontId="12" fillId="0" borderId="0" xfId="2" applyNumberFormat="1" applyFont="1" applyAlignment="1">
      <alignment horizontal="left" vertical="center"/>
    </xf>
    <xf numFmtId="191" fontId="12" fillId="0" borderId="0" xfId="2" applyNumberFormat="1" applyFont="1" applyAlignment="1">
      <alignment vertical="center"/>
    </xf>
    <xf numFmtId="189" fontId="41" fillId="0" borderId="0" xfId="4" applyNumberFormat="1" applyFont="1" applyAlignment="1">
      <alignment horizontal="center"/>
    </xf>
    <xf numFmtId="188" fontId="39" fillId="0" borderId="0" xfId="2" applyNumberFormat="1" applyFont="1" applyAlignment="1">
      <alignment horizontal="center" vertical="center"/>
    </xf>
    <xf numFmtId="2" fontId="19" fillId="0" borderId="0" xfId="2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188" fontId="19" fillId="0" borderId="0" xfId="2" applyNumberFormat="1" applyFont="1" applyAlignment="1">
      <alignment horizontal="center" vertical="center"/>
    </xf>
    <xf numFmtId="3" fontId="19" fillId="0" borderId="0" xfId="2" applyNumberFormat="1" applyFont="1" applyAlignment="1">
      <alignment horizontal="center" vertical="center"/>
    </xf>
    <xf numFmtId="3" fontId="38" fillId="0" borderId="0" xfId="2" applyNumberFormat="1" applyFon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0" fontId="42" fillId="0" borderId="0" xfId="2" applyFont="1" applyAlignment="1">
      <alignment vertical="center"/>
    </xf>
    <xf numFmtId="0" fontId="38" fillId="0" borderId="0" xfId="2" applyFont="1" applyAlignment="1">
      <alignment vertical="center"/>
    </xf>
    <xf numFmtId="49" fontId="12" fillId="0" borderId="0" xfId="2" applyNumberFormat="1" applyFont="1" applyAlignment="1">
      <alignment horizontal="left" vertical="center"/>
    </xf>
    <xf numFmtId="0" fontId="19" fillId="0" borderId="0" xfId="2" applyFont="1" applyAlignment="1">
      <alignment horizontal="left" vertical="top"/>
    </xf>
    <xf numFmtId="0" fontId="37" fillId="0" borderId="0" xfId="2" applyFont="1" applyAlignment="1">
      <alignment horizontal="center" vertical="center"/>
    </xf>
    <xf numFmtId="49" fontId="21" fillId="4" borderId="0" xfId="0" applyNumberFormat="1" applyFont="1" applyFill="1" applyAlignment="1">
      <alignment horizontal="center" vertical="center"/>
    </xf>
    <xf numFmtId="0" fontId="37" fillId="0" borderId="0" xfId="2" applyFont="1" applyAlignment="1">
      <alignment vertical="center"/>
    </xf>
    <xf numFmtId="0" fontId="37" fillId="0" borderId="0" xfId="2" applyFont="1" applyAlignment="1">
      <alignment horizontal="right" vertical="center"/>
    </xf>
    <xf numFmtId="49" fontId="43" fillId="0" borderId="0" xfId="2" applyNumberFormat="1" applyFont="1" applyAlignment="1">
      <alignment horizontal="left" vertical="center"/>
    </xf>
    <xf numFmtId="0" fontId="19" fillId="0" borderId="52" xfId="2" applyFont="1" applyBorder="1" applyAlignment="1">
      <alignment horizontal="center" vertical="center"/>
    </xf>
    <xf numFmtId="0" fontId="37" fillId="0" borderId="52" xfId="2" applyFont="1" applyBorder="1" applyAlignment="1">
      <alignment vertical="center"/>
    </xf>
    <xf numFmtId="0" fontId="19" fillId="0" borderId="52" xfId="2" applyFont="1" applyBorder="1" applyAlignment="1">
      <alignment vertical="center"/>
    </xf>
    <xf numFmtId="0" fontId="37" fillId="0" borderId="52" xfId="2" applyFont="1" applyBorder="1" applyAlignment="1">
      <alignment horizontal="right" vertical="center"/>
    </xf>
    <xf numFmtId="49" fontId="12" fillId="0" borderId="0" xfId="0" applyNumberFormat="1" applyFont="1" applyAlignment="1">
      <alignment vertical="center"/>
    </xf>
    <xf numFmtId="49" fontId="12" fillId="4" borderId="0" xfId="2" applyNumberFormat="1" applyFont="1" applyFill="1" applyAlignment="1">
      <alignment horizontal="left" vertical="center"/>
    </xf>
    <xf numFmtId="0" fontId="19" fillId="0" borderId="53" xfId="2" applyFont="1" applyBorder="1" applyAlignment="1">
      <alignment vertical="center"/>
    </xf>
    <xf numFmtId="0" fontId="14" fillId="0" borderId="53" xfId="2" applyFont="1" applyBorder="1" applyAlignment="1">
      <alignment vertical="center"/>
    </xf>
    <xf numFmtId="0" fontId="44" fillId="0" borderId="53" xfId="2" applyFont="1" applyBorder="1"/>
    <xf numFmtId="188" fontId="14" fillId="0" borderId="53" xfId="2" applyNumberFormat="1" applyFont="1" applyBorder="1" applyAlignment="1">
      <alignment horizontal="left" vertical="center"/>
    </xf>
    <xf numFmtId="0" fontId="44" fillId="0" borderId="53" xfId="2" applyFont="1" applyBorder="1" applyAlignment="1">
      <alignment vertical="center"/>
    </xf>
    <xf numFmtId="187" fontId="14" fillId="0" borderId="53" xfId="2" applyNumberFormat="1" applyFont="1" applyBorder="1" applyAlignment="1">
      <alignment vertical="center"/>
    </xf>
    <xf numFmtId="191" fontId="12" fillId="0" borderId="0" xfId="2" applyNumberFormat="1" applyFont="1" applyAlignment="1">
      <alignment horizontal="left" vertical="top"/>
    </xf>
    <xf numFmtId="49" fontId="21" fillId="8" borderId="0" xfId="0" applyNumberFormat="1" applyFont="1" applyFill="1" applyAlignment="1">
      <alignment horizontal="left" vertical="center"/>
    </xf>
    <xf numFmtId="49" fontId="45" fillId="8" borderId="0" xfId="0" applyNumberFormat="1" applyFont="1" applyFill="1" applyAlignment="1">
      <alignment horizontal="left" vertical="center"/>
    </xf>
    <xf numFmtId="49" fontId="46" fillId="4" borderId="0" xfId="2" applyNumberFormat="1" applyFont="1" applyFill="1" applyAlignment="1">
      <alignment horizontal="left"/>
    </xf>
    <xf numFmtId="188" fontId="14" fillId="0" borderId="53" xfId="2" applyNumberFormat="1" applyFont="1" applyBorder="1" applyAlignment="1">
      <alignment horizontal="center" vertical="center"/>
    </xf>
    <xf numFmtId="188" fontId="47" fillId="0" borderId="53" xfId="2" applyNumberFormat="1" applyFont="1" applyBorder="1" applyAlignment="1">
      <alignment horizontal="left" vertical="center"/>
    </xf>
    <xf numFmtId="189" fontId="9" fillId="0" borderId="0" xfId="4" applyNumberFormat="1" applyFont="1" applyFill="1" applyBorder="1" applyAlignment="1">
      <alignment vertical="center"/>
    </xf>
    <xf numFmtId="49" fontId="14" fillId="9" borderId="0" xfId="2" applyNumberFormat="1" applyFont="1" applyFill="1" applyAlignment="1">
      <alignment horizontal="left"/>
    </xf>
    <xf numFmtId="0" fontId="8" fillId="0" borderId="0" xfId="2" applyFont="1" applyAlignment="1">
      <alignment vertical="center"/>
    </xf>
    <xf numFmtId="1" fontId="19" fillId="0" borderId="0" xfId="2" applyNumberFormat="1" applyFont="1"/>
    <xf numFmtId="188" fontId="19" fillId="0" borderId="53" xfId="2" applyNumberFormat="1" applyFont="1" applyBorder="1" applyAlignment="1">
      <alignment horizontal="left" vertical="center"/>
    </xf>
    <xf numFmtId="188" fontId="48" fillId="0" borderId="53" xfId="2" applyNumberFormat="1" applyFont="1" applyBorder="1" applyAlignment="1">
      <alignment horizontal="left" vertical="center"/>
    </xf>
    <xf numFmtId="0" fontId="6" fillId="0" borderId="53" xfId="2" applyFont="1" applyBorder="1"/>
    <xf numFmtId="0" fontId="6" fillId="0" borderId="53" xfId="2" applyFont="1" applyBorder="1" applyAlignment="1">
      <alignment vertical="center"/>
    </xf>
    <xf numFmtId="187" fontId="19" fillId="0" borderId="53" xfId="2" applyNumberFormat="1" applyFont="1" applyBorder="1" applyAlignment="1">
      <alignment vertical="center"/>
    </xf>
    <xf numFmtId="0" fontId="19" fillId="0" borderId="54" xfId="2" applyFont="1" applyBorder="1" applyAlignment="1">
      <alignment vertical="center"/>
    </xf>
    <xf numFmtId="0" fontId="19" fillId="0" borderId="53" xfId="2" applyFont="1" applyBorder="1" applyAlignment="1">
      <alignment horizontal="left" vertical="center"/>
    </xf>
    <xf numFmtId="3" fontId="19" fillId="0" borderId="0" xfId="2" applyNumberFormat="1" applyFont="1"/>
    <xf numFmtId="0" fontId="12" fillId="0" borderId="53" xfId="2" applyFont="1" applyBorder="1"/>
    <xf numFmtId="0" fontId="19" fillId="4" borderId="0" xfId="2" applyFont="1" applyFill="1" applyAlignment="1">
      <alignment vertical="center"/>
    </xf>
    <xf numFmtId="191" fontId="49" fillId="0" borderId="0" xfId="2" applyNumberFormat="1" applyFont="1" applyAlignment="1">
      <alignment vertical="top"/>
    </xf>
    <xf numFmtId="189" fontId="41" fillId="0" borderId="0" xfId="4" applyNumberFormat="1" applyFont="1"/>
    <xf numFmtId="0" fontId="19" fillId="0" borderId="53" xfId="2" applyFont="1" applyBorder="1"/>
    <xf numFmtId="0" fontId="19" fillId="0" borderId="53" xfId="2" applyFont="1" applyBorder="1" applyAlignment="1">
      <alignment horizontal="center" vertical="center"/>
    </xf>
    <xf numFmtId="0" fontId="19" fillId="4" borderId="0" xfId="2" applyFont="1" applyFill="1"/>
    <xf numFmtId="49" fontId="21" fillId="4" borderId="0" xfId="0" applyNumberFormat="1" applyFont="1" applyFill="1" applyAlignment="1">
      <alignment horizontal="left" vertical="center"/>
    </xf>
    <xf numFmtId="0" fontId="41" fillId="4" borderId="0" xfId="2" applyFont="1" applyFill="1"/>
    <xf numFmtId="189" fontId="19" fillId="4" borderId="0" xfId="4" applyNumberFormat="1" applyFont="1" applyFill="1" applyBorder="1" applyAlignment="1">
      <alignment horizontal="center" vertical="center"/>
    </xf>
    <xf numFmtId="188" fontId="19" fillId="0" borderId="0" xfId="2" applyNumberFormat="1" applyFont="1" applyAlignment="1">
      <alignment horizontal="center"/>
    </xf>
    <xf numFmtId="187" fontId="19" fillId="0" borderId="0" xfId="4" applyNumberFormat="1" applyFont="1" applyFill="1" applyBorder="1" applyAlignment="1">
      <alignment vertical="center"/>
    </xf>
    <xf numFmtId="189" fontId="19" fillId="0" borderId="0" xfId="4" applyNumberFormat="1" applyFont="1" applyFill="1" applyBorder="1" applyAlignment="1">
      <alignment vertical="center"/>
    </xf>
    <xf numFmtId="2" fontId="19" fillId="0" borderId="0" xfId="4" applyNumberFormat="1" applyFont="1" applyFill="1" applyBorder="1" applyAlignment="1">
      <alignment horizontal="center" vertical="center"/>
    </xf>
    <xf numFmtId="0" fontId="19" fillId="0" borderId="0" xfId="2" applyFont="1" applyAlignment="1">
      <alignment horizontal="center"/>
    </xf>
    <xf numFmtId="187" fontId="9" fillId="0" borderId="0" xfId="2" applyNumberFormat="1" applyFont="1"/>
    <xf numFmtId="0" fontId="16" fillId="4" borderId="0" xfId="0" applyFont="1" applyFill="1" applyAlignment="1">
      <alignment horizontal="center" vertical="center"/>
    </xf>
    <xf numFmtId="0" fontId="41" fillId="0" borderId="0" xfId="2" applyFont="1"/>
    <xf numFmtId="188" fontId="9" fillId="0" borderId="0" xfId="2" applyNumberFormat="1" applyFont="1" applyAlignment="1">
      <alignment horizontal="center"/>
    </xf>
    <xf numFmtId="187" fontId="19" fillId="0" borderId="0" xfId="2" applyNumberFormat="1" applyFont="1" applyAlignment="1">
      <alignment horizontal="center"/>
    </xf>
    <xf numFmtId="3" fontId="9" fillId="0" borderId="0" xfId="2" applyNumberFormat="1" applyFont="1"/>
    <xf numFmtId="0" fontId="3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3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14" fillId="0" borderId="0" xfId="0" applyNumberFormat="1" applyFont="1" applyAlignment="1">
      <alignment horizontal="center" vertical="center"/>
    </xf>
    <xf numFmtId="43" fontId="14" fillId="0" borderId="0" xfId="0" applyNumberFormat="1" applyFont="1" applyAlignment="1">
      <alignment horizontal="center" vertical="center"/>
    </xf>
    <xf numFmtId="43" fontId="50" fillId="0" borderId="0" xfId="0" applyNumberFormat="1" applyFont="1" applyAlignment="1">
      <alignment horizontal="center" vertical="center"/>
    </xf>
    <xf numFmtId="43" fontId="14" fillId="0" borderId="0" xfId="0" applyNumberFormat="1" applyFont="1" applyAlignment="1">
      <alignment vertical="center"/>
    </xf>
    <xf numFmtId="43" fontId="46" fillId="0" borderId="0" xfId="0" applyNumberFormat="1" applyFont="1" applyAlignment="1">
      <alignment horizontal="center" vertical="center"/>
    </xf>
    <xf numFmtId="188" fontId="6" fillId="0" borderId="0" xfId="2" applyNumberFormat="1" applyFont="1" applyAlignment="1">
      <alignment horizontal="center"/>
    </xf>
    <xf numFmtId="187" fontId="6" fillId="0" borderId="0" xfId="2" applyNumberFormat="1" applyFont="1"/>
    <xf numFmtId="0" fontId="6" fillId="0" borderId="16" xfId="2" applyFont="1" applyBorder="1" applyAlignment="1">
      <alignment horizontal="center" vertical="center"/>
    </xf>
    <xf numFmtId="16" fontId="6" fillId="0" borderId="57" xfId="2" applyNumberFormat="1" applyFont="1" applyBorder="1" applyAlignment="1">
      <alignment horizontal="center" vertical="center"/>
    </xf>
    <xf numFmtId="0" fontId="6" fillId="0" borderId="58" xfId="2" applyFont="1" applyBorder="1" applyAlignment="1">
      <alignment vertical="center"/>
    </xf>
    <xf numFmtId="0" fontId="6" fillId="0" borderId="23" xfId="2" applyFont="1" applyBorder="1" applyAlignment="1">
      <alignment horizontal="center" vertical="center"/>
    </xf>
    <xf numFmtId="0" fontId="6" fillId="0" borderId="59" xfId="2" applyFont="1" applyBorder="1" applyAlignment="1">
      <alignment horizontal="center" vertical="center"/>
    </xf>
    <xf numFmtId="0" fontId="6" fillId="0" borderId="29" xfId="2" applyFont="1" applyBorder="1" applyAlignment="1">
      <alignment horizontal="center" vertical="center"/>
    </xf>
    <xf numFmtId="0" fontId="6" fillId="0" borderId="60" xfId="2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51" fillId="0" borderId="39" xfId="0" applyFont="1" applyBorder="1"/>
    <xf numFmtId="49" fontId="14" fillId="9" borderId="35" xfId="2" applyNumberFormat="1" applyFont="1" applyFill="1" applyBorder="1" applyAlignment="1">
      <alignment horizontal="center"/>
    </xf>
    <xf numFmtId="0" fontId="15" fillId="0" borderId="35" xfId="0" applyFont="1" applyBorder="1" applyAlignment="1">
      <alignment horizontal="center" vertical="center"/>
    </xf>
    <xf numFmtId="0" fontId="52" fillId="0" borderId="61" xfId="1" applyFont="1" applyFill="1" applyBorder="1"/>
    <xf numFmtId="3" fontId="53" fillId="0" borderId="35" xfId="1" applyNumberFormat="1" applyFont="1" applyFill="1" applyBorder="1"/>
    <xf numFmtId="0" fontId="20" fillId="0" borderId="62" xfId="0" applyFont="1" applyBorder="1" applyAlignment="1">
      <alignment horizontal="center" vertical="center"/>
    </xf>
    <xf numFmtId="0" fontId="17" fillId="0" borderId="53" xfId="0" applyFont="1" applyBorder="1"/>
    <xf numFmtId="0" fontId="17" fillId="0" borderId="63" xfId="0" applyFont="1" applyBorder="1"/>
    <xf numFmtId="0" fontId="17" fillId="0" borderId="64" xfId="0" applyFont="1" applyBorder="1"/>
    <xf numFmtId="189" fontId="21" fillId="0" borderId="36" xfId="4" applyNumberFormat="1" applyFont="1" applyFill="1" applyBorder="1" applyAlignment="1">
      <alignment vertical="center"/>
    </xf>
    <xf numFmtId="189" fontId="21" fillId="0" borderId="34" xfId="4" applyNumberFormat="1" applyFont="1" applyFill="1" applyBorder="1" applyAlignment="1">
      <alignment horizontal="center" vertical="center"/>
    </xf>
    <xf numFmtId="188" fontId="21" fillId="0" borderId="34" xfId="4" applyNumberFormat="1" applyFont="1" applyFill="1" applyBorder="1" applyAlignment="1">
      <alignment horizontal="center" vertical="center"/>
    </xf>
    <xf numFmtId="4" fontId="23" fillId="0" borderId="39" xfId="0" applyNumberFormat="1" applyFont="1" applyBorder="1" applyAlignment="1">
      <alignment horizontal="center" vertical="center"/>
    </xf>
    <xf numFmtId="4" fontId="23" fillId="0" borderId="65" xfId="0" applyNumberFormat="1" applyFont="1" applyBorder="1" applyAlignment="1">
      <alignment horizontal="center" vertical="center"/>
    </xf>
    <xf numFmtId="4" fontId="54" fillId="0" borderId="43" xfId="2" applyNumberFormat="1" applyFont="1" applyBorder="1" applyAlignment="1">
      <alignment horizontal="center" vertical="center"/>
    </xf>
    <xf numFmtId="4" fontId="54" fillId="0" borderId="65" xfId="2" applyNumberFormat="1" applyFont="1" applyBorder="1" applyAlignment="1">
      <alignment horizontal="center" vertical="center"/>
    </xf>
    <xf numFmtId="188" fontId="21" fillId="0" borderId="19" xfId="4" applyNumberFormat="1" applyFont="1" applyFill="1" applyBorder="1" applyAlignment="1">
      <alignment horizontal="center" vertical="center"/>
    </xf>
    <xf numFmtId="37" fontId="21" fillId="0" borderId="36" xfId="4" applyNumberFormat="1" applyFont="1" applyFill="1" applyBorder="1" applyAlignment="1">
      <alignment horizontal="center" vertical="center"/>
    </xf>
    <xf numFmtId="190" fontId="21" fillId="0" borderId="19" xfId="4" applyNumberFormat="1" applyFont="1" applyFill="1" applyBorder="1" applyAlignment="1">
      <alignment vertical="center"/>
    </xf>
    <xf numFmtId="4" fontId="44" fillId="0" borderId="39" xfId="0" applyNumberFormat="1" applyFont="1" applyBorder="1" applyAlignment="1">
      <alignment horizontal="center" vertical="center"/>
    </xf>
    <xf numFmtId="4" fontId="54" fillId="0" borderId="36" xfId="2" applyNumberFormat="1" applyFont="1" applyBorder="1" applyAlignment="1">
      <alignment horizontal="center" vertical="center"/>
    </xf>
    <xf numFmtId="4" fontId="54" fillId="0" borderId="34" xfId="2" applyNumberFormat="1" applyFont="1" applyBorder="1" applyAlignment="1">
      <alignment horizontal="center" vertical="center"/>
    </xf>
    <xf numFmtId="2" fontId="44" fillId="0" borderId="39" xfId="0" applyNumberFormat="1" applyFont="1" applyBorder="1" applyAlignment="1">
      <alignment horizontal="center" vertical="center"/>
    </xf>
    <xf numFmtId="189" fontId="19" fillId="0" borderId="48" xfId="4" applyNumberFormat="1" applyFont="1" applyFill="1" applyBorder="1" applyAlignment="1">
      <alignment vertical="center"/>
    </xf>
    <xf numFmtId="189" fontId="9" fillId="0" borderId="45" xfId="4" applyNumberFormat="1" applyFont="1" applyFill="1" applyBorder="1" applyAlignment="1">
      <alignment vertical="center"/>
    </xf>
    <xf numFmtId="43" fontId="9" fillId="0" borderId="45" xfId="4" applyFont="1" applyFill="1" applyBorder="1" applyAlignment="1">
      <alignment vertical="center"/>
    </xf>
    <xf numFmtId="43" fontId="59" fillId="0" borderId="40" xfId="4" applyFont="1" applyFill="1" applyBorder="1" applyAlignment="1">
      <alignment horizontal="center" vertical="center"/>
    </xf>
    <xf numFmtId="0" fontId="18" fillId="4" borderId="68" xfId="0" applyFont="1" applyFill="1" applyBorder="1" applyAlignment="1">
      <alignment horizontal="center" vertical="center"/>
    </xf>
    <xf numFmtId="0" fontId="18" fillId="4" borderId="59" xfId="0" applyFont="1" applyFill="1" applyBorder="1" applyAlignment="1">
      <alignment horizontal="center" vertical="center"/>
    </xf>
    <xf numFmtId="0" fontId="18" fillId="4" borderId="65" xfId="0" applyFont="1" applyFill="1" applyBorder="1" applyAlignment="1">
      <alignment horizontal="center" vertical="center"/>
    </xf>
    <xf numFmtId="0" fontId="18" fillId="4" borderId="66" xfId="0" applyFont="1" applyFill="1" applyBorder="1" applyAlignment="1">
      <alignment horizontal="center" vertical="center"/>
    </xf>
    <xf numFmtId="0" fontId="18" fillId="4" borderId="67" xfId="0" applyFont="1" applyFill="1" applyBorder="1" applyAlignment="1">
      <alignment horizontal="center" vertical="center"/>
    </xf>
    <xf numFmtId="0" fontId="18" fillId="4" borderId="36" xfId="0" applyFont="1" applyFill="1" applyBorder="1" applyAlignment="1">
      <alignment horizontal="center" vertical="center"/>
    </xf>
    <xf numFmtId="0" fontId="61" fillId="4" borderId="34" xfId="0" applyFont="1" applyFill="1" applyBorder="1" applyAlignment="1">
      <alignment horizontal="center" vertical="center"/>
    </xf>
    <xf numFmtId="0" fontId="61" fillId="6" borderId="34" xfId="0" applyFont="1" applyFill="1" applyBorder="1" applyAlignment="1">
      <alignment horizontal="center" vertical="center"/>
    </xf>
    <xf numFmtId="0" fontId="12" fillId="3" borderId="69" xfId="0" applyFont="1" applyFill="1" applyBorder="1" applyAlignment="1">
      <alignment horizontal="center" vertical="center"/>
    </xf>
    <xf numFmtId="0" fontId="12" fillId="3" borderId="70" xfId="0" applyFont="1" applyFill="1" applyBorder="1" applyAlignment="1">
      <alignment horizontal="center" vertical="center"/>
    </xf>
    <xf numFmtId="0" fontId="26" fillId="4" borderId="70" xfId="0" applyFont="1" applyFill="1" applyBorder="1" applyAlignment="1">
      <alignment horizontal="center" vertical="center"/>
    </xf>
    <xf numFmtId="0" fontId="12" fillId="6" borderId="70" xfId="0" applyFont="1" applyFill="1" applyBorder="1" applyAlignment="1">
      <alignment horizontal="center" vertical="center"/>
    </xf>
    <xf numFmtId="16" fontId="6" fillId="0" borderId="71" xfId="2" applyNumberFormat="1" applyFont="1" applyBorder="1" applyAlignment="1">
      <alignment horizontal="center" vertical="center"/>
    </xf>
    <xf numFmtId="0" fontId="61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49" fontId="25" fillId="4" borderId="62" xfId="0" applyNumberFormat="1" applyFont="1" applyFill="1" applyBorder="1" applyAlignment="1">
      <alignment horizontal="center" vertical="center"/>
    </xf>
    <xf numFmtId="49" fontId="25" fillId="4" borderId="61" xfId="0" applyNumberFormat="1" applyFont="1" applyFill="1" applyBorder="1" applyAlignment="1">
      <alignment horizontal="center" vertical="center"/>
    </xf>
    <xf numFmtId="49" fontId="25" fillId="4" borderId="58" xfId="0" applyNumberFormat="1" applyFont="1" applyFill="1" applyBorder="1" applyAlignment="1">
      <alignment horizontal="center" vertical="center"/>
    </xf>
    <xf numFmtId="49" fontId="14" fillId="10" borderId="35" xfId="2" applyNumberFormat="1" applyFont="1" applyFill="1" applyBorder="1" applyAlignment="1">
      <alignment horizontal="center"/>
    </xf>
    <xf numFmtId="0" fontId="62" fillId="4" borderId="35" xfId="0" applyFont="1" applyFill="1" applyBorder="1" applyAlignment="1">
      <alignment horizontal="left" vertical="center"/>
    </xf>
    <xf numFmtId="0" fontId="21" fillId="0" borderId="0" xfId="2" applyFont="1"/>
    <xf numFmtId="49" fontId="21" fillId="10" borderId="0" xfId="0" applyNumberFormat="1" applyFont="1" applyFill="1" applyAlignment="1">
      <alignment horizontal="left" vertical="center"/>
    </xf>
    <xf numFmtId="49" fontId="45" fillId="4" borderId="0" xfId="0" applyNumberFormat="1" applyFont="1" applyFill="1" applyAlignment="1">
      <alignment horizontal="left" vertical="center"/>
    </xf>
    <xf numFmtId="0" fontId="68" fillId="0" borderId="0" xfId="2" applyFont="1"/>
    <xf numFmtId="0" fontId="68" fillId="4" borderId="34" xfId="0" applyFont="1" applyFill="1" applyBorder="1" applyAlignment="1">
      <alignment horizontal="center" vertical="center"/>
    </xf>
    <xf numFmtId="0" fontId="71" fillId="4" borderId="34" xfId="0" applyFont="1" applyFill="1" applyBorder="1" applyAlignment="1">
      <alignment horizontal="center" vertical="center"/>
    </xf>
    <xf numFmtId="16" fontId="68" fillId="0" borderId="0" xfId="2" applyNumberFormat="1" applyFont="1"/>
    <xf numFmtId="49" fontId="67" fillId="4" borderId="72" xfId="0" applyNumberFormat="1" applyFont="1" applyFill="1" applyBorder="1" applyAlignment="1">
      <alignment horizontal="center" vertical="center"/>
    </xf>
    <xf numFmtId="0" fontId="6" fillId="0" borderId="34" xfId="2" applyFont="1" applyBorder="1"/>
    <xf numFmtId="188" fontId="6" fillId="0" borderId="34" xfId="2" applyNumberFormat="1" applyFont="1" applyBorder="1" applyAlignment="1">
      <alignment horizontal="center"/>
    </xf>
    <xf numFmtId="187" fontId="6" fillId="0" borderId="34" xfId="2" applyNumberFormat="1" applyFont="1" applyBorder="1"/>
    <xf numFmtId="2" fontId="6" fillId="0" borderId="34" xfId="2" applyNumberFormat="1" applyFont="1" applyBorder="1" applyAlignment="1">
      <alignment horizontal="center"/>
    </xf>
    <xf numFmtId="0" fontId="8" fillId="0" borderId="34" xfId="2" applyFont="1" applyBorder="1"/>
    <xf numFmtId="0" fontId="69" fillId="4" borderId="34" xfId="0" applyFont="1" applyFill="1" applyBorder="1" applyAlignment="1">
      <alignment horizontal="left" vertical="center"/>
    </xf>
    <xf numFmtId="0" fontId="69" fillId="4" borderId="34" xfId="0" applyFont="1" applyFill="1" applyBorder="1" applyAlignment="1">
      <alignment horizontal="center" vertical="center"/>
    </xf>
    <xf numFmtId="0" fontId="70" fillId="0" borderId="34" xfId="0" applyFont="1" applyBorder="1" applyAlignment="1">
      <alignment horizontal="center" vertical="center"/>
    </xf>
    <xf numFmtId="189" fontId="71" fillId="0" borderId="34" xfId="4" applyNumberFormat="1" applyFont="1" applyFill="1" applyBorder="1" applyAlignment="1">
      <alignment horizontal="center" vertical="center"/>
    </xf>
    <xf numFmtId="190" fontId="71" fillId="0" borderId="34" xfId="4" applyNumberFormat="1" applyFont="1" applyFill="1" applyBorder="1" applyAlignment="1">
      <alignment vertical="center"/>
    </xf>
    <xf numFmtId="0" fontId="71" fillId="0" borderId="34" xfId="0" applyFont="1" applyBorder="1" applyAlignment="1">
      <alignment horizontal="center" vertical="center"/>
    </xf>
    <xf numFmtId="43" fontId="68" fillId="0" borderId="34" xfId="0" applyNumberFormat="1" applyFont="1" applyBorder="1" applyAlignment="1">
      <alignment horizontal="center" vertical="center"/>
    </xf>
    <xf numFmtId="2" fontId="72" fillId="0" borderId="34" xfId="0" applyNumberFormat="1" applyFont="1" applyBorder="1" applyAlignment="1">
      <alignment horizontal="center" vertical="center"/>
    </xf>
    <xf numFmtId="4" fontId="73" fillId="0" borderId="34" xfId="0" applyNumberFormat="1" applyFont="1" applyBorder="1" applyAlignment="1">
      <alignment horizontal="center" vertical="center"/>
    </xf>
    <xf numFmtId="2" fontId="73" fillId="0" borderId="34" xfId="0" applyNumberFormat="1" applyFont="1" applyBorder="1" applyAlignment="1">
      <alignment horizontal="center" vertical="center"/>
    </xf>
    <xf numFmtId="43" fontId="74" fillId="0" borderId="34" xfId="4" applyFont="1" applyFill="1" applyBorder="1" applyAlignment="1">
      <alignment horizontal="center" vertical="center"/>
    </xf>
    <xf numFmtId="189" fontId="71" fillId="0" borderId="34" xfId="4" applyNumberFormat="1" applyFont="1" applyFill="1" applyBorder="1" applyAlignment="1">
      <alignment vertical="center"/>
    </xf>
    <xf numFmtId="0" fontId="68" fillId="0" borderId="34" xfId="0" applyFont="1" applyBorder="1" applyAlignment="1">
      <alignment horizontal="center" vertical="center"/>
    </xf>
    <xf numFmtId="49" fontId="70" fillId="0" borderId="34" xfId="0" applyNumberFormat="1" applyFont="1" applyBorder="1" applyAlignment="1">
      <alignment horizontal="center" vertical="center"/>
    </xf>
    <xf numFmtId="0" fontId="15" fillId="4" borderId="34" xfId="0" applyFont="1" applyFill="1" applyBorder="1" applyAlignment="1">
      <alignment horizontal="left" vertical="center"/>
    </xf>
    <xf numFmtId="0" fontId="17" fillId="0" borderId="34" xfId="0" applyFont="1" applyBorder="1" applyAlignment="1">
      <alignment horizontal="center" vertical="center"/>
    </xf>
    <xf numFmtId="0" fontId="19" fillId="4" borderId="34" xfId="0" applyFont="1" applyFill="1" applyBorder="1" applyAlignment="1">
      <alignment horizontal="center" vertical="center"/>
    </xf>
    <xf numFmtId="0" fontId="20" fillId="4" borderId="34" xfId="0" applyFont="1" applyFill="1" applyBorder="1" applyAlignment="1">
      <alignment horizontal="center" vertical="center"/>
    </xf>
    <xf numFmtId="189" fontId="21" fillId="0" borderId="34" xfId="4" applyNumberFormat="1" applyFont="1" applyFill="1" applyBorder="1" applyAlignment="1">
      <alignment vertical="center"/>
    </xf>
    <xf numFmtId="190" fontId="21" fillId="0" borderId="34" xfId="4" applyNumberFormat="1" applyFont="1" applyFill="1" applyBorder="1" applyAlignment="1">
      <alignment vertical="center"/>
    </xf>
    <xf numFmtId="0" fontId="21" fillId="0" borderId="34" xfId="0" applyFont="1" applyBorder="1" applyAlignment="1">
      <alignment horizontal="center" vertical="center"/>
    </xf>
    <xf numFmtId="43" fontId="12" fillId="0" borderId="34" xfId="0" applyNumberFormat="1" applyFont="1" applyBorder="1" applyAlignment="1">
      <alignment horizontal="center" vertical="center"/>
    </xf>
    <xf numFmtId="2" fontId="22" fillId="0" borderId="34" xfId="0" applyNumberFormat="1" applyFont="1" applyBorder="1" applyAlignment="1">
      <alignment horizontal="center" vertical="center"/>
    </xf>
    <xf numFmtId="4" fontId="23" fillId="0" borderId="34" xfId="0" applyNumberFormat="1" applyFont="1" applyBorder="1" applyAlignment="1">
      <alignment horizontal="center" vertical="center"/>
    </xf>
    <xf numFmtId="2" fontId="23" fillId="0" borderId="34" xfId="0" applyNumberFormat="1" applyFont="1" applyBorder="1" applyAlignment="1">
      <alignment horizontal="center" vertical="center"/>
    </xf>
    <xf numFmtId="43" fontId="24" fillId="0" borderId="34" xfId="4" applyFont="1" applyFill="1" applyBorder="1" applyAlignment="1">
      <alignment horizontal="center" vertical="center"/>
    </xf>
    <xf numFmtId="16" fontId="66" fillId="0" borderId="34" xfId="2" applyNumberFormat="1" applyFont="1" applyBorder="1"/>
    <xf numFmtId="49" fontId="67" fillId="5" borderId="34" xfId="2" applyNumberFormat="1" applyFont="1" applyFill="1" applyBorder="1" applyAlignment="1">
      <alignment horizontal="center"/>
    </xf>
    <xf numFmtId="49" fontId="67" fillId="4" borderId="34" xfId="0" applyNumberFormat="1" applyFont="1" applyFill="1" applyBorder="1" applyAlignment="1">
      <alignment horizontal="center" vertical="center"/>
    </xf>
    <xf numFmtId="0" fontId="73" fillId="4" borderId="34" xfId="0" applyFont="1" applyFill="1" applyBorder="1" applyAlignment="1">
      <alignment horizontal="center" vertical="center"/>
    </xf>
    <xf numFmtId="0" fontId="66" fillId="4" borderId="34" xfId="0" applyFont="1" applyFill="1" applyBorder="1" applyAlignment="1">
      <alignment horizontal="center" vertical="center"/>
    </xf>
    <xf numFmtId="0" fontId="65" fillId="4" borderId="34" xfId="0" applyFont="1" applyFill="1" applyBorder="1" applyAlignment="1">
      <alignment horizontal="center" vertical="center"/>
    </xf>
    <xf numFmtId="0" fontId="66" fillId="4" borderId="68" xfId="0" applyFont="1" applyFill="1" applyBorder="1" applyAlignment="1">
      <alignment horizontal="center" vertical="center"/>
    </xf>
    <xf numFmtId="0" fontId="66" fillId="4" borderId="59" xfId="0" applyFont="1" applyFill="1" applyBorder="1" applyAlignment="1">
      <alignment horizontal="center" vertical="center"/>
    </xf>
    <xf numFmtId="0" fontId="66" fillId="4" borderId="65" xfId="0" applyFont="1" applyFill="1" applyBorder="1" applyAlignment="1">
      <alignment horizontal="center" vertical="center"/>
    </xf>
    <xf numFmtId="0" fontId="66" fillId="4" borderId="27" xfId="0" applyFont="1" applyFill="1" applyBorder="1" applyAlignment="1">
      <alignment horizontal="center" vertical="center"/>
    </xf>
    <xf numFmtId="0" fontId="66" fillId="4" borderId="66" xfId="0" applyFont="1" applyFill="1" applyBorder="1" applyAlignment="1">
      <alignment horizontal="center" vertical="center"/>
    </xf>
    <xf numFmtId="0" fontId="66" fillId="4" borderId="67" xfId="0" applyFont="1" applyFill="1" applyBorder="1" applyAlignment="1">
      <alignment horizontal="center" vertical="center"/>
    </xf>
    <xf numFmtId="0" fontId="63" fillId="0" borderId="27" xfId="0" applyFont="1" applyBorder="1" applyAlignment="1">
      <alignment horizontal="center" vertical="center"/>
    </xf>
    <xf numFmtId="0" fontId="66" fillId="4" borderId="36" xfId="0" applyFont="1" applyFill="1" applyBorder="1" applyAlignment="1">
      <alignment horizontal="center" vertical="center"/>
    </xf>
    <xf numFmtId="0" fontId="66" fillId="4" borderId="39" xfId="0" applyFont="1" applyFill="1" applyBorder="1" applyAlignment="1">
      <alignment horizontal="center" vertical="center"/>
    </xf>
    <xf numFmtId="0" fontId="66" fillId="4" borderId="43" xfId="0" applyFont="1" applyFill="1" applyBorder="1" applyAlignment="1">
      <alignment horizontal="center" vertical="center"/>
    </xf>
    <xf numFmtId="0" fontId="66" fillId="4" borderId="38" xfId="0" applyFont="1" applyFill="1" applyBorder="1" applyAlignment="1">
      <alignment horizontal="center" vertical="center"/>
    </xf>
    <xf numFmtId="190" fontId="21" fillId="0" borderId="18" xfId="4" applyNumberFormat="1" applyFont="1" applyFill="1" applyBorder="1" applyAlignment="1">
      <alignment horizontal="center" vertical="center"/>
    </xf>
    <xf numFmtId="190" fontId="21" fillId="0" borderId="40" xfId="4" applyNumberFormat="1" applyFont="1" applyFill="1" applyBorder="1" applyAlignment="1">
      <alignment vertical="center"/>
    </xf>
    <xf numFmtId="0" fontId="66" fillId="4" borderId="34" xfId="5" applyFont="1" applyFill="1" applyBorder="1" applyAlignment="1">
      <alignment horizontal="center" vertical="center"/>
    </xf>
    <xf numFmtId="0" fontId="65" fillId="4" borderId="34" xfId="5" applyFont="1" applyFill="1" applyBorder="1" applyAlignment="1">
      <alignment horizontal="center" vertical="center"/>
    </xf>
    <xf numFmtId="0" fontId="66" fillId="4" borderId="27" xfId="5" applyFont="1" applyFill="1" applyBorder="1" applyAlignment="1">
      <alignment horizontal="center" vertical="center"/>
    </xf>
    <xf numFmtId="0" fontId="66" fillId="4" borderId="68" xfId="5" applyFont="1" applyFill="1" applyBorder="1" applyAlignment="1">
      <alignment horizontal="center" vertical="center"/>
    </xf>
    <xf numFmtId="0" fontId="66" fillId="4" borderId="66" xfId="5" applyFont="1" applyFill="1" applyBorder="1" applyAlignment="1">
      <alignment horizontal="center" vertical="center"/>
    </xf>
    <xf numFmtId="0" fontId="66" fillId="4" borderId="59" xfId="5" applyFont="1" applyFill="1" applyBorder="1" applyAlignment="1">
      <alignment horizontal="center" vertical="center"/>
    </xf>
    <xf numFmtId="0" fontId="66" fillId="4" borderId="65" xfId="5" applyFont="1" applyFill="1" applyBorder="1" applyAlignment="1">
      <alignment horizontal="center" vertical="center"/>
    </xf>
    <xf numFmtId="0" fontId="66" fillId="4" borderId="67" xfId="5" applyFont="1" applyFill="1" applyBorder="1" applyAlignment="1">
      <alignment horizontal="center" vertical="center"/>
    </xf>
    <xf numFmtId="0" fontId="62" fillId="0" borderId="35" xfId="0" applyFont="1" applyBorder="1" applyAlignment="1">
      <alignment horizontal="center" vertical="center"/>
    </xf>
    <xf numFmtId="43" fontId="5" fillId="0" borderId="46" xfId="0" applyNumberFormat="1" applyFont="1" applyBorder="1" applyAlignment="1">
      <alignment horizontal="center" vertical="center"/>
    </xf>
    <xf numFmtId="43" fontId="5" fillId="0" borderId="49" xfId="0" applyNumberFormat="1" applyFont="1" applyBorder="1" applyAlignment="1">
      <alignment horizontal="center" vertical="center"/>
    </xf>
    <xf numFmtId="43" fontId="55" fillId="0" borderId="46" xfId="0" applyNumberFormat="1" applyFont="1" applyBorder="1" applyAlignment="1">
      <alignment horizontal="center" vertical="center"/>
    </xf>
    <xf numFmtId="43" fontId="55" fillId="0" borderId="49" xfId="0" applyNumberFormat="1" applyFont="1" applyBorder="1" applyAlignment="1">
      <alignment horizontal="center" vertical="center"/>
    </xf>
    <xf numFmtId="43" fontId="56" fillId="0" borderId="46" xfId="0" applyNumberFormat="1" applyFont="1" applyBorder="1" applyAlignment="1">
      <alignment horizontal="center" vertical="center"/>
    </xf>
    <xf numFmtId="43" fontId="56" fillId="0" borderId="49" xfId="0" applyNumberFormat="1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1" xfId="0" applyBorder="1" applyAlignment="1">
      <alignment horizontal="center"/>
    </xf>
    <xf numFmtId="3" fontId="33" fillId="0" borderId="46" xfId="0" applyNumberFormat="1" applyFont="1" applyBorder="1" applyAlignment="1">
      <alignment horizontal="center" vertical="center"/>
    </xf>
    <xf numFmtId="3" fontId="33" fillId="0" borderId="49" xfId="0" applyNumberFormat="1" applyFont="1" applyBorder="1" applyAlignment="1">
      <alignment horizontal="center" vertical="center"/>
    </xf>
    <xf numFmtId="3" fontId="5" fillId="0" borderId="46" xfId="0" applyNumberFormat="1" applyFont="1" applyBorder="1" applyAlignment="1">
      <alignment horizontal="center" vertical="center"/>
    </xf>
    <xf numFmtId="3" fontId="5" fillId="0" borderId="49" xfId="0" applyNumberFormat="1" applyFont="1" applyBorder="1" applyAlignment="1">
      <alignment horizontal="center" vertical="center"/>
    </xf>
    <xf numFmtId="190" fontId="5" fillId="0" borderId="46" xfId="0" applyNumberFormat="1" applyFont="1" applyBorder="1" applyAlignment="1">
      <alignment horizontal="center" vertical="center"/>
    </xf>
    <xf numFmtId="190" fontId="5" fillId="0" borderId="49" xfId="0" applyNumberFormat="1" applyFont="1" applyBorder="1" applyAlignment="1">
      <alignment horizontal="center" vertical="center"/>
    </xf>
    <xf numFmtId="189" fontId="5" fillId="0" borderId="46" xfId="0" applyNumberFormat="1" applyFont="1" applyBorder="1" applyAlignment="1">
      <alignment horizontal="center" vertical="center"/>
    </xf>
    <xf numFmtId="189" fontId="5" fillId="0" borderId="49" xfId="0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6" fontId="9" fillId="0" borderId="19" xfId="2" applyNumberFormat="1" applyFont="1" applyBorder="1" applyAlignment="1">
      <alignment horizontal="center" vertical="center"/>
    </xf>
    <xf numFmtId="16" fontId="9" fillId="0" borderId="42" xfId="2" applyNumberFormat="1" applyFont="1" applyBorder="1" applyAlignment="1">
      <alignment horizontal="center" vertical="center"/>
    </xf>
    <xf numFmtId="16" fontId="6" fillId="0" borderId="56" xfId="2" applyNumberFormat="1" applyFont="1" applyBorder="1" applyAlignment="1">
      <alignment horizontal="center" vertical="center"/>
    </xf>
    <xf numFmtId="16" fontId="6" fillId="0" borderId="14" xfId="2" applyNumberFormat="1" applyFont="1" applyBorder="1" applyAlignment="1">
      <alignment horizontal="center" vertical="center"/>
    </xf>
    <xf numFmtId="16" fontId="6" fillId="0" borderId="13" xfId="2" applyNumberFormat="1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9" xfId="2" applyFont="1" applyBorder="1" applyAlignment="1">
      <alignment horizontal="center"/>
    </xf>
    <xf numFmtId="0" fontId="6" fillId="0" borderId="55" xfId="2" applyFont="1" applyBorder="1" applyAlignment="1">
      <alignment horizontal="center"/>
    </xf>
    <xf numFmtId="0" fontId="6" fillId="0" borderId="47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16" fontId="6" fillId="0" borderId="3" xfId="2" applyNumberFormat="1" applyFont="1" applyBorder="1" applyAlignment="1">
      <alignment horizontal="center" vertical="center"/>
    </xf>
    <xf numFmtId="16" fontId="6" fillId="0" borderId="4" xfId="2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7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7" fillId="0" borderId="0" xfId="2" applyFont="1" applyAlignment="1">
      <alignment horizontal="center" vertical="center"/>
    </xf>
    <xf numFmtId="0" fontId="19" fillId="0" borderId="0" xfId="2" applyFont="1" applyAlignment="1">
      <alignment horizontal="center"/>
    </xf>
    <xf numFmtId="191" fontId="12" fillId="0" borderId="0" xfId="2" applyNumberFormat="1" applyFont="1" applyAlignment="1">
      <alignment horizontal="left" vertical="center"/>
    </xf>
    <xf numFmtId="4" fontId="33" fillId="0" borderId="46" xfId="0" applyNumberFormat="1" applyFont="1" applyBorder="1" applyAlignment="1">
      <alignment horizontal="center" vertical="center"/>
    </xf>
    <xf numFmtId="4" fontId="33" fillId="0" borderId="49" xfId="0" applyNumberFormat="1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16" fontId="9" fillId="0" borderId="20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2" fillId="0" borderId="0" xfId="3"/>
    <xf numFmtId="0" fontId="6" fillId="0" borderId="10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4" fontId="35" fillId="0" borderId="46" xfId="0" applyNumberFormat="1" applyFont="1" applyBorder="1" applyAlignment="1">
      <alignment horizontal="center" vertical="center"/>
    </xf>
    <xf numFmtId="4" fontId="35" fillId="0" borderId="49" xfId="0" applyNumberFormat="1" applyFont="1" applyBorder="1" applyAlignment="1">
      <alignment horizontal="center" vertical="center"/>
    </xf>
    <xf numFmtId="0" fontId="15" fillId="4" borderId="35" xfId="0" applyFont="1" applyFill="1" applyBorder="1" applyAlignment="1">
      <alignment horizontal="left" vertical="center" wrapText="1"/>
    </xf>
    <xf numFmtId="189" fontId="12" fillId="0" borderId="20" xfId="0" applyNumberFormat="1" applyFont="1" applyBorder="1" applyAlignment="1">
      <alignment horizontal="center" vertical="center"/>
    </xf>
  </cellXfs>
  <cellStyles count="13">
    <cellStyle name="Check Cell" xfId="1" builtinId="23"/>
    <cellStyle name="Comma 2" xfId="4" xr:uid="{DF29C3FE-1BE0-4A8F-B628-D0B4349B13F6}"/>
    <cellStyle name="Comma 2 2" xfId="11" xr:uid="{72A44511-0B30-4356-93F8-4620BB17E3E9}"/>
    <cellStyle name="Comma 5" xfId="12" xr:uid="{5355A439-AF49-4735-B691-5122139CF1D0}"/>
    <cellStyle name="Currency 2" xfId="8" xr:uid="{CFF6A120-5965-4494-9AE4-FA607DDF6BA5}"/>
    <cellStyle name="Normal" xfId="0" builtinId="0"/>
    <cellStyle name="Normal 2" xfId="9" xr:uid="{936BE389-818F-434C-A82F-9E92CB07BED8}"/>
    <cellStyle name="Normal 2 2" xfId="2" xr:uid="{88A21D5D-1A27-4548-8D31-59ABA2667D3A}"/>
    <cellStyle name="Normal 3" xfId="7" xr:uid="{D9A3DD0D-4D6D-47E3-BAF1-D625BD22D3CE}"/>
    <cellStyle name="Normal 4" xfId="5" xr:uid="{D62786B8-26AF-46D4-948F-A1B033AEBCD4}"/>
    <cellStyle name="Normal 5" xfId="3" xr:uid="{3BC56DD4-A1CD-4390-BB08-2246FCAA2D83}"/>
    <cellStyle name="ปกติ 2" xfId="6" xr:uid="{2AE9B048-AF62-4AC1-A9E8-AF8A05114DF5}"/>
    <cellStyle name="ปกติ 2 2" xfId="10" xr:uid="{28309C80-F139-4878-B8BE-7A6EE35A59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7D3C93B1-C626-4F90-A163-5C8A4288C11A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FE53E57-B341-4ED5-BCC1-7F2F1E503607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7A8E7386-3086-42DA-AFE9-8C2F05C3E6A9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B3D3DBE0-8178-4EB0-8785-859B6E7AD120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F9E92EE-E168-44D9-B44B-D4AECA3BFA4A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90665C53-B2A5-49EC-8B13-1446978F1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4286FBD8-8CE5-472A-B10A-7E962A5EA9CC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3D253DCA-B467-4F28-AF74-ABCDBD8D17CA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6E897968-D91F-4F1D-8014-5DE761401104}"/>
            </a:ext>
          </a:extLst>
        </xdr:cNvPr>
        <xdr:cNvSpPr txBox="1">
          <a:spLocks noChangeArrowheads="1"/>
        </xdr:cNvSpPr>
      </xdr:nvSpPr>
      <xdr:spPr bwMode="auto">
        <a:xfrm>
          <a:off x="6457950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6E862DD4-5BC4-45A2-9433-DA618C2F421D}"/>
            </a:ext>
          </a:extLst>
        </xdr:cNvPr>
        <xdr:cNvSpPr txBox="1">
          <a:spLocks noChangeArrowheads="1"/>
        </xdr:cNvSpPr>
      </xdr:nvSpPr>
      <xdr:spPr bwMode="auto">
        <a:xfrm>
          <a:off x="5895975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C1860D58-1710-403A-A4F8-E72D883300A0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1818E239-0DBB-485C-9789-28A3C095AF2C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1DC82388-991F-432C-9F91-85D6377B732E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254DF551-E049-499A-ACCA-6B91F4AB19C2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E46B811B-F960-4E03-B407-660FA14F720B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00119F8A-E922-4806-9BEB-BFF630FD35E8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88D0EA9D-1A43-4440-9BB1-9698CA79E63A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EEE7B3CA-086E-4104-8D23-1161C98E4E5A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BFE30BC5-B630-4BD5-8C72-3C31AC0B7695}"/>
            </a:ext>
          </a:extLst>
        </xdr:cNvPr>
        <xdr:cNvSpPr txBox="1">
          <a:spLocks noChangeArrowheads="1"/>
        </xdr:cNvSpPr>
      </xdr:nvSpPr>
      <xdr:spPr bwMode="auto">
        <a:xfrm>
          <a:off x="5276850" y="353758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542293C9-7063-4CCE-AEA1-9F416C269928}"/>
            </a:ext>
          </a:extLst>
        </xdr:cNvPr>
        <xdr:cNvSpPr txBox="1">
          <a:spLocks noChangeArrowheads="1"/>
        </xdr:cNvSpPr>
      </xdr:nvSpPr>
      <xdr:spPr bwMode="auto">
        <a:xfrm>
          <a:off x="5276850" y="353758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B1113A00-4934-40FA-B320-740C7EBA7B9D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82E05F54-4D81-49FC-BD1C-C3C73629A368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1571638B-3E97-463D-A49C-29389840052B}"/>
            </a:ext>
          </a:extLst>
        </xdr:cNvPr>
        <xdr:cNvSpPr txBox="1">
          <a:spLocks noChangeArrowheads="1"/>
        </xdr:cNvSpPr>
      </xdr:nvSpPr>
      <xdr:spPr bwMode="auto">
        <a:xfrm>
          <a:off x="6457950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7C16FBA8-5518-4E72-B13C-17C967A74741}"/>
            </a:ext>
          </a:extLst>
        </xdr:cNvPr>
        <xdr:cNvSpPr txBox="1">
          <a:spLocks noChangeArrowheads="1"/>
        </xdr:cNvSpPr>
      </xdr:nvSpPr>
      <xdr:spPr bwMode="auto">
        <a:xfrm>
          <a:off x="5895975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31FD3DBF-64FE-4BEE-BD19-69461966E5A0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CDF09F9E-E245-49DB-86FD-4B798A09F022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A223B632-5887-44D0-9E1D-72C4CB5C3AFE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A9ED2054-BE1E-4475-A7E9-123CA7B6C57B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128D26DD-EE4F-4143-824B-D09200D9577A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2660E567-A956-41D8-A1DD-D8E5B5567737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D5DA5F56-E274-4249-A0BD-81A44FCB7F56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FB53BE08-142A-433A-B5E6-277E40BB7521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A2408C04-4DC2-4C93-8537-5D27772AEB2E}"/>
            </a:ext>
          </a:extLst>
        </xdr:cNvPr>
        <xdr:cNvSpPr txBox="1">
          <a:spLocks noChangeArrowheads="1"/>
        </xdr:cNvSpPr>
      </xdr:nvSpPr>
      <xdr:spPr bwMode="auto">
        <a:xfrm>
          <a:off x="1695450" y="3560445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33FD1E69-E0C1-407F-AE08-4570CD6921C0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CC5C89E7-4AB6-4637-BA71-C39A03FB69BE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689C44B2-44FF-4AA4-A7C9-F0805720E42B}"/>
            </a:ext>
          </a:extLst>
        </xdr:cNvPr>
        <xdr:cNvSpPr txBox="1">
          <a:spLocks noChangeArrowheads="1"/>
        </xdr:cNvSpPr>
      </xdr:nvSpPr>
      <xdr:spPr bwMode="auto">
        <a:xfrm>
          <a:off x="1695450" y="3560445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47FDCF14-EBE0-44F4-B97F-911356FC7352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5C222428-96D2-4554-977E-0255A110D432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6434BDA7-1FEA-46C2-99FD-3178FA9C59CF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AAAAAA2C-A797-4828-9F8E-9818D9A10ECD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AFEEE96F-0A35-44CC-B578-4267C30EA812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252BB09D-53BB-4BF9-BA6C-545F46D1EE6A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01C95C6B-0F39-4B10-90FB-CCF67C6BBE96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B65281AE-53D8-4971-88B6-4D28122999F1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A68BF36B-A461-400F-BCCE-97DA155A58FA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B8E1AEF2-38CC-4E8E-A9A6-026F3E30B5B4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0A65E753-EDEF-479D-A64B-EAB8A5432118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41A12299-CD92-4D01-8A90-EF3B80A72228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104775</xdr:colOff>
      <xdr:row>120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B8AFA506-F167-40D0-86AE-D13637E8ADF1}"/>
            </a:ext>
          </a:extLst>
        </xdr:cNvPr>
        <xdr:cNvSpPr txBox="1">
          <a:spLocks noChangeArrowheads="1"/>
        </xdr:cNvSpPr>
      </xdr:nvSpPr>
      <xdr:spPr bwMode="auto">
        <a:xfrm>
          <a:off x="5276850" y="3607117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FB920612-1DE1-42FD-855D-4396EFA94895}"/>
            </a:ext>
          </a:extLst>
        </xdr:cNvPr>
        <xdr:cNvSpPr txBox="1">
          <a:spLocks noChangeArrowheads="1"/>
        </xdr:cNvSpPr>
      </xdr:nvSpPr>
      <xdr:spPr bwMode="auto">
        <a:xfrm>
          <a:off x="17506949" y="363093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5</xdr:col>
      <xdr:colOff>104775</xdr:colOff>
      <xdr:row>119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3041270B-29D6-4F29-B1F3-05C002293C87}"/>
            </a:ext>
          </a:extLst>
        </xdr:cNvPr>
        <xdr:cNvSpPr txBox="1">
          <a:spLocks noChangeArrowheads="1"/>
        </xdr:cNvSpPr>
      </xdr:nvSpPr>
      <xdr:spPr bwMode="auto">
        <a:xfrm>
          <a:off x="1695450" y="3583305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C01DCDFF-4E51-4738-80D4-09C4F26EAC99}"/>
            </a:ext>
          </a:extLst>
        </xdr:cNvPr>
        <xdr:cNvSpPr txBox="1">
          <a:spLocks noChangeArrowheads="1"/>
        </xdr:cNvSpPr>
      </xdr:nvSpPr>
      <xdr:spPr bwMode="auto">
        <a:xfrm>
          <a:off x="5276850" y="3583305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4" name="Text Box 374">
          <a:extLst>
            <a:ext uri="{FF2B5EF4-FFF2-40B4-BE49-F238E27FC236}">
              <a16:creationId xmlns:a16="http://schemas.microsoft.com/office/drawing/2014/main" id="{3EAC6CCA-1A43-4316-B07F-77C56114DF4D}"/>
            </a:ext>
          </a:extLst>
        </xdr:cNvPr>
        <xdr:cNvSpPr txBox="1">
          <a:spLocks noChangeArrowheads="1"/>
        </xdr:cNvSpPr>
      </xdr:nvSpPr>
      <xdr:spPr bwMode="auto">
        <a:xfrm>
          <a:off x="5276850" y="3583305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118B864E-60FD-4CA0-8C20-80FF5053D063}"/>
            </a:ext>
          </a:extLst>
        </xdr:cNvPr>
        <xdr:cNvSpPr txBox="1">
          <a:spLocks noChangeArrowheads="1"/>
        </xdr:cNvSpPr>
      </xdr:nvSpPr>
      <xdr:spPr bwMode="auto">
        <a:xfrm>
          <a:off x="17506949" y="363093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56" name="รูปภาพ 11">
          <a:extLst>
            <a:ext uri="{FF2B5EF4-FFF2-40B4-BE49-F238E27FC236}">
              <a16:creationId xmlns:a16="http://schemas.microsoft.com/office/drawing/2014/main" id="{2A2528A2-D817-4EE7-938D-47DD3D70B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DF581944-FF1B-4DB6-9B98-F8A1E708DA1A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B6F496E-E57A-4C40-B272-A696313B9BFF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DF562FBB-E350-4784-A83A-B6FA7F2D0145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6B0CBADB-C4C3-43B8-8E10-23B7B0E9EF4A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16F7B7ED-AE73-4FD2-989A-36A08E62C7FC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913FF392-9A72-4EE4-9C08-1661B2CC2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C645DD9D-9768-473F-BAF5-455307385797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BA267F39-48B9-4F9A-A8AD-ED4F592D3EC4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FAA92CDF-204F-456F-A2B5-D2FFA1397068}"/>
            </a:ext>
          </a:extLst>
        </xdr:cNvPr>
        <xdr:cNvSpPr txBox="1">
          <a:spLocks noChangeArrowheads="1"/>
        </xdr:cNvSpPr>
      </xdr:nvSpPr>
      <xdr:spPr bwMode="auto">
        <a:xfrm>
          <a:off x="6457950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971CD841-2C24-4B4A-9A32-9F526CCCE75B}"/>
            </a:ext>
          </a:extLst>
        </xdr:cNvPr>
        <xdr:cNvSpPr txBox="1">
          <a:spLocks noChangeArrowheads="1"/>
        </xdr:cNvSpPr>
      </xdr:nvSpPr>
      <xdr:spPr bwMode="auto">
        <a:xfrm>
          <a:off x="5895975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76ECA0BB-31F2-4B66-B096-0962898A3A12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2E678AA5-C2D4-4B3A-8E0C-792A37714EAB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FBA8F817-5F0B-4B1D-ABC4-000AB048797C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E2B188E9-BD0D-426D-B97E-54D8D56EBB41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567AF86F-89EC-4D80-9B8B-27648EB98A90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71DFBD1D-851E-4FBA-AA8E-C53FC8847A6B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AAD56F1B-1405-483E-A21C-71A8CE126F8B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20E299E3-1E7D-48CA-859B-FBEEAE2BE079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484BD97D-3DF4-4018-ACE6-716D6FBC2B42}"/>
            </a:ext>
          </a:extLst>
        </xdr:cNvPr>
        <xdr:cNvSpPr txBox="1">
          <a:spLocks noChangeArrowheads="1"/>
        </xdr:cNvSpPr>
      </xdr:nvSpPr>
      <xdr:spPr bwMode="auto">
        <a:xfrm>
          <a:off x="5276850" y="353758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7C5FEEED-625C-4C05-9C55-C50C31B906D1}"/>
            </a:ext>
          </a:extLst>
        </xdr:cNvPr>
        <xdr:cNvSpPr txBox="1">
          <a:spLocks noChangeArrowheads="1"/>
        </xdr:cNvSpPr>
      </xdr:nvSpPr>
      <xdr:spPr bwMode="auto">
        <a:xfrm>
          <a:off x="5276850" y="353758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B7DD0F7B-7424-4E68-B666-B16FBF88905D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FD53312D-B8E9-4CEC-B185-BD1EC89A3CCF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6D83DB4F-E3C9-47A2-B6D6-395BE20F631C}"/>
            </a:ext>
          </a:extLst>
        </xdr:cNvPr>
        <xdr:cNvSpPr txBox="1">
          <a:spLocks noChangeArrowheads="1"/>
        </xdr:cNvSpPr>
      </xdr:nvSpPr>
      <xdr:spPr bwMode="auto">
        <a:xfrm>
          <a:off x="6457950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AE5BF078-F55B-4455-8656-4F039807EB42}"/>
            </a:ext>
          </a:extLst>
        </xdr:cNvPr>
        <xdr:cNvSpPr txBox="1">
          <a:spLocks noChangeArrowheads="1"/>
        </xdr:cNvSpPr>
      </xdr:nvSpPr>
      <xdr:spPr bwMode="auto">
        <a:xfrm>
          <a:off x="5895975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0444FBAC-36D1-47E8-B180-0974B11CC9E1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50C94F0A-9997-406A-99A1-180DB01D39AB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7CA747EE-FE37-4C88-8F38-4D7F218FD64E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CD06B69D-6971-4CF8-A943-779347A66ABC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BF24AA21-0ED9-43FD-A6D9-48F6DE881E33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0C119EDA-33C6-476A-A804-E2A0C30A3B40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92AE94D5-A4BF-4BA2-B66F-3757D12BBE9E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2DB51576-8BDB-450C-869B-B0367DE6BACA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6DDA8407-FDAB-47B7-A7A4-8719C3A1F26A}"/>
            </a:ext>
          </a:extLst>
        </xdr:cNvPr>
        <xdr:cNvSpPr txBox="1">
          <a:spLocks noChangeArrowheads="1"/>
        </xdr:cNvSpPr>
      </xdr:nvSpPr>
      <xdr:spPr bwMode="auto">
        <a:xfrm>
          <a:off x="1695450" y="3560445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8C4F7097-2935-406E-92EE-1C6928A37545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9419E1F0-9BD9-4386-A564-5FA9AB5009ED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CED99697-F298-4051-9AA5-5D0D427B20E3}"/>
            </a:ext>
          </a:extLst>
        </xdr:cNvPr>
        <xdr:cNvSpPr txBox="1">
          <a:spLocks noChangeArrowheads="1"/>
        </xdr:cNvSpPr>
      </xdr:nvSpPr>
      <xdr:spPr bwMode="auto">
        <a:xfrm>
          <a:off x="1695450" y="3560445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9D93F948-68BD-48A5-8FDC-EB8B89AE6BE1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CF8D12A7-55D1-490F-94D7-BF1C67CE5775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61F7A1A3-1980-4B34-95B5-C550F0798633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2342AC7C-211F-447E-8DC6-77D4FC4C89D2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66D16DA4-7D41-407A-85F8-583AF974C117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8B06D5A6-1875-4904-ADD0-784F43EB15AA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C5005A3D-C019-43DC-8461-15563FDA8F42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6253D2BC-AE86-4BF0-83EF-9DA2FA81E864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9A6F597E-CFB4-4AD2-9988-1B6655C6A399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8BD90179-C5E7-433E-B121-CF55E758B4FE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BCB3F51E-94B0-45FC-B9DC-E99AF0647BE9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B874AC42-2F01-4A35-A00E-8B9E7659C5B9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104775</xdr:colOff>
      <xdr:row>120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D8E801D2-02B5-4AB4-B0AF-41B546EEBEB6}"/>
            </a:ext>
          </a:extLst>
        </xdr:cNvPr>
        <xdr:cNvSpPr txBox="1">
          <a:spLocks noChangeArrowheads="1"/>
        </xdr:cNvSpPr>
      </xdr:nvSpPr>
      <xdr:spPr bwMode="auto">
        <a:xfrm>
          <a:off x="5276850" y="3607117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52663864-2DD2-4F3E-BCBC-0B31B7E844ED}"/>
            </a:ext>
          </a:extLst>
        </xdr:cNvPr>
        <xdr:cNvSpPr txBox="1">
          <a:spLocks noChangeArrowheads="1"/>
        </xdr:cNvSpPr>
      </xdr:nvSpPr>
      <xdr:spPr bwMode="auto">
        <a:xfrm>
          <a:off x="17506949" y="363093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5</xdr:col>
      <xdr:colOff>104775</xdr:colOff>
      <xdr:row>119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920571F2-04D4-4CD3-88BF-F5B48BC83E01}"/>
            </a:ext>
          </a:extLst>
        </xdr:cNvPr>
        <xdr:cNvSpPr txBox="1">
          <a:spLocks noChangeArrowheads="1"/>
        </xdr:cNvSpPr>
      </xdr:nvSpPr>
      <xdr:spPr bwMode="auto">
        <a:xfrm>
          <a:off x="1695450" y="3583305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6F9D3D5E-7171-4A03-832C-A688B4F82E39}"/>
            </a:ext>
          </a:extLst>
        </xdr:cNvPr>
        <xdr:cNvSpPr txBox="1">
          <a:spLocks noChangeArrowheads="1"/>
        </xdr:cNvSpPr>
      </xdr:nvSpPr>
      <xdr:spPr bwMode="auto">
        <a:xfrm>
          <a:off x="5276850" y="3583305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4" name="Text Box 374">
          <a:extLst>
            <a:ext uri="{FF2B5EF4-FFF2-40B4-BE49-F238E27FC236}">
              <a16:creationId xmlns:a16="http://schemas.microsoft.com/office/drawing/2014/main" id="{E9BAD6CD-5B29-490C-AA7E-C7935E2C8319}"/>
            </a:ext>
          </a:extLst>
        </xdr:cNvPr>
        <xdr:cNvSpPr txBox="1">
          <a:spLocks noChangeArrowheads="1"/>
        </xdr:cNvSpPr>
      </xdr:nvSpPr>
      <xdr:spPr bwMode="auto">
        <a:xfrm>
          <a:off x="5276850" y="3583305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5906FC02-BB47-4C67-9849-D8EFDBB9FEC4}"/>
            </a:ext>
          </a:extLst>
        </xdr:cNvPr>
        <xdr:cNvSpPr txBox="1">
          <a:spLocks noChangeArrowheads="1"/>
        </xdr:cNvSpPr>
      </xdr:nvSpPr>
      <xdr:spPr bwMode="auto">
        <a:xfrm>
          <a:off x="17506949" y="363093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E53E86B1-700F-4890-884C-F93BFF9F5C8B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647D3EB-528F-4C1B-BB39-7B5EA18B2475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C06B4547-A96C-4154-83BD-CEBD71B7CEC0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A6B84A64-6BD5-46AF-B802-079219A95D6E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8D856AE7-CA7B-4BA9-BAB6-E0409880B82D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F655D4F9-C797-4066-AA36-9FB8DCDB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29DB7B9F-613F-4891-AB14-A2A1E85A829B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C8BC299D-0C87-4D2E-BF85-EE0B3C9216CE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342CEFF1-2DD3-41F0-AC21-BEDCDD17ABC5}"/>
            </a:ext>
          </a:extLst>
        </xdr:cNvPr>
        <xdr:cNvSpPr txBox="1">
          <a:spLocks noChangeArrowheads="1"/>
        </xdr:cNvSpPr>
      </xdr:nvSpPr>
      <xdr:spPr bwMode="auto">
        <a:xfrm>
          <a:off x="6457950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C32A6A0E-0F3A-4A10-B6A1-E2EB7C9780C9}"/>
            </a:ext>
          </a:extLst>
        </xdr:cNvPr>
        <xdr:cNvSpPr txBox="1">
          <a:spLocks noChangeArrowheads="1"/>
        </xdr:cNvSpPr>
      </xdr:nvSpPr>
      <xdr:spPr bwMode="auto">
        <a:xfrm>
          <a:off x="5895975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88773D87-53C9-4A06-A279-B9D63AA307AF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AF3F0028-3B55-4546-8A68-C40C643B9247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49247291-FD19-4CF4-AE5B-99081FBC98DD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1AC7D7F4-7F2A-4B89-A709-2C8B036D620B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60DA5C46-52A1-4939-8300-9ECAC0628939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D811C7C1-F983-4AD0-920B-9B58B9B9EF49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BF90B7AA-C47D-479C-B510-5197F184756D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5EFD712E-83FB-4359-860A-2DE4A3CEF945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20AE05D3-4AFA-4510-9C6D-915935EB8ED7}"/>
            </a:ext>
          </a:extLst>
        </xdr:cNvPr>
        <xdr:cNvSpPr txBox="1">
          <a:spLocks noChangeArrowheads="1"/>
        </xdr:cNvSpPr>
      </xdr:nvSpPr>
      <xdr:spPr bwMode="auto">
        <a:xfrm>
          <a:off x="5276850" y="353758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3CF5299B-589A-4B79-B46B-C0E83C5E2151}"/>
            </a:ext>
          </a:extLst>
        </xdr:cNvPr>
        <xdr:cNvSpPr txBox="1">
          <a:spLocks noChangeArrowheads="1"/>
        </xdr:cNvSpPr>
      </xdr:nvSpPr>
      <xdr:spPr bwMode="auto">
        <a:xfrm>
          <a:off x="5276850" y="353758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766D75C4-F4E8-470A-833A-FD8C56094B28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3239E695-2253-4D46-859A-B2385D14D5D7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CD3A1AF2-87A8-4806-8A81-64B5EEE6012E}"/>
            </a:ext>
          </a:extLst>
        </xdr:cNvPr>
        <xdr:cNvSpPr txBox="1">
          <a:spLocks noChangeArrowheads="1"/>
        </xdr:cNvSpPr>
      </xdr:nvSpPr>
      <xdr:spPr bwMode="auto">
        <a:xfrm>
          <a:off x="6457950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98CECF08-EB3A-464E-BD0B-46EA6D41FC6B}"/>
            </a:ext>
          </a:extLst>
        </xdr:cNvPr>
        <xdr:cNvSpPr txBox="1">
          <a:spLocks noChangeArrowheads="1"/>
        </xdr:cNvSpPr>
      </xdr:nvSpPr>
      <xdr:spPr bwMode="auto">
        <a:xfrm>
          <a:off x="5895975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904958FD-DD2D-47AA-AC6A-46714D894485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6045014D-9E24-42F7-AD71-63B20491EB21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9250FE97-9F31-4588-B459-5625E3C4C3D2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FA841398-CB53-454A-A67B-53DA2EF01088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C1DFC6A9-3948-4C08-B464-D792F2C47E61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FA679C54-45F7-47C0-B900-F6D8815EB175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1FE0ED60-B4D3-4BCB-AB65-33B283B0D45B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D89B89D7-F1EB-43C6-899A-E309738E3DF0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1124DDF7-68F3-4062-92B5-6FA6A1AA19D5}"/>
            </a:ext>
          </a:extLst>
        </xdr:cNvPr>
        <xdr:cNvSpPr txBox="1">
          <a:spLocks noChangeArrowheads="1"/>
        </xdr:cNvSpPr>
      </xdr:nvSpPr>
      <xdr:spPr bwMode="auto">
        <a:xfrm>
          <a:off x="1695450" y="3560445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5989A7C4-A7FD-4F96-9A41-F8FB40C66CFE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EA2E2D11-6AB4-4EF0-9A14-C7BDBAD0D8BD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408ADE32-9FF9-4F58-8AFE-A5BD43FC7405}"/>
            </a:ext>
          </a:extLst>
        </xdr:cNvPr>
        <xdr:cNvSpPr txBox="1">
          <a:spLocks noChangeArrowheads="1"/>
        </xdr:cNvSpPr>
      </xdr:nvSpPr>
      <xdr:spPr bwMode="auto">
        <a:xfrm>
          <a:off x="1695450" y="3560445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64985C2E-55EF-482C-93A6-2018F0BDB62B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A6ED7BE9-E94E-404F-ABB9-D4A27BB2C617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E290EBF8-C159-4AD8-BFAD-A354ABC5B04F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13695E33-EAC5-4C07-A93F-E1FC898B38F1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F6D1B239-17CF-4B67-9E65-03D5658E6DCE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FC87CF73-91D9-452C-8D6D-349A3D777C64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F5FA26B1-118A-4A20-A7CD-B93A37D86F33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E5925F07-AE60-4775-9651-A8FFF91FE9DC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30102A9E-0229-46B6-BCB1-58E3F02C99F7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1649936B-B808-4571-899F-BDDD80EF5116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BCFD762D-D4D7-4CC2-83B2-2DB7B958241F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27DD8886-370E-40BA-91A8-38A1438AAF13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104775</xdr:colOff>
      <xdr:row>120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57BB0174-337C-4622-B436-B5C16C444457}"/>
            </a:ext>
          </a:extLst>
        </xdr:cNvPr>
        <xdr:cNvSpPr txBox="1">
          <a:spLocks noChangeArrowheads="1"/>
        </xdr:cNvSpPr>
      </xdr:nvSpPr>
      <xdr:spPr bwMode="auto">
        <a:xfrm>
          <a:off x="5276850" y="3607117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8397E07D-F0C4-4677-95B8-C59094938111}"/>
            </a:ext>
          </a:extLst>
        </xdr:cNvPr>
        <xdr:cNvSpPr txBox="1">
          <a:spLocks noChangeArrowheads="1"/>
        </xdr:cNvSpPr>
      </xdr:nvSpPr>
      <xdr:spPr bwMode="auto">
        <a:xfrm>
          <a:off x="17506949" y="363093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5</xdr:col>
      <xdr:colOff>104775</xdr:colOff>
      <xdr:row>119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920D1154-D976-4148-930E-F4FB95825CD7}"/>
            </a:ext>
          </a:extLst>
        </xdr:cNvPr>
        <xdr:cNvSpPr txBox="1">
          <a:spLocks noChangeArrowheads="1"/>
        </xdr:cNvSpPr>
      </xdr:nvSpPr>
      <xdr:spPr bwMode="auto">
        <a:xfrm>
          <a:off x="1695450" y="3583305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5FFFF311-815F-4FBC-A325-91027EA35BBD}"/>
            </a:ext>
          </a:extLst>
        </xdr:cNvPr>
        <xdr:cNvSpPr txBox="1">
          <a:spLocks noChangeArrowheads="1"/>
        </xdr:cNvSpPr>
      </xdr:nvSpPr>
      <xdr:spPr bwMode="auto">
        <a:xfrm>
          <a:off x="5276850" y="3583305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4" name="Text Box 374">
          <a:extLst>
            <a:ext uri="{FF2B5EF4-FFF2-40B4-BE49-F238E27FC236}">
              <a16:creationId xmlns:a16="http://schemas.microsoft.com/office/drawing/2014/main" id="{5EE3D5F5-96CB-4FAF-A9DB-FD28A9B65E7F}"/>
            </a:ext>
          </a:extLst>
        </xdr:cNvPr>
        <xdr:cNvSpPr txBox="1">
          <a:spLocks noChangeArrowheads="1"/>
        </xdr:cNvSpPr>
      </xdr:nvSpPr>
      <xdr:spPr bwMode="auto">
        <a:xfrm>
          <a:off x="5276850" y="3583305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5B283CBD-71CD-4286-8E7F-F4C4B8B903C2}"/>
            </a:ext>
          </a:extLst>
        </xdr:cNvPr>
        <xdr:cNvSpPr txBox="1">
          <a:spLocks noChangeArrowheads="1"/>
        </xdr:cNvSpPr>
      </xdr:nvSpPr>
      <xdr:spPr bwMode="auto">
        <a:xfrm>
          <a:off x="17506949" y="363093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68BDDEDA-B316-481B-A794-63B12EB01017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CF5BB9F-ACDB-4002-9657-DEA4A2EB1980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1235284D-26F1-49BD-8768-DE85855030A6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57F2EBF6-A43B-45E7-9D2C-88C8FFA5FD04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92751C1E-B3AF-49C8-B7A5-CA2E224EA1E6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49E99899-FE9B-411E-A903-54F1F923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2B3A61BF-4C2B-46A3-9FC1-C95DB634A37C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9826B184-1C7B-4494-8B96-0F600CE18A8D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88C30FED-B1F2-4A0B-8469-B8E4262C6CF8}"/>
            </a:ext>
          </a:extLst>
        </xdr:cNvPr>
        <xdr:cNvSpPr txBox="1">
          <a:spLocks noChangeArrowheads="1"/>
        </xdr:cNvSpPr>
      </xdr:nvSpPr>
      <xdr:spPr bwMode="auto">
        <a:xfrm>
          <a:off x="6457950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8535A0D4-6E66-441E-ABC7-B030F3CB7C2C}"/>
            </a:ext>
          </a:extLst>
        </xdr:cNvPr>
        <xdr:cNvSpPr txBox="1">
          <a:spLocks noChangeArrowheads="1"/>
        </xdr:cNvSpPr>
      </xdr:nvSpPr>
      <xdr:spPr bwMode="auto">
        <a:xfrm>
          <a:off x="5895975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3B2D9DBB-916F-4FA7-BE13-4F289A3C900F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CA91B28C-E51F-4BB6-9B47-9D14160EABB9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B7113200-9799-4651-837A-1CF57B6E701A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54934BD8-DB44-4E5C-A968-FD60CF9EE97B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FFB1A691-31A2-4826-A7A8-2050EE39F1FE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2FE38EDC-C3DF-4FAF-A5BD-79E9B1C5126D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CE46660E-A901-466C-ADF8-3DDAF31D0F04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DCEFAFFA-5439-4B4B-B94E-572AA3BDA50E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84AF12CB-4312-472E-BDEC-D4D8FA6FD18B}"/>
            </a:ext>
          </a:extLst>
        </xdr:cNvPr>
        <xdr:cNvSpPr txBox="1">
          <a:spLocks noChangeArrowheads="1"/>
        </xdr:cNvSpPr>
      </xdr:nvSpPr>
      <xdr:spPr bwMode="auto">
        <a:xfrm>
          <a:off x="5276850" y="353758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9A11709D-E442-40B4-B245-BA2F5395A763}"/>
            </a:ext>
          </a:extLst>
        </xdr:cNvPr>
        <xdr:cNvSpPr txBox="1">
          <a:spLocks noChangeArrowheads="1"/>
        </xdr:cNvSpPr>
      </xdr:nvSpPr>
      <xdr:spPr bwMode="auto">
        <a:xfrm>
          <a:off x="5276850" y="353758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736F0159-5072-475B-BDD5-68085D1171C9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F41769E4-C90B-4404-97BF-8B8A29D72595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960BE728-AC2B-47F1-A4A1-69C6DBF610C9}"/>
            </a:ext>
          </a:extLst>
        </xdr:cNvPr>
        <xdr:cNvSpPr txBox="1">
          <a:spLocks noChangeArrowheads="1"/>
        </xdr:cNvSpPr>
      </xdr:nvSpPr>
      <xdr:spPr bwMode="auto">
        <a:xfrm>
          <a:off x="6457950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DA03E70E-0B7E-4C79-BB75-8B82FD67F3CC}"/>
            </a:ext>
          </a:extLst>
        </xdr:cNvPr>
        <xdr:cNvSpPr txBox="1">
          <a:spLocks noChangeArrowheads="1"/>
        </xdr:cNvSpPr>
      </xdr:nvSpPr>
      <xdr:spPr bwMode="auto">
        <a:xfrm>
          <a:off x="5895975" y="1649730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6F480726-F8F3-434D-864F-C51430B410DB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A1EC7383-F1CE-43B7-9DD2-8044F87B4722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6136BC6D-2C5E-4B3C-BFD9-0DFEFB24D579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06B36E49-FFF5-4582-B785-1BF2FF310BDF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222A02F4-FC1A-4671-9EBF-21068502AEF6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1AC61B67-E256-48DB-80FD-3AF6D2991DE9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88A09703-0DE5-4066-9540-5C03AA6C28C5}"/>
            </a:ext>
          </a:extLst>
        </xdr:cNvPr>
        <xdr:cNvSpPr txBox="1">
          <a:spLocks noChangeArrowheads="1"/>
        </xdr:cNvSpPr>
      </xdr:nvSpPr>
      <xdr:spPr bwMode="auto">
        <a:xfrm>
          <a:off x="6457950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EA9C70BC-1EB5-4D20-B259-6026D8572F97}"/>
            </a:ext>
          </a:extLst>
        </xdr:cNvPr>
        <xdr:cNvSpPr txBox="1">
          <a:spLocks noChangeArrowheads="1"/>
        </xdr:cNvSpPr>
      </xdr:nvSpPr>
      <xdr:spPr bwMode="auto">
        <a:xfrm>
          <a:off x="5895975" y="2623185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41B0B676-0DC9-49CA-94CD-C1C5D6FF390E}"/>
            </a:ext>
          </a:extLst>
        </xdr:cNvPr>
        <xdr:cNvSpPr txBox="1">
          <a:spLocks noChangeArrowheads="1"/>
        </xdr:cNvSpPr>
      </xdr:nvSpPr>
      <xdr:spPr bwMode="auto">
        <a:xfrm>
          <a:off x="1695450" y="3560445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4D95D1AF-CE68-4723-A317-D4E2A3BE921F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6555F8CB-2A33-4988-8401-A889B688B99B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AB5DE2AA-1554-4151-B44D-720084B4B966}"/>
            </a:ext>
          </a:extLst>
        </xdr:cNvPr>
        <xdr:cNvSpPr txBox="1">
          <a:spLocks noChangeArrowheads="1"/>
        </xdr:cNvSpPr>
      </xdr:nvSpPr>
      <xdr:spPr bwMode="auto">
        <a:xfrm>
          <a:off x="1695450" y="3560445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E8B0E8C9-D129-417C-B882-5C5EE8E720A4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D72EC32B-EFEF-4E73-99C6-67CC27599C2B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70162D0D-28A6-4405-BE4A-01DF123D300F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A3B54848-D037-4EBF-B3AD-8EC1EBCB5E8E}"/>
            </a:ext>
          </a:extLst>
        </xdr:cNvPr>
        <xdr:cNvSpPr txBox="1">
          <a:spLocks noChangeArrowheads="1"/>
        </xdr:cNvSpPr>
      </xdr:nvSpPr>
      <xdr:spPr bwMode="auto">
        <a:xfrm>
          <a:off x="5276850" y="3560445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96E3B3E9-F1D6-4C5B-A8DD-36CAD0C87791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94F74C7A-8F30-4EF4-8358-2404FFF87BFA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C75BA76D-81D2-41F5-BA82-2E0E953DB204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863EC691-A0EB-4FA7-BA73-87BDBC46B80F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378FC3B4-81C7-4631-B6E4-6344BCC19524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DF540936-7AAB-45A7-BF73-35AA9FEBA159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1524FC09-2B81-42E3-895D-BF7F44E0DCFF}"/>
            </a:ext>
          </a:extLst>
        </xdr:cNvPr>
        <xdr:cNvSpPr txBox="1">
          <a:spLocks noChangeArrowheads="1"/>
        </xdr:cNvSpPr>
      </xdr:nvSpPr>
      <xdr:spPr bwMode="auto">
        <a:xfrm>
          <a:off x="6457950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ED2D2D40-5DAA-44D0-92C3-2F650C405212}"/>
            </a:ext>
          </a:extLst>
        </xdr:cNvPr>
        <xdr:cNvSpPr txBox="1">
          <a:spLocks noChangeArrowheads="1"/>
        </xdr:cNvSpPr>
      </xdr:nvSpPr>
      <xdr:spPr bwMode="auto">
        <a:xfrm>
          <a:off x="5895975" y="2470785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104775</xdr:colOff>
      <xdr:row>120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E1212C65-D131-422A-AA11-DA1C47BCCDB7}"/>
            </a:ext>
          </a:extLst>
        </xdr:cNvPr>
        <xdr:cNvSpPr txBox="1">
          <a:spLocks noChangeArrowheads="1"/>
        </xdr:cNvSpPr>
      </xdr:nvSpPr>
      <xdr:spPr bwMode="auto">
        <a:xfrm>
          <a:off x="5276850" y="4178617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3FF117DB-8DF4-4F09-8ED6-A6D4E224F56A}"/>
            </a:ext>
          </a:extLst>
        </xdr:cNvPr>
        <xdr:cNvSpPr txBox="1">
          <a:spLocks noChangeArrowheads="1"/>
        </xdr:cNvSpPr>
      </xdr:nvSpPr>
      <xdr:spPr bwMode="auto">
        <a:xfrm>
          <a:off x="17506949" y="420243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5</xdr:col>
      <xdr:colOff>104775</xdr:colOff>
      <xdr:row>119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96BEC888-6457-4136-A391-56C9155392E3}"/>
            </a:ext>
          </a:extLst>
        </xdr:cNvPr>
        <xdr:cNvSpPr txBox="1">
          <a:spLocks noChangeArrowheads="1"/>
        </xdr:cNvSpPr>
      </xdr:nvSpPr>
      <xdr:spPr bwMode="auto">
        <a:xfrm>
          <a:off x="1695450" y="4154805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8F89EAB9-749C-4910-B6BA-D031BDBF7885}"/>
            </a:ext>
          </a:extLst>
        </xdr:cNvPr>
        <xdr:cNvSpPr txBox="1">
          <a:spLocks noChangeArrowheads="1"/>
        </xdr:cNvSpPr>
      </xdr:nvSpPr>
      <xdr:spPr bwMode="auto">
        <a:xfrm>
          <a:off x="5276850" y="4154805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48603D8F-5B7D-4A97-9386-E6E372DF3F3E}"/>
            </a:ext>
          </a:extLst>
        </xdr:cNvPr>
        <xdr:cNvSpPr txBox="1">
          <a:spLocks noChangeArrowheads="1"/>
        </xdr:cNvSpPr>
      </xdr:nvSpPr>
      <xdr:spPr bwMode="auto">
        <a:xfrm>
          <a:off x="5276850" y="4154805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7A993053-53EE-42E4-9A2E-A7F2063C0546}"/>
            </a:ext>
          </a:extLst>
        </xdr:cNvPr>
        <xdr:cNvSpPr txBox="1">
          <a:spLocks noChangeArrowheads="1"/>
        </xdr:cNvSpPr>
      </xdr:nvSpPr>
      <xdr:spPr bwMode="auto">
        <a:xfrm>
          <a:off x="17506949" y="420243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7D1F254F-1FA6-4E49-80BB-E246BE072101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1993B84-31EA-4B1F-9493-C2B1BAF7A341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46687D2C-4D63-429C-A8D4-CC6744D43FDD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A9B9A52E-9C95-43CA-BDC7-DFCE472D76BD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2D48D8BD-C7EC-43B6-8F88-5B9D3C309170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BDD14B27-1B4A-4426-911E-C5947F177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B5BEEFEC-E560-48D2-AE28-1BBEA13352C7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1670FC56-76AE-49F5-BD20-03E182545FFA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A89EE50B-CF91-43DF-8257-E7BEDF2DDBCB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D5365093-1A62-442B-9925-7FD8248D0C1E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104775</xdr:colOff>
      <xdr:row>88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86FEBB4B-33BD-4C44-B5DB-8B5B7C5B7150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104775</xdr:colOff>
      <xdr:row>88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073BA167-F500-4476-8CCF-308AA91A25B0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104775</xdr:colOff>
      <xdr:row>88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587D5FA6-0D16-45A0-911E-E84DFE2145D1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104775</xdr:colOff>
      <xdr:row>88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115172E7-FE0B-4512-BF24-C72E957BEBD2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104775</xdr:colOff>
      <xdr:row>88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AA399B23-AD97-4DF6-8572-AF899519BBF9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104775</xdr:colOff>
      <xdr:row>88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35580F3D-A3B5-4E16-A125-519ADFFD2A42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104775</xdr:colOff>
      <xdr:row>88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5B18A6B8-EF85-4870-A996-F954C727E947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104775</xdr:colOff>
      <xdr:row>88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5C0EB23E-94CA-4103-9B7A-F72619177A5D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104775</xdr:colOff>
      <xdr:row>120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6F823A73-1176-480F-A842-03280211E6BB}"/>
            </a:ext>
          </a:extLst>
        </xdr:cNvPr>
        <xdr:cNvSpPr txBox="1">
          <a:spLocks noChangeArrowheads="1"/>
        </xdr:cNvSpPr>
      </xdr:nvSpPr>
      <xdr:spPr bwMode="auto">
        <a:xfrm>
          <a:off x="5276850" y="351282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104775</xdr:colOff>
      <xdr:row>120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60A987E7-C056-4159-8252-C09E5A8CF780}"/>
            </a:ext>
          </a:extLst>
        </xdr:cNvPr>
        <xdr:cNvSpPr txBox="1">
          <a:spLocks noChangeArrowheads="1"/>
        </xdr:cNvSpPr>
      </xdr:nvSpPr>
      <xdr:spPr bwMode="auto">
        <a:xfrm>
          <a:off x="5276850" y="351282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AC12FCBC-2D46-49D2-9248-F8477DC11AE3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5F873C96-65F1-4737-8C2E-06D8D5BC11B3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EFAFA7D6-0750-4714-9793-B9AB06FE41A5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E2A552EA-52AF-4DA0-8922-724A9389F47D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104775</xdr:colOff>
      <xdr:row>88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A5D3DCDE-B3F3-463B-BBA5-469B072C4DB2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104775</xdr:colOff>
      <xdr:row>88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BEC59BBD-411F-4CA1-A4B4-7B40372137A9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104775</xdr:colOff>
      <xdr:row>88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4AD5BFDD-7386-4615-B027-338C25A09F22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104775</xdr:colOff>
      <xdr:row>88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FAE12C66-74DC-4786-91CF-8BEFD14AAAB1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104775</xdr:colOff>
      <xdr:row>88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8926A751-69D8-42A8-9D80-FF087E400880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104775</xdr:colOff>
      <xdr:row>88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9CA45444-7CD5-48D5-97FC-AA9AA47B84B5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104775</xdr:colOff>
      <xdr:row>88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2245B954-BCDA-47AB-A70B-D3F5B55CF147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104775</xdr:colOff>
      <xdr:row>88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67E5EE82-3E49-4180-9D58-D432A150BEE6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5</xdr:col>
      <xdr:colOff>104775</xdr:colOff>
      <xdr:row>121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A55AB08A-391D-4802-9333-207ABED7561F}"/>
            </a:ext>
          </a:extLst>
        </xdr:cNvPr>
        <xdr:cNvSpPr txBox="1">
          <a:spLocks noChangeArrowheads="1"/>
        </xdr:cNvSpPr>
      </xdr:nvSpPr>
      <xdr:spPr bwMode="auto">
        <a:xfrm>
          <a:off x="1695450" y="353568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104775</xdr:colOff>
      <xdr:row>121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1F5F64A8-9565-4FCD-B5B8-AD061C5170F9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104775</xdr:colOff>
      <xdr:row>121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C3768428-F499-4D4B-B7F1-0CA7BD0C2630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120</xdr:row>
      <xdr:rowOff>0</xdr:rowOff>
    </xdr:from>
    <xdr:to>
      <xdr:col>5</xdr:col>
      <xdr:colOff>104775</xdr:colOff>
      <xdr:row>121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68BECF2C-CA4D-4641-9C64-98E889672260}"/>
            </a:ext>
          </a:extLst>
        </xdr:cNvPr>
        <xdr:cNvSpPr txBox="1">
          <a:spLocks noChangeArrowheads="1"/>
        </xdr:cNvSpPr>
      </xdr:nvSpPr>
      <xdr:spPr bwMode="auto">
        <a:xfrm>
          <a:off x="1695450" y="353568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104775</xdr:colOff>
      <xdr:row>121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56E07544-3164-46F5-82A7-1E44201E852B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104775</xdr:colOff>
      <xdr:row>121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1C946141-C83A-4523-A3A9-96CD7FACA205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104775</xdr:colOff>
      <xdr:row>121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A3FDE920-A8A0-441D-8971-21E69550B937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104775</xdr:colOff>
      <xdr:row>121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10EA5D41-FB22-4893-BACC-E6E9650E2079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9</xdr:col>
      <xdr:colOff>104775</xdr:colOff>
      <xdr:row>85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AD11A568-151D-4F57-80D8-E17046FF2D4C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104775</xdr:colOff>
      <xdr:row>85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B419A3C6-350B-4F34-A4B6-55B15C60C961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9</xdr:col>
      <xdr:colOff>104775</xdr:colOff>
      <xdr:row>85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191ACF0C-C318-4086-86E9-BC84FFB437C5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104775</xdr:colOff>
      <xdr:row>85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39AFA178-A417-4E34-BB78-CFF0E1074940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121</xdr:row>
      <xdr:rowOff>0</xdr:rowOff>
    </xdr:from>
    <xdr:to>
      <xdr:col>5</xdr:col>
      <xdr:colOff>104775</xdr:colOff>
      <xdr:row>122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2368A179-A63F-4A52-8A1C-55C6ADAD573E}"/>
            </a:ext>
          </a:extLst>
        </xdr:cNvPr>
        <xdr:cNvSpPr txBox="1">
          <a:spLocks noChangeArrowheads="1"/>
        </xdr:cNvSpPr>
      </xdr:nvSpPr>
      <xdr:spPr bwMode="auto">
        <a:xfrm>
          <a:off x="1695450" y="35585400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104775</xdr:colOff>
      <xdr:row>122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126480BD-9453-433D-BB25-33EE86757ACF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104775</xdr:colOff>
      <xdr:row>122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04ADEF04-EB1C-4479-94FC-DBB599DA2825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9</xdr:col>
      <xdr:colOff>104775</xdr:colOff>
      <xdr:row>85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AC6D8E25-E54C-489C-8AD2-96CEE3D75BC4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104775</xdr:colOff>
      <xdr:row>85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702491B5-AFE9-4718-838A-574EB5B0B1B9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9</xdr:col>
      <xdr:colOff>104775</xdr:colOff>
      <xdr:row>85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680DF569-5588-4236-AE11-DCF1D46A1D05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104775</xdr:colOff>
      <xdr:row>85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5DFCE66C-2D52-491D-8223-E18E69604102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104775</xdr:colOff>
      <xdr:row>123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DFF7822F-966F-40F3-ACDB-CD05742F0D40}"/>
            </a:ext>
          </a:extLst>
        </xdr:cNvPr>
        <xdr:cNvSpPr txBox="1">
          <a:spLocks noChangeArrowheads="1"/>
        </xdr:cNvSpPr>
      </xdr:nvSpPr>
      <xdr:spPr bwMode="auto">
        <a:xfrm>
          <a:off x="5276850" y="358235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123</xdr:row>
      <xdr:rowOff>9525</xdr:rowOff>
    </xdr:from>
    <xdr:to>
      <xdr:col>30</xdr:col>
      <xdr:colOff>0</xdr:colOff>
      <xdr:row>124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54BFC939-F591-4F52-95B0-99AC6A5F09E9}"/>
            </a:ext>
          </a:extLst>
        </xdr:cNvPr>
        <xdr:cNvSpPr txBox="1">
          <a:spLocks noChangeArrowheads="1"/>
        </xdr:cNvSpPr>
      </xdr:nvSpPr>
      <xdr:spPr bwMode="auto">
        <a:xfrm>
          <a:off x="17506949" y="36061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121</xdr:row>
      <xdr:rowOff>0</xdr:rowOff>
    </xdr:from>
    <xdr:to>
      <xdr:col>5</xdr:col>
      <xdr:colOff>104775</xdr:colOff>
      <xdr:row>122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1830ACEF-34DB-461A-B057-60A282861309}"/>
            </a:ext>
          </a:extLst>
        </xdr:cNvPr>
        <xdr:cNvSpPr txBox="1">
          <a:spLocks noChangeArrowheads="1"/>
        </xdr:cNvSpPr>
      </xdr:nvSpPr>
      <xdr:spPr bwMode="auto">
        <a:xfrm>
          <a:off x="1695450" y="355854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104775</xdr:colOff>
      <xdr:row>122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16ADBA24-3E02-4828-8CC4-A387DE60CA1B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104775</xdr:colOff>
      <xdr:row>122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2760429A-4263-419A-A495-1B4C184422E9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123</xdr:row>
      <xdr:rowOff>9525</xdr:rowOff>
    </xdr:from>
    <xdr:to>
      <xdr:col>30</xdr:col>
      <xdr:colOff>0</xdr:colOff>
      <xdr:row>124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7874B9EA-FF11-4A41-8617-9D9044720C0B}"/>
            </a:ext>
          </a:extLst>
        </xdr:cNvPr>
        <xdr:cNvSpPr txBox="1">
          <a:spLocks noChangeArrowheads="1"/>
        </xdr:cNvSpPr>
      </xdr:nvSpPr>
      <xdr:spPr bwMode="auto">
        <a:xfrm>
          <a:off x="17506949" y="36061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104775</xdr:colOff>
      <xdr:row>139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6482FEF7-C4D3-4DA9-A98B-8F61447B9146}"/>
            </a:ext>
          </a:extLst>
        </xdr:cNvPr>
        <xdr:cNvSpPr txBox="1">
          <a:spLocks noChangeArrowheads="1"/>
        </xdr:cNvSpPr>
      </xdr:nvSpPr>
      <xdr:spPr bwMode="auto">
        <a:xfrm>
          <a:off x="5276850" y="415385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139</xdr:row>
      <xdr:rowOff>9525</xdr:rowOff>
    </xdr:from>
    <xdr:to>
      <xdr:col>30</xdr:col>
      <xdr:colOff>0</xdr:colOff>
      <xdr:row>140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90C68A02-F82C-4128-9966-68091DFA4DAE}"/>
            </a:ext>
          </a:extLst>
        </xdr:cNvPr>
        <xdr:cNvSpPr txBox="1">
          <a:spLocks noChangeArrowheads="1"/>
        </xdr:cNvSpPr>
      </xdr:nvSpPr>
      <xdr:spPr bwMode="auto">
        <a:xfrm>
          <a:off x="17506949" y="41776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137</xdr:row>
      <xdr:rowOff>0</xdr:rowOff>
    </xdr:from>
    <xdr:to>
      <xdr:col>5</xdr:col>
      <xdr:colOff>104775</xdr:colOff>
      <xdr:row>138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1C043C4C-C4DC-401B-8DB6-592E61BCAFCE}"/>
            </a:ext>
          </a:extLst>
        </xdr:cNvPr>
        <xdr:cNvSpPr txBox="1">
          <a:spLocks noChangeArrowheads="1"/>
        </xdr:cNvSpPr>
      </xdr:nvSpPr>
      <xdr:spPr bwMode="auto">
        <a:xfrm>
          <a:off x="1695450" y="413004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104775</xdr:colOff>
      <xdr:row>138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B724C500-5289-48C3-AFC9-586DCBC98AE1}"/>
            </a:ext>
          </a:extLst>
        </xdr:cNvPr>
        <xdr:cNvSpPr txBox="1">
          <a:spLocks noChangeArrowheads="1"/>
        </xdr:cNvSpPr>
      </xdr:nvSpPr>
      <xdr:spPr bwMode="auto">
        <a:xfrm>
          <a:off x="5276850" y="41300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104775</xdr:colOff>
      <xdr:row>138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D044739D-E091-44BA-A18D-02DC7AAEF10A}"/>
            </a:ext>
          </a:extLst>
        </xdr:cNvPr>
        <xdr:cNvSpPr txBox="1">
          <a:spLocks noChangeArrowheads="1"/>
        </xdr:cNvSpPr>
      </xdr:nvSpPr>
      <xdr:spPr bwMode="auto">
        <a:xfrm>
          <a:off x="5276850" y="41300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139</xdr:row>
      <xdr:rowOff>9525</xdr:rowOff>
    </xdr:from>
    <xdr:to>
      <xdr:col>30</xdr:col>
      <xdr:colOff>0</xdr:colOff>
      <xdr:row>140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659408DB-6296-4E2B-A091-450092E10C24}"/>
            </a:ext>
          </a:extLst>
        </xdr:cNvPr>
        <xdr:cNvSpPr txBox="1">
          <a:spLocks noChangeArrowheads="1"/>
        </xdr:cNvSpPr>
      </xdr:nvSpPr>
      <xdr:spPr bwMode="auto">
        <a:xfrm>
          <a:off x="17506949" y="41776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767DBF86-CF4E-42F2-A04D-5665241C6F87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FE47AC9-C502-4F97-AA65-3ECB84C4B421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F4A549F0-97EC-4E15-9423-AE4ABB27353B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B8D1FB12-88E8-4CB9-A8F3-13126F762E82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D076DC80-5693-4D03-8AE2-304B330F8217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0BC84CDC-3B6D-448C-AA3E-3F6530619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61A7A67F-6AA4-4507-9AF6-89D2FE2D7FBD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E7EA9CDE-482A-4FB9-B6D0-B6DF7F186BA3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888B76D0-95D0-4355-8A5D-7D51734F0D0B}"/>
            </a:ext>
          </a:extLst>
        </xdr:cNvPr>
        <xdr:cNvSpPr txBox="1">
          <a:spLocks noChangeArrowheads="1"/>
        </xdr:cNvSpPr>
      </xdr:nvSpPr>
      <xdr:spPr bwMode="auto">
        <a:xfrm>
          <a:off x="6457950" y="168306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E497549C-4F45-4042-9B12-8931989F8333}"/>
            </a:ext>
          </a:extLst>
        </xdr:cNvPr>
        <xdr:cNvSpPr txBox="1">
          <a:spLocks noChangeArrowheads="1"/>
        </xdr:cNvSpPr>
      </xdr:nvSpPr>
      <xdr:spPr bwMode="auto">
        <a:xfrm>
          <a:off x="5895975" y="168306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BDA86E5C-8F19-4603-9A00-B1E3EBC72A1F}"/>
            </a:ext>
          </a:extLst>
        </xdr:cNvPr>
        <xdr:cNvSpPr txBox="1">
          <a:spLocks noChangeArrowheads="1"/>
        </xdr:cNvSpPr>
      </xdr:nvSpPr>
      <xdr:spPr bwMode="auto">
        <a:xfrm>
          <a:off x="6457950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15E09CF3-BBEF-4DE9-BEC7-66D2BD8303E7}"/>
            </a:ext>
          </a:extLst>
        </xdr:cNvPr>
        <xdr:cNvSpPr txBox="1">
          <a:spLocks noChangeArrowheads="1"/>
        </xdr:cNvSpPr>
      </xdr:nvSpPr>
      <xdr:spPr bwMode="auto">
        <a:xfrm>
          <a:off x="5895975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7A4EFA68-8813-418A-95DC-61E20ACD9CB3}"/>
            </a:ext>
          </a:extLst>
        </xdr:cNvPr>
        <xdr:cNvSpPr txBox="1">
          <a:spLocks noChangeArrowheads="1"/>
        </xdr:cNvSpPr>
      </xdr:nvSpPr>
      <xdr:spPr bwMode="auto">
        <a:xfrm>
          <a:off x="6457950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EAA7260B-3A0B-4812-BC55-2C9605FBB936}"/>
            </a:ext>
          </a:extLst>
        </xdr:cNvPr>
        <xdr:cNvSpPr txBox="1">
          <a:spLocks noChangeArrowheads="1"/>
        </xdr:cNvSpPr>
      </xdr:nvSpPr>
      <xdr:spPr bwMode="auto">
        <a:xfrm>
          <a:off x="5895975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5822C14E-B0A3-4161-A2BF-E48A2F990452}"/>
            </a:ext>
          </a:extLst>
        </xdr:cNvPr>
        <xdr:cNvSpPr txBox="1">
          <a:spLocks noChangeArrowheads="1"/>
        </xdr:cNvSpPr>
      </xdr:nvSpPr>
      <xdr:spPr bwMode="auto">
        <a:xfrm>
          <a:off x="6457950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3B3E946F-0FA8-4851-890C-AFEFAB65BF67}"/>
            </a:ext>
          </a:extLst>
        </xdr:cNvPr>
        <xdr:cNvSpPr txBox="1">
          <a:spLocks noChangeArrowheads="1"/>
        </xdr:cNvSpPr>
      </xdr:nvSpPr>
      <xdr:spPr bwMode="auto">
        <a:xfrm>
          <a:off x="5895975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6B9C2251-1FFC-4EF1-9C2C-27D739B67AD1}"/>
            </a:ext>
          </a:extLst>
        </xdr:cNvPr>
        <xdr:cNvSpPr txBox="1">
          <a:spLocks noChangeArrowheads="1"/>
        </xdr:cNvSpPr>
      </xdr:nvSpPr>
      <xdr:spPr bwMode="auto">
        <a:xfrm>
          <a:off x="6457950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531E6767-A6F5-4A22-A57D-54BF2DA87A99}"/>
            </a:ext>
          </a:extLst>
        </xdr:cNvPr>
        <xdr:cNvSpPr txBox="1">
          <a:spLocks noChangeArrowheads="1"/>
        </xdr:cNvSpPr>
      </xdr:nvSpPr>
      <xdr:spPr bwMode="auto">
        <a:xfrm>
          <a:off x="5895975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88350317-B5B0-4586-8325-E02F4AE839C9}"/>
            </a:ext>
          </a:extLst>
        </xdr:cNvPr>
        <xdr:cNvSpPr txBox="1">
          <a:spLocks noChangeArrowheads="1"/>
        </xdr:cNvSpPr>
      </xdr:nvSpPr>
      <xdr:spPr bwMode="auto">
        <a:xfrm>
          <a:off x="5276850" y="363474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AF51C41B-DEDF-4790-BA84-CD05D213EF3D}"/>
            </a:ext>
          </a:extLst>
        </xdr:cNvPr>
        <xdr:cNvSpPr txBox="1">
          <a:spLocks noChangeArrowheads="1"/>
        </xdr:cNvSpPr>
      </xdr:nvSpPr>
      <xdr:spPr bwMode="auto">
        <a:xfrm>
          <a:off x="5276850" y="363474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22DC9C59-E396-485E-A0C7-2EF7C4B10F8E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9CC83EF9-B76F-4D26-A017-4C3C2CB1AADB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3F2E7AAE-E38F-4FE7-8FC1-53F3A77D646E}"/>
            </a:ext>
          </a:extLst>
        </xdr:cNvPr>
        <xdr:cNvSpPr txBox="1">
          <a:spLocks noChangeArrowheads="1"/>
        </xdr:cNvSpPr>
      </xdr:nvSpPr>
      <xdr:spPr bwMode="auto">
        <a:xfrm>
          <a:off x="6457950" y="168306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4C79ACDD-C124-4DFC-8AC1-967B1BE3C635}"/>
            </a:ext>
          </a:extLst>
        </xdr:cNvPr>
        <xdr:cNvSpPr txBox="1">
          <a:spLocks noChangeArrowheads="1"/>
        </xdr:cNvSpPr>
      </xdr:nvSpPr>
      <xdr:spPr bwMode="auto">
        <a:xfrm>
          <a:off x="5895975" y="168306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09D833D9-F731-42BC-BB0F-4B4CC0A9B106}"/>
            </a:ext>
          </a:extLst>
        </xdr:cNvPr>
        <xdr:cNvSpPr txBox="1">
          <a:spLocks noChangeArrowheads="1"/>
        </xdr:cNvSpPr>
      </xdr:nvSpPr>
      <xdr:spPr bwMode="auto">
        <a:xfrm>
          <a:off x="6457950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1795B48D-28A6-47B9-83AB-95B4F268C896}"/>
            </a:ext>
          </a:extLst>
        </xdr:cNvPr>
        <xdr:cNvSpPr txBox="1">
          <a:spLocks noChangeArrowheads="1"/>
        </xdr:cNvSpPr>
      </xdr:nvSpPr>
      <xdr:spPr bwMode="auto">
        <a:xfrm>
          <a:off x="5895975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73B33F1B-C06B-4B6C-BB18-46C0D02D38F6}"/>
            </a:ext>
          </a:extLst>
        </xdr:cNvPr>
        <xdr:cNvSpPr txBox="1">
          <a:spLocks noChangeArrowheads="1"/>
        </xdr:cNvSpPr>
      </xdr:nvSpPr>
      <xdr:spPr bwMode="auto">
        <a:xfrm>
          <a:off x="6457950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DD1325CE-0C38-431E-99CD-41AA04BE5637}"/>
            </a:ext>
          </a:extLst>
        </xdr:cNvPr>
        <xdr:cNvSpPr txBox="1">
          <a:spLocks noChangeArrowheads="1"/>
        </xdr:cNvSpPr>
      </xdr:nvSpPr>
      <xdr:spPr bwMode="auto">
        <a:xfrm>
          <a:off x="5895975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FAC6604D-DEC6-4CCA-B562-7A22B9B82247}"/>
            </a:ext>
          </a:extLst>
        </xdr:cNvPr>
        <xdr:cNvSpPr txBox="1">
          <a:spLocks noChangeArrowheads="1"/>
        </xdr:cNvSpPr>
      </xdr:nvSpPr>
      <xdr:spPr bwMode="auto">
        <a:xfrm>
          <a:off x="6457950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E754B4F8-64FC-4AA7-8383-3D86665D203F}"/>
            </a:ext>
          </a:extLst>
        </xdr:cNvPr>
        <xdr:cNvSpPr txBox="1">
          <a:spLocks noChangeArrowheads="1"/>
        </xdr:cNvSpPr>
      </xdr:nvSpPr>
      <xdr:spPr bwMode="auto">
        <a:xfrm>
          <a:off x="5895975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4F63BB54-8AFD-465C-88DD-E954BB2B3186}"/>
            </a:ext>
          </a:extLst>
        </xdr:cNvPr>
        <xdr:cNvSpPr txBox="1">
          <a:spLocks noChangeArrowheads="1"/>
        </xdr:cNvSpPr>
      </xdr:nvSpPr>
      <xdr:spPr bwMode="auto">
        <a:xfrm>
          <a:off x="6457950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347DB79C-54E1-4F43-88E6-6AEACB53AC8F}"/>
            </a:ext>
          </a:extLst>
        </xdr:cNvPr>
        <xdr:cNvSpPr txBox="1">
          <a:spLocks noChangeArrowheads="1"/>
        </xdr:cNvSpPr>
      </xdr:nvSpPr>
      <xdr:spPr bwMode="auto">
        <a:xfrm>
          <a:off x="5895975" y="272034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A1962522-1FCA-4D26-A4C6-4E45C24978BF}"/>
            </a:ext>
          </a:extLst>
        </xdr:cNvPr>
        <xdr:cNvSpPr txBox="1">
          <a:spLocks noChangeArrowheads="1"/>
        </xdr:cNvSpPr>
      </xdr:nvSpPr>
      <xdr:spPr bwMode="auto">
        <a:xfrm>
          <a:off x="1695450" y="365760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88AEC224-A700-4ACC-A9EA-9BF233119E10}"/>
            </a:ext>
          </a:extLst>
        </xdr:cNvPr>
        <xdr:cNvSpPr txBox="1">
          <a:spLocks noChangeArrowheads="1"/>
        </xdr:cNvSpPr>
      </xdr:nvSpPr>
      <xdr:spPr bwMode="auto">
        <a:xfrm>
          <a:off x="5276850" y="365760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9A5F857B-73A5-4EE3-BE4F-A56BBAB2B9E0}"/>
            </a:ext>
          </a:extLst>
        </xdr:cNvPr>
        <xdr:cNvSpPr txBox="1">
          <a:spLocks noChangeArrowheads="1"/>
        </xdr:cNvSpPr>
      </xdr:nvSpPr>
      <xdr:spPr bwMode="auto">
        <a:xfrm>
          <a:off x="5276850" y="365760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2F71239F-2DB7-4CD4-8367-BEAE095B1016}"/>
            </a:ext>
          </a:extLst>
        </xdr:cNvPr>
        <xdr:cNvSpPr txBox="1">
          <a:spLocks noChangeArrowheads="1"/>
        </xdr:cNvSpPr>
      </xdr:nvSpPr>
      <xdr:spPr bwMode="auto">
        <a:xfrm>
          <a:off x="1695450" y="365760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FF8A194E-DB8F-4C59-BA50-8AD987680278}"/>
            </a:ext>
          </a:extLst>
        </xdr:cNvPr>
        <xdr:cNvSpPr txBox="1">
          <a:spLocks noChangeArrowheads="1"/>
        </xdr:cNvSpPr>
      </xdr:nvSpPr>
      <xdr:spPr bwMode="auto">
        <a:xfrm>
          <a:off x="5276850" y="365760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B778A68A-D924-4598-BC3A-C1255A4FD654}"/>
            </a:ext>
          </a:extLst>
        </xdr:cNvPr>
        <xdr:cNvSpPr txBox="1">
          <a:spLocks noChangeArrowheads="1"/>
        </xdr:cNvSpPr>
      </xdr:nvSpPr>
      <xdr:spPr bwMode="auto">
        <a:xfrm>
          <a:off x="5276850" y="365760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0C327EEA-0EEB-49BD-BFCD-C618F0B669E2}"/>
            </a:ext>
          </a:extLst>
        </xdr:cNvPr>
        <xdr:cNvSpPr txBox="1">
          <a:spLocks noChangeArrowheads="1"/>
        </xdr:cNvSpPr>
      </xdr:nvSpPr>
      <xdr:spPr bwMode="auto">
        <a:xfrm>
          <a:off x="5276850" y="365760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5E52C20C-B655-4F5C-B6D0-D14368B0A104}"/>
            </a:ext>
          </a:extLst>
        </xdr:cNvPr>
        <xdr:cNvSpPr txBox="1">
          <a:spLocks noChangeArrowheads="1"/>
        </xdr:cNvSpPr>
      </xdr:nvSpPr>
      <xdr:spPr bwMode="auto">
        <a:xfrm>
          <a:off x="5276850" y="365760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BC7D0903-D08F-4F35-ADD8-50621A6F8640}"/>
            </a:ext>
          </a:extLst>
        </xdr:cNvPr>
        <xdr:cNvSpPr txBox="1">
          <a:spLocks noChangeArrowheads="1"/>
        </xdr:cNvSpPr>
      </xdr:nvSpPr>
      <xdr:spPr bwMode="auto">
        <a:xfrm>
          <a:off x="6457950" y="25374600"/>
          <a:ext cx="104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5FF10976-33D5-40E5-A6EC-940C1CF7C914}"/>
            </a:ext>
          </a:extLst>
        </xdr:cNvPr>
        <xdr:cNvSpPr txBox="1">
          <a:spLocks noChangeArrowheads="1"/>
        </xdr:cNvSpPr>
      </xdr:nvSpPr>
      <xdr:spPr bwMode="auto">
        <a:xfrm>
          <a:off x="5895975" y="25374600"/>
          <a:ext cx="104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7B8D4BDA-727F-4C80-A0DE-968A6C3BC81F}"/>
            </a:ext>
          </a:extLst>
        </xdr:cNvPr>
        <xdr:cNvSpPr txBox="1">
          <a:spLocks noChangeArrowheads="1"/>
        </xdr:cNvSpPr>
      </xdr:nvSpPr>
      <xdr:spPr bwMode="auto">
        <a:xfrm>
          <a:off x="6457950" y="25374600"/>
          <a:ext cx="104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9F80A426-78BF-40F8-A073-466358B51BBD}"/>
            </a:ext>
          </a:extLst>
        </xdr:cNvPr>
        <xdr:cNvSpPr txBox="1">
          <a:spLocks noChangeArrowheads="1"/>
        </xdr:cNvSpPr>
      </xdr:nvSpPr>
      <xdr:spPr bwMode="auto">
        <a:xfrm>
          <a:off x="5895975" y="25374600"/>
          <a:ext cx="104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5</xdr:col>
      <xdr:colOff>104775</xdr:colOff>
      <xdr:row>119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3FDF2B54-9788-47C6-8226-CC31C5F39884}"/>
            </a:ext>
          </a:extLst>
        </xdr:cNvPr>
        <xdr:cNvSpPr txBox="1">
          <a:spLocks noChangeArrowheads="1"/>
        </xdr:cNvSpPr>
      </xdr:nvSpPr>
      <xdr:spPr bwMode="auto">
        <a:xfrm>
          <a:off x="1695450" y="36804600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B9F8F383-E2E4-4F02-9D47-EAAFB2F309EE}"/>
            </a:ext>
          </a:extLst>
        </xdr:cNvPr>
        <xdr:cNvSpPr txBox="1">
          <a:spLocks noChangeArrowheads="1"/>
        </xdr:cNvSpPr>
      </xdr:nvSpPr>
      <xdr:spPr bwMode="auto">
        <a:xfrm>
          <a:off x="5276850" y="368046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28B6DE8B-1BE5-46F7-8194-A815958A461D}"/>
            </a:ext>
          </a:extLst>
        </xdr:cNvPr>
        <xdr:cNvSpPr txBox="1">
          <a:spLocks noChangeArrowheads="1"/>
        </xdr:cNvSpPr>
      </xdr:nvSpPr>
      <xdr:spPr bwMode="auto">
        <a:xfrm>
          <a:off x="5276850" y="368046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73311FEF-5DBE-4630-97E9-AE9231976AF9}"/>
            </a:ext>
          </a:extLst>
        </xdr:cNvPr>
        <xdr:cNvSpPr txBox="1">
          <a:spLocks noChangeArrowheads="1"/>
        </xdr:cNvSpPr>
      </xdr:nvSpPr>
      <xdr:spPr bwMode="auto">
        <a:xfrm>
          <a:off x="6457950" y="25374600"/>
          <a:ext cx="104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206D9045-5378-4FFB-B930-0ECBB4FF1586}"/>
            </a:ext>
          </a:extLst>
        </xdr:cNvPr>
        <xdr:cNvSpPr txBox="1">
          <a:spLocks noChangeArrowheads="1"/>
        </xdr:cNvSpPr>
      </xdr:nvSpPr>
      <xdr:spPr bwMode="auto">
        <a:xfrm>
          <a:off x="5895975" y="25374600"/>
          <a:ext cx="104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6BBF896C-5EC6-4628-893F-6EDF9C4F70A5}"/>
            </a:ext>
          </a:extLst>
        </xdr:cNvPr>
        <xdr:cNvSpPr txBox="1">
          <a:spLocks noChangeArrowheads="1"/>
        </xdr:cNvSpPr>
      </xdr:nvSpPr>
      <xdr:spPr bwMode="auto">
        <a:xfrm>
          <a:off x="6457950" y="25374600"/>
          <a:ext cx="104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BD0D0C4C-37B2-42AF-8478-000B8C83BB99}"/>
            </a:ext>
          </a:extLst>
        </xdr:cNvPr>
        <xdr:cNvSpPr txBox="1">
          <a:spLocks noChangeArrowheads="1"/>
        </xdr:cNvSpPr>
      </xdr:nvSpPr>
      <xdr:spPr bwMode="auto">
        <a:xfrm>
          <a:off x="5895975" y="25374600"/>
          <a:ext cx="104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104775</xdr:colOff>
      <xdr:row>120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969BFCA6-F5D1-4462-AF9C-D5EEAE857DD7}"/>
            </a:ext>
          </a:extLst>
        </xdr:cNvPr>
        <xdr:cNvSpPr txBox="1">
          <a:spLocks noChangeArrowheads="1"/>
        </xdr:cNvSpPr>
      </xdr:nvSpPr>
      <xdr:spPr bwMode="auto">
        <a:xfrm>
          <a:off x="5276850" y="370427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470066CA-F4C3-4771-B290-ABCC787AA341}"/>
            </a:ext>
          </a:extLst>
        </xdr:cNvPr>
        <xdr:cNvSpPr txBox="1">
          <a:spLocks noChangeArrowheads="1"/>
        </xdr:cNvSpPr>
      </xdr:nvSpPr>
      <xdr:spPr bwMode="auto">
        <a:xfrm>
          <a:off x="17506949" y="372808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118</xdr:row>
      <xdr:rowOff>0</xdr:rowOff>
    </xdr:from>
    <xdr:to>
      <xdr:col>5</xdr:col>
      <xdr:colOff>104775</xdr:colOff>
      <xdr:row>119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BA773E2B-629D-44FE-8CA1-5427F3E40B8D}"/>
            </a:ext>
          </a:extLst>
        </xdr:cNvPr>
        <xdr:cNvSpPr txBox="1">
          <a:spLocks noChangeArrowheads="1"/>
        </xdr:cNvSpPr>
      </xdr:nvSpPr>
      <xdr:spPr bwMode="auto">
        <a:xfrm>
          <a:off x="1695450" y="368046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BF214B87-7B13-4BFA-99B2-92751D75569B}"/>
            </a:ext>
          </a:extLst>
        </xdr:cNvPr>
        <xdr:cNvSpPr txBox="1">
          <a:spLocks noChangeArrowheads="1"/>
        </xdr:cNvSpPr>
      </xdr:nvSpPr>
      <xdr:spPr bwMode="auto">
        <a:xfrm>
          <a:off x="5276850" y="368046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6AD468F9-6C91-43B7-81D7-46E5BD69477C}"/>
            </a:ext>
          </a:extLst>
        </xdr:cNvPr>
        <xdr:cNvSpPr txBox="1">
          <a:spLocks noChangeArrowheads="1"/>
        </xdr:cNvSpPr>
      </xdr:nvSpPr>
      <xdr:spPr bwMode="auto">
        <a:xfrm>
          <a:off x="5276850" y="368046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120</xdr:row>
      <xdr:rowOff>9525</xdr:rowOff>
    </xdr:from>
    <xdr:to>
      <xdr:col>30</xdr:col>
      <xdr:colOff>0</xdr:colOff>
      <xdr:row>121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CFA6C49F-BE51-4F6C-8B91-06D2F5A14E18}"/>
            </a:ext>
          </a:extLst>
        </xdr:cNvPr>
        <xdr:cNvSpPr txBox="1">
          <a:spLocks noChangeArrowheads="1"/>
        </xdr:cNvSpPr>
      </xdr:nvSpPr>
      <xdr:spPr bwMode="auto">
        <a:xfrm>
          <a:off x="17506949" y="372808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104775</xdr:colOff>
      <xdr:row>136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493249AB-11B2-43DE-94F7-7989824A5071}"/>
            </a:ext>
          </a:extLst>
        </xdr:cNvPr>
        <xdr:cNvSpPr txBox="1">
          <a:spLocks noChangeArrowheads="1"/>
        </xdr:cNvSpPr>
      </xdr:nvSpPr>
      <xdr:spPr bwMode="auto">
        <a:xfrm>
          <a:off x="5276850" y="427577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136</xdr:row>
      <xdr:rowOff>9525</xdr:rowOff>
    </xdr:from>
    <xdr:to>
      <xdr:col>30</xdr:col>
      <xdr:colOff>0</xdr:colOff>
      <xdr:row>137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B50BCCDA-0DD0-4181-A30D-ED6BE34C9249}"/>
            </a:ext>
          </a:extLst>
        </xdr:cNvPr>
        <xdr:cNvSpPr txBox="1">
          <a:spLocks noChangeArrowheads="1"/>
        </xdr:cNvSpPr>
      </xdr:nvSpPr>
      <xdr:spPr bwMode="auto">
        <a:xfrm>
          <a:off x="17506949" y="429958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5</xdr:col>
      <xdr:colOff>104775</xdr:colOff>
      <xdr:row>135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736B4B71-C0F5-411A-9593-04761D6497EA}"/>
            </a:ext>
          </a:extLst>
        </xdr:cNvPr>
        <xdr:cNvSpPr txBox="1">
          <a:spLocks noChangeArrowheads="1"/>
        </xdr:cNvSpPr>
      </xdr:nvSpPr>
      <xdr:spPr bwMode="auto">
        <a:xfrm>
          <a:off x="1695450" y="425196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356A8D4B-9851-41F8-8D7F-DDE3D613FEFA}"/>
            </a:ext>
          </a:extLst>
        </xdr:cNvPr>
        <xdr:cNvSpPr txBox="1">
          <a:spLocks noChangeArrowheads="1"/>
        </xdr:cNvSpPr>
      </xdr:nvSpPr>
      <xdr:spPr bwMode="auto">
        <a:xfrm>
          <a:off x="5276850" y="425196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C5B65A8E-324A-41C9-8B72-DFB2013CDCC0}"/>
            </a:ext>
          </a:extLst>
        </xdr:cNvPr>
        <xdr:cNvSpPr txBox="1">
          <a:spLocks noChangeArrowheads="1"/>
        </xdr:cNvSpPr>
      </xdr:nvSpPr>
      <xdr:spPr bwMode="auto">
        <a:xfrm>
          <a:off x="5276850" y="425196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136</xdr:row>
      <xdr:rowOff>9525</xdr:rowOff>
    </xdr:from>
    <xdr:to>
      <xdr:col>30</xdr:col>
      <xdr:colOff>0</xdr:colOff>
      <xdr:row>137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0D4C9554-2550-45F9-B3B5-CEE62E20A43B}"/>
            </a:ext>
          </a:extLst>
        </xdr:cNvPr>
        <xdr:cNvSpPr txBox="1">
          <a:spLocks noChangeArrowheads="1"/>
        </xdr:cNvSpPr>
      </xdr:nvSpPr>
      <xdr:spPr bwMode="auto">
        <a:xfrm>
          <a:off x="17506949" y="429958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C6A75693-7381-4034-9447-8BD2AC64D787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94B64C0-4A98-4A7E-A56B-3F36C54E5BF6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2B5154F0-3676-410E-AD63-5825EAED6DB6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002FE675-3A7D-4F6B-AF42-8BCC19A67CBF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838E7B98-7848-438C-A240-3F2B48D28805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6C13EE32-F0CE-4E16-9512-DBB38DE84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A07A0A0E-CCBD-4A74-804A-2A6A08308AEE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F6B60A05-9150-40CC-8372-CBE2BB5913E0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2D0F5C4F-9369-48DC-95DD-9222A01B4E35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BBC6A09A-5E33-41C5-8BC8-52631A436FBB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F2F3AC73-BA05-427A-9E05-2F6DF110E6B5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9745045A-9588-4369-BBCC-DE17FF0E9B38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531219AA-A0DF-496B-A60D-20807B49BC66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73E00667-66D2-45DE-922E-83D036805AB6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7D0D5FCF-D009-4EFA-B1FF-39F67F3E3DBE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83D711AA-0064-42E0-A9DB-25B4C69DE726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C0B8E8FE-6485-4B7F-BB79-63D159C7E75F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37AE1E95-57C2-42A3-B5D0-1A5F4A66DE28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DC8B59E8-35E9-46D0-AE0D-9A7CBE6F2C9C}"/>
            </a:ext>
          </a:extLst>
        </xdr:cNvPr>
        <xdr:cNvSpPr txBox="1">
          <a:spLocks noChangeArrowheads="1"/>
        </xdr:cNvSpPr>
      </xdr:nvSpPr>
      <xdr:spPr bwMode="auto">
        <a:xfrm>
          <a:off x="5276850" y="351282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06688C4A-7610-48B8-9C40-5EAE22A43F11}"/>
            </a:ext>
          </a:extLst>
        </xdr:cNvPr>
        <xdr:cNvSpPr txBox="1">
          <a:spLocks noChangeArrowheads="1"/>
        </xdr:cNvSpPr>
      </xdr:nvSpPr>
      <xdr:spPr bwMode="auto">
        <a:xfrm>
          <a:off x="5276850" y="351282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C2822749-9865-481D-9628-9E7A0C628B8E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A3D9A5B8-55F6-4847-AB70-C2279EA8446F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197B600F-7541-4860-BC35-B8493DB15799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F84B4BB0-A40E-4824-B7F4-0B0900690AA4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89E0BBE4-3894-4E32-A6F9-25FBAC31195A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5F76F737-0FAA-442F-AE7C-8190F287AA35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40B3A4AF-92A9-46F0-B9AA-BD818B4FF0D6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47A20E8B-2A54-46A8-983A-E8E8675094C0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C260A047-13F3-4B3B-AC9A-01531ECC0636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DB94AF64-72CC-4E2C-9E94-25AC63B9147D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FCC7BCF0-371D-4F0E-8B03-910D7ED9F899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83069F40-0310-45FC-956D-450E0EC705F4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7C7467E4-7F6D-45A9-9909-A5AF53331E2A}"/>
            </a:ext>
          </a:extLst>
        </xdr:cNvPr>
        <xdr:cNvSpPr txBox="1">
          <a:spLocks noChangeArrowheads="1"/>
        </xdr:cNvSpPr>
      </xdr:nvSpPr>
      <xdr:spPr bwMode="auto">
        <a:xfrm>
          <a:off x="1695450" y="353568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459C53AD-ABB4-4E94-B4B3-84EEE04ABD40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35DD546D-5038-4878-9705-5038C73E0E60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E0187104-89E2-43E1-9724-211542E60661}"/>
            </a:ext>
          </a:extLst>
        </xdr:cNvPr>
        <xdr:cNvSpPr txBox="1">
          <a:spLocks noChangeArrowheads="1"/>
        </xdr:cNvSpPr>
      </xdr:nvSpPr>
      <xdr:spPr bwMode="auto">
        <a:xfrm>
          <a:off x="1695450" y="353568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0EDC0962-D762-409F-9E2B-B67B2651D19B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722B9E63-8D62-49D4-A44D-758215238049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253065F3-90A3-4A85-B90C-F90EEE687E18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0C817093-53B0-4D99-8EF1-DBA346F46685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A9141B71-2B72-4638-846E-31D2B724F5F3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4842B6F4-82F8-4758-AB16-624E4C980682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40F85F6B-9CA2-42C3-9807-EABF4AB2E8BD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1516E02E-EB55-42B5-B1F9-5B191E562617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D857847B-BD9C-4D4F-BFB1-13ABF766D735}"/>
            </a:ext>
          </a:extLst>
        </xdr:cNvPr>
        <xdr:cNvSpPr txBox="1">
          <a:spLocks noChangeArrowheads="1"/>
        </xdr:cNvSpPr>
      </xdr:nvSpPr>
      <xdr:spPr bwMode="auto">
        <a:xfrm>
          <a:off x="1695450" y="35585400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390E2E1F-1746-4EEE-BAAD-D477FABF000C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CA6F6A3C-F2B0-4CF6-A8FB-C0EA56C57902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A888627C-A957-4AC2-B308-2A4D9B644651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C2FB7EC9-FFDA-46F5-A91E-BD5CC4ADF095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63FCE8A7-CD20-4489-A272-8862A8EE4883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06732BD1-DD88-4111-B2C1-1CF96A1039B4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EC00F100-32F6-4AA9-957B-32F9A20F7970}"/>
            </a:ext>
          </a:extLst>
        </xdr:cNvPr>
        <xdr:cNvSpPr txBox="1">
          <a:spLocks noChangeArrowheads="1"/>
        </xdr:cNvSpPr>
      </xdr:nvSpPr>
      <xdr:spPr bwMode="auto">
        <a:xfrm>
          <a:off x="5276850" y="358235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F36FD338-64E3-4672-B5FA-177DD7EA7EA7}"/>
            </a:ext>
          </a:extLst>
        </xdr:cNvPr>
        <xdr:cNvSpPr txBox="1">
          <a:spLocks noChangeArrowheads="1"/>
        </xdr:cNvSpPr>
      </xdr:nvSpPr>
      <xdr:spPr bwMode="auto">
        <a:xfrm>
          <a:off x="17506949" y="36061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9FC14625-C6AB-40BD-81A9-565E03F1CAA2}"/>
            </a:ext>
          </a:extLst>
        </xdr:cNvPr>
        <xdr:cNvSpPr txBox="1">
          <a:spLocks noChangeArrowheads="1"/>
        </xdr:cNvSpPr>
      </xdr:nvSpPr>
      <xdr:spPr bwMode="auto">
        <a:xfrm>
          <a:off x="1695450" y="355854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0D2CF31A-F56F-4026-BD4E-0F1DCCA40A90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34DCD72B-5465-4BBD-BE3A-D526B8546C1A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C9EEB588-4BFB-47CB-88AE-C488AD02BA85}"/>
            </a:ext>
          </a:extLst>
        </xdr:cNvPr>
        <xdr:cNvSpPr txBox="1">
          <a:spLocks noChangeArrowheads="1"/>
        </xdr:cNvSpPr>
      </xdr:nvSpPr>
      <xdr:spPr bwMode="auto">
        <a:xfrm>
          <a:off x="17506949" y="36061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2B32AD8F-A434-46ED-9F40-DDA26A48BF8C}"/>
            </a:ext>
          </a:extLst>
        </xdr:cNvPr>
        <xdr:cNvSpPr txBox="1">
          <a:spLocks noChangeArrowheads="1"/>
        </xdr:cNvSpPr>
      </xdr:nvSpPr>
      <xdr:spPr bwMode="auto">
        <a:xfrm>
          <a:off x="5276850" y="415385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C593218C-A465-4BAC-A268-D2CFB42FC108}"/>
            </a:ext>
          </a:extLst>
        </xdr:cNvPr>
        <xdr:cNvSpPr txBox="1">
          <a:spLocks noChangeArrowheads="1"/>
        </xdr:cNvSpPr>
      </xdr:nvSpPr>
      <xdr:spPr bwMode="auto">
        <a:xfrm>
          <a:off x="17506949" y="41776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5</xdr:col>
      <xdr:colOff>104775</xdr:colOff>
      <xdr:row>134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2DE412D3-28DA-47A4-BFAD-64D8F557ACAF}"/>
            </a:ext>
          </a:extLst>
        </xdr:cNvPr>
        <xdr:cNvSpPr txBox="1">
          <a:spLocks noChangeArrowheads="1"/>
        </xdr:cNvSpPr>
      </xdr:nvSpPr>
      <xdr:spPr bwMode="auto">
        <a:xfrm>
          <a:off x="1695450" y="413004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7FD86DEA-223C-4300-92D5-7FC6BA3B1816}"/>
            </a:ext>
          </a:extLst>
        </xdr:cNvPr>
        <xdr:cNvSpPr txBox="1">
          <a:spLocks noChangeArrowheads="1"/>
        </xdr:cNvSpPr>
      </xdr:nvSpPr>
      <xdr:spPr bwMode="auto">
        <a:xfrm>
          <a:off x="5276850" y="41300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72302210-6757-4E64-AFB2-B0A514AB1753}"/>
            </a:ext>
          </a:extLst>
        </xdr:cNvPr>
        <xdr:cNvSpPr txBox="1">
          <a:spLocks noChangeArrowheads="1"/>
        </xdr:cNvSpPr>
      </xdr:nvSpPr>
      <xdr:spPr bwMode="auto">
        <a:xfrm>
          <a:off x="5276850" y="41300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55027517-301B-4A78-8F40-247A56F4E2A1}"/>
            </a:ext>
          </a:extLst>
        </xdr:cNvPr>
        <xdr:cNvSpPr txBox="1">
          <a:spLocks noChangeArrowheads="1"/>
        </xdr:cNvSpPr>
      </xdr:nvSpPr>
      <xdr:spPr bwMode="auto">
        <a:xfrm>
          <a:off x="17506949" y="41776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4817CB1F-CEB9-46B2-8B93-86DEEEDDD85A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AF3C35A-7A11-4E24-AEA8-01BD2926F261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F686D7C1-57CA-41D8-A7E5-1F88CBB6250C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1F619A02-831E-48F7-87EB-EDB3F1BAB03A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E6EF9E17-295D-40AF-B1E3-56E6E13F94D5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998394BC-AAFD-47A0-B7A3-733B802EE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6693B4D1-C1F0-445B-AAE9-C0AB3FB7F9F2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2681A652-0CB8-4E26-9A2C-2AADA3CB6D1B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DD381ACA-1BA8-40D8-94E8-1055C9837F92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7249F633-61AE-4A4F-9E05-AA1157D89B56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68B155AE-49CB-48FC-827B-D58E90022A5B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EFCB7814-7D52-4EA3-A45A-C5FEEE4FFF7E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743FE735-8C4F-4E2E-9A4C-DE548FA3E2CD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8409E1B9-E308-49E2-83EA-D9FF3F6D343F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59668201-28CB-4B0B-8E29-4AEAA8A91FCB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5E2460B6-C6E3-4324-8ED0-0BBF455F5132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6305AECD-E4EA-41FF-98A3-88CD8B9928CB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D619FEEF-5191-406C-9BAB-A0EAE5C70C14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C110A62E-A18E-4AF3-8EE8-46C2917C3D19}"/>
            </a:ext>
          </a:extLst>
        </xdr:cNvPr>
        <xdr:cNvSpPr txBox="1">
          <a:spLocks noChangeArrowheads="1"/>
        </xdr:cNvSpPr>
      </xdr:nvSpPr>
      <xdr:spPr bwMode="auto">
        <a:xfrm>
          <a:off x="5276850" y="351282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DFB8B982-A1D3-474D-A3E9-D007A7067331}"/>
            </a:ext>
          </a:extLst>
        </xdr:cNvPr>
        <xdr:cNvSpPr txBox="1">
          <a:spLocks noChangeArrowheads="1"/>
        </xdr:cNvSpPr>
      </xdr:nvSpPr>
      <xdr:spPr bwMode="auto">
        <a:xfrm>
          <a:off x="5276850" y="351282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A154D5D6-7572-4663-8B01-689FAE285003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E28F36BA-B3CC-470D-9DE9-0857B25A21DB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4E03FED2-8162-4113-A821-B5B66B9A0954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5783E0F8-DB88-42F9-B84B-91C6009B5819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CE980C37-F4AE-412F-9B80-6F19D09A7145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BB9964FF-C2DD-4343-93BB-CCCF862A361D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9E689353-458F-4815-8CD0-FE642BE6C8E2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13956CDE-CDE5-43BD-A0F6-CCCCF24BC588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47F1F0B9-8D04-4EDE-A433-B5C0CCC29713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17F5BA89-8D25-4C55-B2D1-DA9D5063C61A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C471FF90-BE0D-4C96-842D-86AE78ECE8D4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C7BE00BE-2D62-45C8-95D4-8CBE9FBBFB6B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CF6D318D-9A44-4171-9D2C-C6D4393BA0D2}"/>
            </a:ext>
          </a:extLst>
        </xdr:cNvPr>
        <xdr:cNvSpPr txBox="1">
          <a:spLocks noChangeArrowheads="1"/>
        </xdr:cNvSpPr>
      </xdr:nvSpPr>
      <xdr:spPr bwMode="auto">
        <a:xfrm>
          <a:off x="1695450" y="353568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6E8F6480-76D2-49E0-80B1-D8E0902C73F8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1532E637-5159-49C9-885F-B8B2F76AB469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F7DF8DEB-8652-4126-B7C0-39F475B2C269}"/>
            </a:ext>
          </a:extLst>
        </xdr:cNvPr>
        <xdr:cNvSpPr txBox="1">
          <a:spLocks noChangeArrowheads="1"/>
        </xdr:cNvSpPr>
      </xdr:nvSpPr>
      <xdr:spPr bwMode="auto">
        <a:xfrm>
          <a:off x="1695450" y="353568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E380E608-08B6-46BF-BAAF-A7C7C1AFB6C1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F8F0BED7-1075-4A3F-855D-552BA5BDD67D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808D96CA-A959-44CE-9F4C-788F87F70BA5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55C08F5A-AD4D-4C1A-9908-E5B1D885DBD8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3A513B3C-F225-4659-BF56-55BB47E386E3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2F5E9C9A-3FFB-45E5-B219-6A7DDDAE5D60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AC360172-7AC2-4784-9F87-30479485B555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3AFC4D60-ACEA-4466-8E7D-F7971C710BA7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256F7054-9AEF-4A7B-BB28-1AD5F178FDF4}"/>
            </a:ext>
          </a:extLst>
        </xdr:cNvPr>
        <xdr:cNvSpPr txBox="1">
          <a:spLocks noChangeArrowheads="1"/>
        </xdr:cNvSpPr>
      </xdr:nvSpPr>
      <xdr:spPr bwMode="auto">
        <a:xfrm>
          <a:off x="1695450" y="35585400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EAA0E7B1-AF85-49B0-A2BB-B5DD8BB20AE6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E2236D76-1F1B-4CD9-A6AD-763C152E18FF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927F60A9-BB72-46EF-807E-E9F1200D6629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7FA5097F-BCD7-4C18-9495-835BDEAAC294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C1989B6B-4081-4B73-A8CA-1641593A51FA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BA1D3726-13F2-4C63-88B9-E11C3CEFA956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4D9C6938-A41F-489F-87B1-7521256183DF}"/>
            </a:ext>
          </a:extLst>
        </xdr:cNvPr>
        <xdr:cNvSpPr txBox="1">
          <a:spLocks noChangeArrowheads="1"/>
        </xdr:cNvSpPr>
      </xdr:nvSpPr>
      <xdr:spPr bwMode="auto">
        <a:xfrm>
          <a:off x="5276850" y="358235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8025F0B2-8EE3-4BBD-938F-E6C4F887A4EF}"/>
            </a:ext>
          </a:extLst>
        </xdr:cNvPr>
        <xdr:cNvSpPr txBox="1">
          <a:spLocks noChangeArrowheads="1"/>
        </xdr:cNvSpPr>
      </xdr:nvSpPr>
      <xdr:spPr bwMode="auto">
        <a:xfrm>
          <a:off x="17506949" y="36061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054A7023-BAAC-4A8A-AB8C-81E0D7483711}"/>
            </a:ext>
          </a:extLst>
        </xdr:cNvPr>
        <xdr:cNvSpPr txBox="1">
          <a:spLocks noChangeArrowheads="1"/>
        </xdr:cNvSpPr>
      </xdr:nvSpPr>
      <xdr:spPr bwMode="auto">
        <a:xfrm>
          <a:off x="1695450" y="355854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44C97336-777B-40C6-804A-599D36630145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21F0FBF4-523D-4095-A102-89802BFFD013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34388DC3-A917-4973-A31D-303DC7124773}"/>
            </a:ext>
          </a:extLst>
        </xdr:cNvPr>
        <xdr:cNvSpPr txBox="1">
          <a:spLocks noChangeArrowheads="1"/>
        </xdr:cNvSpPr>
      </xdr:nvSpPr>
      <xdr:spPr bwMode="auto">
        <a:xfrm>
          <a:off x="17506949" y="36061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EFFB8B7B-11BC-4BC3-8EB6-602DE220D3F7}"/>
            </a:ext>
          </a:extLst>
        </xdr:cNvPr>
        <xdr:cNvSpPr txBox="1">
          <a:spLocks noChangeArrowheads="1"/>
        </xdr:cNvSpPr>
      </xdr:nvSpPr>
      <xdr:spPr bwMode="auto">
        <a:xfrm>
          <a:off x="5276850" y="415385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86D7601F-4A8C-480D-AE65-6534CBA90D33}"/>
            </a:ext>
          </a:extLst>
        </xdr:cNvPr>
        <xdr:cNvSpPr txBox="1">
          <a:spLocks noChangeArrowheads="1"/>
        </xdr:cNvSpPr>
      </xdr:nvSpPr>
      <xdr:spPr bwMode="auto">
        <a:xfrm>
          <a:off x="17506949" y="41776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5</xdr:col>
      <xdr:colOff>104775</xdr:colOff>
      <xdr:row>134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13B61154-DEBD-4B80-91CE-D88186843AD5}"/>
            </a:ext>
          </a:extLst>
        </xdr:cNvPr>
        <xdr:cNvSpPr txBox="1">
          <a:spLocks noChangeArrowheads="1"/>
        </xdr:cNvSpPr>
      </xdr:nvSpPr>
      <xdr:spPr bwMode="auto">
        <a:xfrm>
          <a:off x="1695450" y="413004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64F03F3A-DC84-4708-8D17-5C6C0EC95EC4}"/>
            </a:ext>
          </a:extLst>
        </xdr:cNvPr>
        <xdr:cNvSpPr txBox="1">
          <a:spLocks noChangeArrowheads="1"/>
        </xdr:cNvSpPr>
      </xdr:nvSpPr>
      <xdr:spPr bwMode="auto">
        <a:xfrm>
          <a:off x="5276850" y="41300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56A47C0B-3042-4C66-9B15-9B752346D544}"/>
            </a:ext>
          </a:extLst>
        </xdr:cNvPr>
        <xdr:cNvSpPr txBox="1">
          <a:spLocks noChangeArrowheads="1"/>
        </xdr:cNvSpPr>
      </xdr:nvSpPr>
      <xdr:spPr bwMode="auto">
        <a:xfrm>
          <a:off x="5276850" y="41300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32BB2987-8261-4999-9637-B5E4A524D9CB}"/>
            </a:ext>
          </a:extLst>
        </xdr:cNvPr>
        <xdr:cNvSpPr txBox="1">
          <a:spLocks noChangeArrowheads="1"/>
        </xdr:cNvSpPr>
      </xdr:nvSpPr>
      <xdr:spPr bwMode="auto">
        <a:xfrm>
          <a:off x="17506949" y="41776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3557AE2C-3F29-4CAC-9CE5-092F3757E8E1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3454E95-0F60-46B0-8774-A87D5698AE90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C1877B25-5689-470C-968C-B724EC198BD9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1EE86A8E-7D27-4C63-89E0-3A7BE17D6034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29032532-1C68-4443-86B7-427B291958F4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F5281041-9215-43DD-BC7B-622A125D8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4CDAAC4A-2267-49C9-8747-69B831672052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8AA9CCCA-C27C-4C97-AC42-FD0DB33DEFFF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C5A872F6-186B-4058-A760-8B043B763574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481CEFD0-A312-441E-8B56-9A2F54C19758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2CC6D2C8-ED82-43A5-8E62-BE54DC4843E7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6B82D5D0-C0C0-4083-AF69-43BF8065B106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8E6B6D1B-A645-4C9B-B3E8-E921D5BA97EF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3F38FECD-6325-4FBC-8CD8-B88B38851272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F36A3B51-5D8B-4B50-BC97-BC5713FD30A6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45B2EAB9-225C-48CD-A2B0-7613289ACE0B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E81DFE3D-E7B8-4491-894B-0682CC201FEF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A0D1DEE6-359B-40C4-9519-27947F73F0A4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024EE996-92A8-42AD-84D2-39E77A1A8676}"/>
            </a:ext>
          </a:extLst>
        </xdr:cNvPr>
        <xdr:cNvSpPr txBox="1">
          <a:spLocks noChangeArrowheads="1"/>
        </xdr:cNvSpPr>
      </xdr:nvSpPr>
      <xdr:spPr bwMode="auto">
        <a:xfrm>
          <a:off x="5276850" y="351282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EC2ED353-475C-4874-B426-D6ADF6B36CF9}"/>
            </a:ext>
          </a:extLst>
        </xdr:cNvPr>
        <xdr:cNvSpPr txBox="1">
          <a:spLocks noChangeArrowheads="1"/>
        </xdr:cNvSpPr>
      </xdr:nvSpPr>
      <xdr:spPr bwMode="auto">
        <a:xfrm>
          <a:off x="5276850" y="351282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F7758713-4D7F-4C42-81EA-C86B992833F2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081B02CC-E3D9-452E-A1E1-F8E48D8BA0EA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F8DE2893-FAB0-4194-AA6E-F5B19FE5F700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11FA326A-F1EE-4A9B-B224-CEB8F619FD1A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F49C8E2A-6A7E-4BF6-9EF7-70D2781CBA67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11BC6F68-52F3-4A43-8CEA-A8C4F5716696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D22BC9CD-5453-48FF-93C3-58E3BD68F7F4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082410A0-A329-4709-B020-60AE5FF0FE5D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3BEF5A51-7B40-4952-BAFE-B5717359C86B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EEDBC8E4-0A90-46CD-A482-A8315CD0D700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B2F0FF48-DD16-4362-A98E-3BF0C0887149}"/>
            </a:ext>
          </a:extLst>
        </xdr:cNvPr>
        <xdr:cNvSpPr txBox="1">
          <a:spLocks noChangeArrowheads="1"/>
        </xdr:cNvSpPr>
      </xdr:nvSpPr>
      <xdr:spPr bwMode="auto">
        <a:xfrm>
          <a:off x="6457950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8F9E267C-C474-4039-BA89-5F31DA65C652}"/>
            </a:ext>
          </a:extLst>
        </xdr:cNvPr>
        <xdr:cNvSpPr txBox="1">
          <a:spLocks noChangeArrowheads="1"/>
        </xdr:cNvSpPr>
      </xdr:nvSpPr>
      <xdr:spPr bwMode="auto">
        <a:xfrm>
          <a:off x="5895975" y="262890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F75637EF-57C4-489C-9D50-5F4EFF104294}"/>
            </a:ext>
          </a:extLst>
        </xdr:cNvPr>
        <xdr:cNvSpPr txBox="1">
          <a:spLocks noChangeArrowheads="1"/>
        </xdr:cNvSpPr>
      </xdr:nvSpPr>
      <xdr:spPr bwMode="auto">
        <a:xfrm>
          <a:off x="1695450" y="353568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C3633A5F-8317-44CF-AA14-F2BA6AD85F13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1CB84707-F7E4-4458-9197-43AB27EEE0DF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ACBD1F8C-DC91-4F55-8AE0-C20DA3B6E12D}"/>
            </a:ext>
          </a:extLst>
        </xdr:cNvPr>
        <xdr:cNvSpPr txBox="1">
          <a:spLocks noChangeArrowheads="1"/>
        </xdr:cNvSpPr>
      </xdr:nvSpPr>
      <xdr:spPr bwMode="auto">
        <a:xfrm>
          <a:off x="1695450" y="353568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EA307AB7-0B19-4A5D-95F7-FBF331726B87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FEB26A69-579B-4272-96EC-71D94D6F1861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7FDB3B3B-62AB-4520-8C82-A5D1C54BB312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5A53F9EF-4409-41BB-A547-FFC61E18D95C}"/>
            </a:ext>
          </a:extLst>
        </xdr:cNvPr>
        <xdr:cNvSpPr txBox="1">
          <a:spLocks noChangeArrowheads="1"/>
        </xdr:cNvSpPr>
      </xdr:nvSpPr>
      <xdr:spPr bwMode="auto">
        <a:xfrm>
          <a:off x="5276850" y="353568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050BC4F1-F9A7-46F8-9574-4855EBFCE644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C4D29476-70C1-4EEE-95C5-62006FAD0195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569BCE26-10BA-46C1-BF89-68AA151F3E3F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EC44428C-4A5B-4F95-86DC-44DEDE07D4F4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402F35F0-81B7-4A70-89A5-312CA89A9049}"/>
            </a:ext>
          </a:extLst>
        </xdr:cNvPr>
        <xdr:cNvSpPr txBox="1">
          <a:spLocks noChangeArrowheads="1"/>
        </xdr:cNvSpPr>
      </xdr:nvSpPr>
      <xdr:spPr bwMode="auto">
        <a:xfrm>
          <a:off x="1695450" y="35585400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4EBA1AC2-3CC1-47C0-943A-14D4A44BD001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52536C85-D30C-46F1-88EE-FBB61D4DBE10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41BFBFC6-0D5F-4703-9CD6-95CF61B32864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EC452AB5-C106-4B29-A70E-959570F576BC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B3558445-B467-4CA0-96F0-11F62AAC760D}"/>
            </a:ext>
          </a:extLst>
        </xdr:cNvPr>
        <xdr:cNvSpPr txBox="1">
          <a:spLocks noChangeArrowheads="1"/>
        </xdr:cNvSpPr>
      </xdr:nvSpPr>
      <xdr:spPr bwMode="auto">
        <a:xfrm>
          <a:off x="6457950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4E662261-97B8-4841-B640-235FDA2D6DB4}"/>
            </a:ext>
          </a:extLst>
        </xdr:cNvPr>
        <xdr:cNvSpPr txBox="1">
          <a:spLocks noChangeArrowheads="1"/>
        </xdr:cNvSpPr>
      </xdr:nvSpPr>
      <xdr:spPr bwMode="auto">
        <a:xfrm>
          <a:off x="5895975" y="247650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4441749A-B5E1-41E4-96DC-AC7C8CA870B8}"/>
            </a:ext>
          </a:extLst>
        </xdr:cNvPr>
        <xdr:cNvSpPr txBox="1">
          <a:spLocks noChangeArrowheads="1"/>
        </xdr:cNvSpPr>
      </xdr:nvSpPr>
      <xdr:spPr bwMode="auto">
        <a:xfrm>
          <a:off x="5276850" y="358235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BA23F37D-D207-42CC-804D-3F852177B76C}"/>
            </a:ext>
          </a:extLst>
        </xdr:cNvPr>
        <xdr:cNvSpPr txBox="1">
          <a:spLocks noChangeArrowheads="1"/>
        </xdr:cNvSpPr>
      </xdr:nvSpPr>
      <xdr:spPr bwMode="auto">
        <a:xfrm>
          <a:off x="17506949" y="36061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450D6348-7A44-4AAA-B706-1CCD3AD32390}"/>
            </a:ext>
          </a:extLst>
        </xdr:cNvPr>
        <xdr:cNvSpPr txBox="1">
          <a:spLocks noChangeArrowheads="1"/>
        </xdr:cNvSpPr>
      </xdr:nvSpPr>
      <xdr:spPr bwMode="auto">
        <a:xfrm>
          <a:off x="1695450" y="355854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46AB412B-B177-4F81-B009-5FC04B1DD126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54447E1E-FC55-4F9C-ADE0-AD900B6E973E}"/>
            </a:ext>
          </a:extLst>
        </xdr:cNvPr>
        <xdr:cNvSpPr txBox="1">
          <a:spLocks noChangeArrowheads="1"/>
        </xdr:cNvSpPr>
      </xdr:nvSpPr>
      <xdr:spPr bwMode="auto">
        <a:xfrm>
          <a:off x="5276850" y="35585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AFFB6685-AFD8-4AF3-88DF-C3F17E0D8380}"/>
            </a:ext>
          </a:extLst>
        </xdr:cNvPr>
        <xdr:cNvSpPr txBox="1">
          <a:spLocks noChangeArrowheads="1"/>
        </xdr:cNvSpPr>
      </xdr:nvSpPr>
      <xdr:spPr bwMode="auto">
        <a:xfrm>
          <a:off x="17506949" y="36061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330A08E2-6385-4A63-9C53-70B7981F8B0B}"/>
            </a:ext>
          </a:extLst>
        </xdr:cNvPr>
        <xdr:cNvSpPr txBox="1">
          <a:spLocks noChangeArrowheads="1"/>
        </xdr:cNvSpPr>
      </xdr:nvSpPr>
      <xdr:spPr bwMode="auto">
        <a:xfrm>
          <a:off x="5276850" y="415385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BDC28D43-CD4C-4DF7-878D-11FAAF125B1E}"/>
            </a:ext>
          </a:extLst>
        </xdr:cNvPr>
        <xdr:cNvSpPr txBox="1">
          <a:spLocks noChangeArrowheads="1"/>
        </xdr:cNvSpPr>
      </xdr:nvSpPr>
      <xdr:spPr bwMode="auto">
        <a:xfrm>
          <a:off x="17506949" y="41776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5</xdr:col>
      <xdr:colOff>104775</xdr:colOff>
      <xdr:row>134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95B81640-74CC-4D62-AD50-F212DCFC5FE4}"/>
            </a:ext>
          </a:extLst>
        </xdr:cNvPr>
        <xdr:cNvSpPr txBox="1">
          <a:spLocks noChangeArrowheads="1"/>
        </xdr:cNvSpPr>
      </xdr:nvSpPr>
      <xdr:spPr bwMode="auto">
        <a:xfrm>
          <a:off x="1695450" y="413004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D9ED6A9C-6976-4A89-8BBE-2EE422C49499}"/>
            </a:ext>
          </a:extLst>
        </xdr:cNvPr>
        <xdr:cNvSpPr txBox="1">
          <a:spLocks noChangeArrowheads="1"/>
        </xdr:cNvSpPr>
      </xdr:nvSpPr>
      <xdr:spPr bwMode="auto">
        <a:xfrm>
          <a:off x="5276850" y="41300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DAEA5F83-254B-493F-B944-BF26FA97F14C}"/>
            </a:ext>
          </a:extLst>
        </xdr:cNvPr>
        <xdr:cNvSpPr txBox="1">
          <a:spLocks noChangeArrowheads="1"/>
        </xdr:cNvSpPr>
      </xdr:nvSpPr>
      <xdr:spPr bwMode="auto">
        <a:xfrm>
          <a:off x="5276850" y="413004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740579DE-6C9E-4ECD-905A-33212BC17A6C}"/>
            </a:ext>
          </a:extLst>
        </xdr:cNvPr>
        <xdr:cNvSpPr txBox="1">
          <a:spLocks noChangeArrowheads="1"/>
        </xdr:cNvSpPr>
      </xdr:nvSpPr>
      <xdr:spPr bwMode="auto">
        <a:xfrm>
          <a:off x="17506949" y="417766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C4285FF5-8D82-48A7-AA44-D4485EB6B402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BC4384D-5C43-4FF7-96A6-FC0F14D00492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AF82AC5E-8C29-4DD3-8BEA-2A43C2819656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5C6FE1F7-11CC-48F9-BE99-E28FC81D7B84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9078C51E-6CD3-446F-AE8A-E8062C4FB9B6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82B4D4EC-1A19-4DAC-951B-B47D1FEE5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2873302A-F669-4E0F-903C-C002140DDAC6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3A541174-FA03-483A-B43A-42C455EB1909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0D6B6A74-7058-498F-B914-AA080DE24C1A}"/>
            </a:ext>
          </a:extLst>
        </xdr:cNvPr>
        <xdr:cNvSpPr txBox="1">
          <a:spLocks noChangeArrowheads="1"/>
        </xdr:cNvSpPr>
      </xdr:nvSpPr>
      <xdr:spPr bwMode="auto">
        <a:xfrm>
          <a:off x="6457950" y="16097250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E1F219CC-914C-4F69-B8C6-86FDD6EF80B9}"/>
            </a:ext>
          </a:extLst>
        </xdr:cNvPr>
        <xdr:cNvSpPr txBox="1">
          <a:spLocks noChangeArrowheads="1"/>
        </xdr:cNvSpPr>
      </xdr:nvSpPr>
      <xdr:spPr bwMode="auto">
        <a:xfrm>
          <a:off x="5895975" y="16097250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DC57A92B-E61B-41BC-8B29-46351467F01D}"/>
            </a:ext>
          </a:extLst>
        </xdr:cNvPr>
        <xdr:cNvSpPr txBox="1">
          <a:spLocks noChangeArrowheads="1"/>
        </xdr:cNvSpPr>
      </xdr:nvSpPr>
      <xdr:spPr bwMode="auto">
        <a:xfrm>
          <a:off x="6457950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C79CCB1C-F4ED-4F94-9B67-BBB583742072}"/>
            </a:ext>
          </a:extLst>
        </xdr:cNvPr>
        <xdr:cNvSpPr txBox="1">
          <a:spLocks noChangeArrowheads="1"/>
        </xdr:cNvSpPr>
      </xdr:nvSpPr>
      <xdr:spPr bwMode="auto">
        <a:xfrm>
          <a:off x="5895975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8A3863C7-0BF0-479E-9D6E-E636559D03BA}"/>
            </a:ext>
          </a:extLst>
        </xdr:cNvPr>
        <xdr:cNvSpPr txBox="1">
          <a:spLocks noChangeArrowheads="1"/>
        </xdr:cNvSpPr>
      </xdr:nvSpPr>
      <xdr:spPr bwMode="auto">
        <a:xfrm>
          <a:off x="6457950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7EB295F6-5E4D-4E85-A31C-394FDF4D1944}"/>
            </a:ext>
          </a:extLst>
        </xdr:cNvPr>
        <xdr:cNvSpPr txBox="1">
          <a:spLocks noChangeArrowheads="1"/>
        </xdr:cNvSpPr>
      </xdr:nvSpPr>
      <xdr:spPr bwMode="auto">
        <a:xfrm>
          <a:off x="5895975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6690C574-E887-4420-93AB-6EA6ABB0E381}"/>
            </a:ext>
          </a:extLst>
        </xdr:cNvPr>
        <xdr:cNvSpPr txBox="1">
          <a:spLocks noChangeArrowheads="1"/>
        </xdr:cNvSpPr>
      </xdr:nvSpPr>
      <xdr:spPr bwMode="auto">
        <a:xfrm>
          <a:off x="6457950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B43AD8E0-1BA3-4580-98A8-4259C1F07376}"/>
            </a:ext>
          </a:extLst>
        </xdr:cNvPr>
        <xdr:cNvSpPr txBox="1">
          <a:spLocks noChangeArrowheads="1"/>
        </xdr:cNvSpPr>
      </xdr:nvSpPr>
      <xdr:spPr bwMode="auto">
        <a:xfrm>
          <a:off x="5895975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BB5062B2-8BFB-437E-896F-6AFC6053DF96}"/>
            </a:ext>
          </a:extLst>
        </xdr:cNvPr>
        <xdr:cNvSpPr txBox="1">
          <a:spLocks noChangeArrowheads="1"/>
        </xdr:cNvSpPr>
      </xdr:nvSpPr>
      <xdr:spPr bwMode="auto">
        <a:xfrm>
          <a:off x="6457950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4D037210-3C81-492B-AEAA-ADF35C173540}"/>
            </a:ext>
          </a:extLst>
        </xdr:cNvPr>
        <xdr:cNvSpPr txBox="1">
          <a:spLocks noChangeArrowheads="1"/>
        </xdr:cNvSpPr>
      </xdr:nvSpPr>
      <xdr:spPr bwMode="auto">
        <a:xfrm>
          <a:off x="5895975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0B17C8AA-685D-4596-840A-39F7C3B3B703}"/>
            </a:ext>
          </a:extLst>
        </xdr:cNvPr>
        <xdr:cNvSpPr txBox="1">
          <a:spLocks noChangeArrowheads="1"/>
        </xdr:cNvSpPr>
      </xdr:nvSpPr>
      <xdr:spPr bwMode="auto">
        <a:xfrm>
          <a:off x="5276850" y="347091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949A9747-8824-4BDF-88E6-9741E5D2A2CC}"/>
            </a:ext>
          </a:extLst>
        </xdr:cNvPr>
        <xdr:cNvSpPr txBox="1">
          <a:spLocks noChangeArrowheads="1"/>
        </xdr:cNvSpPr>
      </xdr:nvSpPr>
      <xdr:spPr bwMode="auto">
        <a:xfrm>
          <a:off x="5276850" y="347091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5F86E9F2-7A8A-4174-8161-93481AEB2DB4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445EF5D4-CBFE-4951-841E-95A0030B5BC9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092D9C5F-C8CC-48BA-BCF7-04A3B5209C8E}"/>
            </a:ext>
          </a:extLst>
        </xdr:cNvPr>
        <xdr:cNvSpPr txBox="1">
          <a:spLocks noChangeArrowheads="1"/>
        </xdr:cNvSpPr>
      </xdr:nvSpPr>
      <xdr:spPr bwMode="auto">
        <a:xfrm>
          <a:off x="6457950" y="16097250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D34FC8E7-2B60-4E60-8B68-BE8BEAB6DA22}"/>
            </a:ext>
          </a:extLst>
        </xdr:cNvPr>
        <xdr:cNvSpPr txBox="1">
          <a:spLocks noChangeArrowheads="1"/>
        </xdr:cNvSpPr>
      </xdr:nvSpPr>
      <xdr:spPr bwMode="auto">
        <a:xfrm>
          <a:off x="5895975" y="16097250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5FB0C896-EFA1-4E3E-AADB-00316D448A89}"/>
            </a:ext>
          </a:extLst>
        </xdr:cNvPr>
        <xdr:cNvSpPr txBox="1">
          <a:spLocks noChangeArrowheads="1"/>
        </xdr:cNvSpPr>
      </xdr:nvSpPr>
      <xdr:spPr bwMode="auto">
        <a:xfrm>
          <a:off x="6457950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306DD3AF-39FC-49B6-890D-85A002F77E31}"/>
            </a:ext>
          </a:extLst>
        </xdr:cNvPr>
        <xdr:cNvSpPr txBox="1">
          <a:spLocks noChangeArrowheads="1"/>
        </xdr:cNvSpPr>
      </xdr:nvSpPr>
      <xdr:spPr bwMode="auto">
        <a:xfrm>
          <a:off x="5895975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73F83E8B-09B7-4AD2-B30B-84143C4A72B6}"/>
            </a:ext>
          </a:extLst>
        </xdr:cNvPr>
        <xdr:cNvSpPr txBox="1">
          <a:spLocks noChangeArrowheads="1"/>
        </xdr:cNvSpPr>
      </xdr:nvSpPr>
      <xdr:spPr bwMode="auto">
        <a:xfrm>
          <a:off x="6457950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D3553222-6D43-412A-84FF-5E0AD89A8DA9}"/>
            </a:ext>
          </a:extLst>
        </xdr:cNvPr>
        <xdr:cNvSpPr txBox="1">
          <a:spLocks noChangeArrowheads="1"/>
        </xdr:cNvSpPr>
      </xdr:nvSpPr>
      <xdr:spPr bwMode="auto">
        <a:xfrm>
          <a:off x="5895975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35F43B7F-D64B-4602-9B11-2CB8DDB779D7}"/>
            </a:ext>
          </a:extLst>
        </xdr:cNvPr>
        <xdr:cNvSpPr txBox="1">
          <a:spLocks noChangeArrowheads="1"/>
        </xdr:cNvSpPr>
      </xdr:nvSpPr>
      <xdr:spPr bwMode="auto">
        <a:xfrm>
          <a:off x="6457950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6A71A186-D2D3-4D09-BB3B-860694812914}"/>
            </a:ext>
          </a:extLst>
        </xdr:cNvPr>
        <xdr:cNvSpPr txBox="1">
          <a:spLocks noChangeArrowheads="1"/>
        </xdr:cNvSpPr>
      </xdr:nvSpPr>
      <xdr:spPr bwMode="auto">
        <a:xfrm>
          <a:off x="5895975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820C5ED7-285D-43DF-A884-A96843B6A123}"/>
            </a:ext>
          </a:extLst>
        </xdr:cNvPr>
        <xdr:cNvSpPr txBox="1">
          <a:spLocks noChangeArrowheads="1"/>
        </xdr:cNvSpPr>
      </xdr:nvSpPr>
      <xdr:spPr bwMode="auto">
        <a:xfrm>
          <a:off x="6457950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354521F6-479E-465E-A458-FCA7AF6E0616}"/>
            </a:ext>
          </a:extLst>
        </xdr:cNvPr>
        <xdr:cNvSpPr txBox="1">
          <a:spLocks noChangeArrowheads="1"/>
        </xdr:cNvSpPr>
      </xdr:nvSpPr>
      <xdr:spPr bwMode="auto">
        <a:xfrm>
          <a:off x="5895975" y="258699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706FEC6E-0439-4F08-A70C-6298878F4830}"/>
            </a:ext>
          </a:extLst>
        </xdr:cNvPr>
        <xdr:cNvSpPr txBox="1">
          <a:spLocks noChangeArrowheads="1"/>
        </xdr:cNvSpPr>
      </xdr:nvSpPr>
      <xdr:spPr bwMode="auto">
        <a:xfrm>
          <a:off x="1695450" y="349377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AF8A81AC-08BB-465E-8D66-69B63311BC4A}"/>
            </a:ext>
          </a:extLst>
        </xdr:cNvPr>
        <xdr:cNvSpPr txBox="1">
          <a:spLocks noChangeArrowheads="1"/>
        </xdr:cNvSpPr>
      </xdr:nvSpPr>
      <xdr:spPr bwMode="auto">
        <a:xfrm>
          <a:off x="5276850" y="349377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8A147A5B-E0DD-4198-964E-6D6EB2CC2658}"/>
            </a:ext>
          </a:extLst>
        </xdr:cNvPr>
        <xdr:cNvSpPr txBox="1">
          <a:spLocks noChangeArrowheads="1"/>
        </xdr:cNvSpPr>
      </xdr:nvSpPr>
      <xdr:spPr bwMode="auto">
        <a:xfrm>
          <a:off x="5276850" y="349377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1E4995FF-E428-4491-BDB2-738AE4A31DB6}"/>
            </a:ext>
          </a:extLst>
        </xdr:cNvPr>
        <xdr:cNvSpPr txBox="1">
          <a:spLocks noChangeArrowheads="1"/>
        </xdr:cNvSpPr>
      </xdr:nvSpPr>
      <xdr:spPr bwMode="auto">
        <a:xfrm>
          <a:off x="1695450" y="349377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70498388-F583-40E3-82A9-47788F5F690C}"/>
            </a:ext>
          </a:extLst>
        </xdr:cNvPr>
        <xdr:cNvSpPr txBox="1">
          <a:spLocks noChangeArrowheads="1"/>
        </xdr:cNvSpPr>
      </xdr:nvSpPr>
      <xdr:spPr bwMode="auto">
        <a:xfrm>
          <a:off x="5276850" y="349377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39550A4E-00ED-48C8-9C78-F751608E3534}"/>
            </a:ext>
          </a:extLst>
        </xdr:cNvPr>
        <xdr:cNvSpPr txBox="1">
          <a:spLocks noChangeArrowheads="1"/>
        </xdr:cNvSpPr>
      </xdr:nvSpPr>
      <xdr:spPr bwMode="auto">
        <a:xfrm>
          <a:off x="5276850" y="349377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53653695-53B2-4200-9510-67D499B58080}"/>
            </a:ext>
          </a:extLst>
        </xdr:cNvPr>
        <xdr:cNvSpPr txBox="1">
          <a:spLocks noChangeArrowheads="1"/>
        </xdr:cNvSpPr>
      </xdr:nvSpPr>
      <xdr:spPr bwMode="auto">
        <a:xfrm>
          <a:off x="5276850" y="349377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E60D3CC2-6BC9-4A61-B6CB-5733621A50C3}"/>
            </a:ext>
          </a:extLst>
        </xdr:cNvPr>
        <xdr:cNvSpPr txBox="1">
          <a:spLocks noChangeArrowheads="1"/>
        </xdr:cNvSpPr>
      </xdr:nvSpPr>
      <xdr:spPr bwMode="auto">
        <a:xfrm>
          <a:off x="5276850" y="349377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89073E5C-532A-408E-9852-0AC82D88B584}"/>
            </a:ext>
          </a:extLst>
        </xdr:cNvPr>
        <xdr:cNvSpPr txBox="1">
          <a:spLocks noChangeArrowheads="1"/>
        </xdr:cNvSpPr>
      </xdr:nvSpPr>
      <xdr:spPr bwMode="auto">
        <a:xfrm>
          <a:off x="6457950" y="243459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EED85DF1-F5BB-43FB-85FF-1D1A65757DCC}"/>
            </a:ext>
          </a:extLst>
        </xdr:cNvPr>
        <xdr:cNvSpPr txBox="1">
          <a:spLocks noChangeArrowheads="1"/>
        </xdr:cNvSpPr>
      </xdr:nvSpPr>
      <xdr:spPr bwMode="auto">
        <a:xfrm>
          <a:off x="5895975" y="243459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155F2C9D-B37E-4896-9E18-0918B7718375}"/>
            </a:ext>
          </a:extLst>
        </xdr:cNvPr>
        <xdr:cNvSpPr txBox="1">
          <a:spLocks noChangeArrowheads="1"/>
        </xdr:cNvSpPr>
      </xdr:nvSpPr>
      <xdr:spPr bwMode="auto">
        <a:xfrm>
          <a:off x="6457950" y="243459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EAEE1F86-6884-4DB7-B53B-B4B538CF53D1}"/>
            </a:ext>
          </a:extLst>
        </xdr:cNvPr>
        <xdr:cNvSpPr txBox="1">
          <a:spLocks noChangeArrowheads="1"/>
        </xdr:cNvSpPr>
      </xdr:nvSpPr>
      <xdr:spPr bwMode="auto">
        <a:xfrm>
          <a:off x="5895975" y="243459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3BD0A002-DB31-4A18-89A9-2CF027196F42}"/>
            </a:ext>
          </a:extLst>
        </xdr:cNvPr>
        <xdr:cNvSpPr txBox="1">
          <a:spLocks noChangeArrowheads="1"/>
        </xdr:cNvSpPr>
      </xdr:nvSpPr>
      <xdr:spPr bwMode="auto">
        <a:xfrm>
          <a:off x="1695450" y="35166300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B45C34C4-C0D9-4F0C-932E-557833B7B9B3}"/>
            </a:ext>
          </a:extLst>
        </xdr:cNvPr>
        <xdr:cNvSpPr txBox="1">
          <a:spLocks noChangeArrowheads="1"/>
        </xdr:cNvSpPr>
      </xdr:nvSpPr>
      <xdr:spPr bwMode="auto">
        <a:xfrm>
          <a:off x="5276850" y="351663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34133175-9D1E-42F8-90A1-E47615B079B0}"/>
            </a:ext>
          </a:extLst>
        </xdr:cNvPr>
        <xdr:cNvSpPr txBox="1">
          <a:spLocks noChangeArrowheads="1"/>
        </xdr:cNvSpPr>
      </xdr:nvSpPr>
      <xdr:spPr bwMode="auto">
        <a:xfrm>
          <a:off x="5276850" y="351663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BB538820-05FC-461A-9943-FEC272B16F22}"/>
            </a:ext>
          </a:extLst>
        </xdr:cNvPr>
        <xdr:cNvSpPr txBox="1">
          <a:spLocks noChangeArrowheads="1"/>
        </xdr:cNvSpPr>
      </xdr:nvSpPr>
      <xdr:spPr bwMode="auto">
        <a:xfrm>
          <a:off x="6457950" y="243459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8877C8B3-6097-458F-89CB-647EC47F4AD2}"/>
            </a:ext>
          </a:extLst>
        </xdr:cNvPr>
        <xdr:cNvSpPr txBox="1">
          <a:spLocks noChangeArrowheads="1"/>
        </xdr:cNvSpPr>
      </xdr:nvSpPr>
      <xdr:spPr bwMode="auto">
        <a:xfrm>
          <a:off x="5895975" y="243459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6B486030-68A2-4AF7-83E9-81924B6CE5B3}"/>
            </a:ext>
          </a:extLst>
        </xdr:cNvPr>
        <xdr:cNvSpPr txBox="1">
          <a:spLocks noChangeArrowheads="1"/>
        </xdr:cNvSpPr>
      </xdr:nvSpPr>
      <xdr:spPr bwMode="auto">
        <a:xfrm>
          <a:off x="6457950" y="243459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110ABED1-FCCE-47E1-ACE6-108D812B9865}"/>
            </a:ext>
          </a:extLst>
        </xdr:cNvPr>
        <xdr:cNvSpPr txBox="1">
          <a:spLocks noChangeArrowheads="1"/>
        </xdr:cNvSpPr>
      </xdr:nvSpPr>
      <xdr:spPr bwMode="auto">
        <a:xfrm>
          <a:off x="5895975" y="24345900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3DFFD983-5371-4C1D-B29F-5BCFAC30DF45}"/>
            </a:ext>
          </a:extLst>
        </xdr:cNvPr>
        <xdr:cNvSpPr txBox="1">
          <a:spLocks noChangeArrowheads="1"/>
        </xdr:cNvSpPr>
      </xdr:nvSpPr>
      <xdr:spPr bwMode="auto">
        <a:xfrm>
          <a:off x="5276850" y="354044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3ACCA0D3-8EFA-4DC6-8825-307C508C36DA}"/>
            </a:ext>
          </a:extLst>
        </xdr:cNvPr>
        <xdr:cNvSpPr txBox="1">
          <a:spLocks noChangeArrowheads="1"/>
        </xdr:cNvSpPr>
      </xdr:nvSpPr>
      <xdr:spPr bwMode="auto">
        <a:xfrm>
          <a:off x="17506949" y="356425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162F558E-8A8C-4CAF-9610-0360FFBF7484}"/>
            </a:ext>
          </a:extLst>
        </xdr:cNvPr>
        <xdr:cNvSpPr txBox="1">
          <a:spLocks noChangeArrowheads="1"/>
        </xdr:cNvSpPr>
      </xdr:nvSpPr>
      <xdr:spPr bwMode="auto">
        <a:xfrm>
          <a:off x="1695450" y="351663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271AAB6E-BE8A-4606-A9A3-8CB395DBB2E5}"/>
            </a:ext>
          </a:extLst>
        </xdr:cNvPr>
        <xdr:cNvSpPr txBox="1">
          <a:spLocks noChangeArrowheads="1"/>
        </xdr:cNvSpPr>
      </xdr:nvSpPr>
      <xdr:spPr bwMode="auto">
        <a:xfrm>
          <a:off x="5276850" y="351663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80180B2A-02C9-4B5B-BE39-99000AEF4875}"/>
            </a:ext>
          </a:extLst>
        </xdr:cNvPr>
        <xdr:cNvSpPr txBox="1">
          <a:spLocks noChangeArrowheads="1"/>
        </xdr:cNvSpPr>
      </xdr:nvSpPr>
      <xdr:spPr bwMode="auto">
        <a:xfrm>
          <a:off x="5276850" y="351663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C067ACA9-115E-451E-8EA9-F48DBA9CB9C7}"/>
            </a:ext>
          </a:extLst>
        </xdr:cNvPr>
        <xdr:cNvSpPr txBox="1">
          <a:spLocks noChangeArrowheads="1"/>
        </xdr:cNvSpPr>
      </xdr:nvSpPr>
      <xdr:spPr bwMode="auto">
        <a:xfrm>
          <a:off x="17506949" y="356425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FDBEC0D0-9A9B-4282-BE15-EA6A5291F34D}"/>
            </a:ext>
          </a:extLst>
        </xdr:cNvPr>
        <xdr:cNvSpPr txBox="1">
          <a:spLocks noChangeArrowheads="1"/>
        </xdr:cNvSpPr>
      </xdr:nvSpPr>
      <xdr:spPr bwMode="auto">
        <a:xfrm>
          <a:off x="5276850" y="411194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4AF33B92-339B-44F0-BC5C-FB1E1489F469}"/>
            </a:ext>
          </a:extLst>
        </xdr:cNvPr>
        <xdr:cNvSpPr txBox="1">
          <a:spLocks noChangeArrowheads="1"/>
        </xdr:cNvSpPr>
      </xdr:nvSpPr>
      <xdr:spPr bwMode="auto">
        <a:xfrm>
          <a:off x="17506949" y="413575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5</xdr:col>
      <xdr:colOff>104775</xdr:colOff>
      <xdr:row>134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0DE29A1A-246C-41CF-B70A-D52AF10F1E15}"/>
            </a:ext>
          </a:extLst>
        </xdr:cNvPr>
        <xdr:cNvSpPr txBox="1">
          <a:spLocks noChangeArrowheads="1"/>
        </xdr:cNvSpPr>
      </xdr:nvSpPr>
      <xdr:spPr bwMode="auto">
        <a:xfrm>
          <a:off x="1695450" y="408813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DF3423F9-EF0F-45CC-8CBF-E553918F68CF}"/>
            </a:ext>
          </a:extLst>
        </xdr:cNvPr>
        <xdr:cNvSpPr txBox="1">
          <a:spLocks noChangeArrowheads="1"/>
        </xdr:cNvSpPr>
      </xdr:nvSpPr>
      <xdr:spPr bwMode="auto">
        <a:xfrm>
          <a:off x="5276850" y="408813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AF3F9C0A-430E-47EE-BBD9-F9BF0DD584CD}"/>
            </a:ext>
          </a:extLst>
        </xdr:cNvPr>
        <xdr:cNvSpPr txBox="1">
          <a:spLocks noChangeArrowheads="1"/>
        </xdr:cNvSpPr>
      </xdr:nvSpPr>
      <xdr:spPr bwMode="auto">
        <a:xfrm>
          <a:off x="5276850" y="408813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CD5BC50A-E94F-4173-B6DD-1A2E25F75DF6}"/>
            </a:ext>
          </a:extLst>
        </xdr:cNvPr>
        <xdr:cNvSpPr txBox="1">
          <a:spLocks noChangeArrowheads="1"/>
        </xdr:cNvSpPr>
      </xdr:nvSpPr>
      <xdr:spPr bwMode="auto">
        <a:xfrm>
          <a:off x="17506949" y="413575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015A3A72-1DD1-4D20-8960-C5DBA7021FC9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50E76DE-F566-4F8D-926F-E93FC5717613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47CB00E1-9A8E-48BB-9378-630D5F00B151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BE209CEB-BF5D-4DE5-B3F5-99D103420042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19210EF2-A38A-4A14-97CF-DCEC64B04A96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9F74D621-1493-4BF4-81A0-2FAE2BC81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69029A8C-0F61-4BC9-B3B1-7FD43D63C10C}"/>
            </a:ext>
          </a:extLst>
        </xdr:cNvPr>
        <xdr:cNvSpPr txBox="1">
          <a:spLocks noChangeArrowheads="1"/>
        </xdr:cNvSpPr>
      </xdr:nvSpPr>
      <xdr:spPr bwMode="auto">
        <a:xfrm>
          <a:off x="6457950" y="16668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317C1854-1D2E-4622-AC57-DE7AF8E5EF88}"/>
            </a:ext>
          </a:extLst>
        </xdr:cNvPr>
        <xdr:cNvSpPr txBox="1">
          <a:spLocks noChangeArrowheads="1"/>
        </xdr:cNvSpPr>
      </xdr:nvSpPr>
      <xdr:spPr bwMode="auto">
        <a:xfrm>
          <a:off x="5895975" y="16668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F2154B4D-5B40-46A8-AA75-E139E9BA6D71}"/>
            </a:ext>
          </a:extLst>
        </xdr:cNvPr>
        <xdr:cNvSpPr txBox="1">
          <a:spLocks noChangeArrowheads="1"/>
        </xdr:cNvSpPr>
      </xdr:nvSpPr>
      <xdr:spPr bwMode="auto">
        <a:xfrm>
          <a:off x="6457950" y="19716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1D885EEB-77FE-41B9-8525-CA45B81BCE1E}"/>
            </a:ext>
          </a:extLst>
        </xdr:cNvPr>
        <xdr:cNvSpPr txBox="1">
          <a:spLocks noChangeArrowheads="1"/>
        </xdr:cNvSpPr>
      </xdr:nvSpPr>
      <xdr:spPr bwMode="auto">
        <a:xfrm>
          <a:off x="5895975" y="19716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517860DB-1764-489C-9053-B000FE456CA7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DB1F93F9-30A2-4E82-BF0A-A5C3C0BE7661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1DBF1BCC-E6D7-4962-BAD2-E61E8E089C5D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A0D9F636-6B2D-4A06-8793-88D6069C3783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22C37A78-2BD8-479A-AE3D-7A1E5BBFF2CF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8724065A-6BF5-4109-B8B7-EDDD4B5A1B34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3F39A714-82DB-44D4-947A-8B23F0D8B5CC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6B70240E-4977-4C4F-94AD-93D4B3467005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1450F594-9C0F-4AE2-B49D-CC955DA9328B}"/>
            </a:ext>
          </a:extLst>
        </xdr:cNvPr>
        <xdr:cNvSpPr txBox="1">
          <a:spLocks noChangeArrowheads="1"/>
        </xdr:cNvSpPr>
      </xdr:nvSpPr>
      <xdr:spPr bwMode="auto">
        <a:xfrm>
          <a:off x="5276850" y="380047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10086CDF-65E0-4F37-BE04-741A678ED694}"/>
            </a:ext>
          </a:extLst>
        </xdr:cNvPr>
        <xdr:cNvSpPr txBox="1">
          <a:spLocks noChangeArrowheads="1"/>
        </xdr:cNvSpPr>
      </xdr:nvSpPr>
      <xdr:spPr bwMode="auto">
        <a:xfrm>
          <a:off x="5276850" y="380047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6F0BF58F-9166-4036-BEC5-FA06A473916C}"/>
            </a:ext>
          </a:extLst>
        </xdr:cNvPr>
        <xdr:cNvSpPr txBox="1">
          <a:spLocks noChangeArrowheads="1"/>
        </xdr:cNvSpPr>
      </xdr:nvSpPr>
      <xdr:spPr bwMode="auto">
        <a:xfrm>
          <a:off x="6457950" y="16668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13C4644A-A25E-450D-AAF0-799DF3084593}"/>
            </a:ext>
          </a:extLst>
        </xdr:cNvPr>
        <xdr:cNvSpPr txBox="1">
          <a:spLocks noChangeArrowheads="1"/>
        </xdr:cNvSpPr>
      </xdr:nvSpPr>
      <xdr:spPr bwMode="auto">
        <a:xfrm>
          <a:off x="5895975" y="16668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A9AEDDAA-EB24-4D73-9862-54E3954E1A00}"/>
            </a:ext>
          </a:extLst>
        </xdr:cNvPr>
        <xdr:cNvSpPr txBox="1">
          <a:spLocks noChangeArrowheads="1"/>
        </xdr:cNvSpPr>
      </xdr:nvSpPr>
      <xdr:spPr bwMode="auto">
        <a:xfrm>
          <a:off x="6457950" y="19716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E178DAA8-4F5C-46E8-A8B4-CAD69C0ACA7F}"/>
            </a:ext>
          </a:extLst>
        </xdr:cNvPr>
        <xdr:cNvSpPr txBox="1">
          <a:spLocks noChangeArrowheads="1"/>
        </xdr:cNvSpPr>
      </xdr:nvSpPr>
      <xdr:spPr bwMode="auto">
        <a:xfrm>
          <a:off x="5895975" y="19716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594A7901-6E0E-4F36-95A6-4E7E0B71AA56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7D682C79-B58B-4532-9A0B-E739AE66AB70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BCCB3A77-6579-4E4E-8A0F-912C6CADDC4E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99F20B20-4799-4E80-8719-CFFB6474E273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AB3BB884-BBBD-429C-B977-CCEED6AECA97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7479E34B-313A-4540-9054-2D779EDB2564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0897095E-C49B-4B32-8CF9-8AC08C224FCB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2285FE36-1670-41A8-9F99-63B8FCB9B057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3D1E263A-92C8-48DB-BFDA-A792C80BF823}"/>
            </a:ext>
          </a:extLst>
        </xdr:cNvPr>
        <xdr:cNvSpPr txBox="1">
          <a:spLocks noChangeArrowheads="1"/>
        </xdr:cNvSpPr>
      </xdr:nvSpPr>
      <xdr:spPr bwMode="auto">
        <a:xfrm>
          <a:off x="1695450" y="4029075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E55B307D-B5C8-4488-8F51-8FEDB3FA0F0C}"/>
            </a:ext>
          </a:extLst>
        </xdr:cNvPr>
        <xdr:cNvSpPr txBox="1">
          <a:spLocks noChangeArrowheads="1"/>
        </xdr:cNvSpPr>
      </xdr:nvSpPr>
      <xdr:spPr bwMode="auto">
        <a:xfrm>
          <a:off x="5276850" y="402907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A7E10AE5-118F-43F9-9B21-4E09ECF506D3}"/>
            </a:ext>
          </a:extLst>
        </xdr:cNvPr>
        <xdr:cNvSpPr txBox="1">
          <a:spLocks noChangeArrowheads="1"/>
        </xdr:cNvSpPr>
      </xdr:nvSpPr>
      <xdr:spPr bwMode="auto">
        <a:xfrm>
          <a:off x="5276850" y="402907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DA501E21-2665-4585-B300-D2C7E3F2EA69}"/>
            </a:ext>
          </a:extLst>
        </xdr:cNvPr>
        <xdr:cNvSpPr txBox="1">
          <a:spLocks noChangeArrowheads="1"/>
        </xdr:cNvSpPr>
      </xdr:nvSpPr>
      <xdr:spPr bwMode="auto">
        <a:xfrm>
          <a:off x="1695450" y="4029075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38F411CB-4D6B-49FA-8950-6C7849F44466}"/>
            </a:ext>
          </a:extLst>
        </xdr:cNvPr>
        <xdr:cNvSpPr txBox="1">
          <a:spLocks noChangeArrowheads="1"/>
        </xdr:cNvSpPr>
      </xdr:nvSpPr>
      <xdr:spPr bwMode="auto">
        <a:xfrm>
          <a:off x="5276850" y="402907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83E3ACA3-68D0-45F3-A814-71F8B64D6CA9}"/>
            </a:ext>
          </a:extLst>
        </xdr:cNvPr>
        <xdr:cNvSpPr txBox="1">
          <a:spLocks noChangeArrowheads="1"/>
        </xdr:cNvSpPr>
      </xdr:nvSpPr>
      <xdr:spPr bwMode="auto">
        <a:xfrm>
          <a:off x="5276850" y="402907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7A056915-084C-46C6-82B5-CB01933833FA}"/>
            </a:ext>
          </a:extLst>
        </xdr:cNvPr>
        <xdr:cNvSpPr txBox="1">
          <a:spLocks noChangeArrowheads="1"/>
        </xdr:cNvSpPr>
      </xdr:nvSpPr>
      <xdr:spPr bwMode="auto">
        <a:xfrm>
          <a:off x="5276850" y="402907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AA7B0AA1-777E-48C1-8994-DB9633EF90CA}"/>
            </a:ext>
          </a:extLst>
        </xdr:cNvPr>
        <xdr:cNvSpPr txBox="1">
          <a:spLocks noChangeArrowheads="1"/>
        </xdr:cNvSpPr>
      </xdr:nvSpPr>
      <xdr:spPr bwMode="auto">
        <a:xfrm>
          <a:off x="5276850" y="402907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FFD4238E-6B95-440B-8B44-BB0607A24702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754C2B2F-BAEE-4C4B-B034-264AEF835D09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9B944569-E6F4-49EE-99E8-58D20EE7F6D2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56F2E1B1-B273-4CDF-A7F1-B9E07A7C9AB5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93B817DC-1C75-42DC-9EC5-920C6D7525E8}"/>
            </a:ext>
          </a:extLst>
        </xdr:cNvPr>
        <xdr:cNvSpPr txBox="1">
          <a:spLocks noChangeArrowheads="1"/>
        </xdr:cNvSpPr>
      </xdr:nvSpPr>
      <xdr:spPr bwMode="auto">
        <a:xfrm>
          <a:off x="1695450" y="4257675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FC3C2FCC-5E1F-4914-9D49-503BBE79C187}"/>
            </a:ext>
          </a:extLst>
        </xdr:cNvPr>
        <xdr:cNvSpPr txBox="1">
          <a:spLocks noChangeArrowheads="1"/>
        </xdr:cNvSpPr>
      </xdr:nvSpPr>
      <xdr:spPr bwMode="auto">
        <a:xfrm>
          <a:off x="5276850" y="425767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D5C90FDB-7930-4773-8F6A-2EBCC2DC2E23}"/>
            </a:ext>
          </a:extLst>
        </xdr:cNvPr>
        <xdr:cNvSpPr txBox="1">
          <a:spLocks noChangeArrowheads="1"/>
        </xdr:cNvSpPr>
      </xdr:nvSpPr>
      <xdr:spPr bwMode="auto">
        <a:xfrm>
          <a:off x="5276850" y="425767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D1A218DE-993D-4FC6-8921-99860BFE892F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9426AF55-D11A-4F93-8B1A-D8E0E55D5A67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D4CF88EF-B25E-4662-878E-8B2C14EBDFC3}"/>
            </a:ext>
          </a:extLst>
        </xdr:cNvPr>
        <xdr:cNvSpPr txBox="1">
          <a:spLocks noChangeArrowheads="1"/>
        </xdr:cNvSpPr>
      </xdr:nvSpPr>
      <xdr:spPr bwMode="auto">
        <a:xfrm>
          <a:off x="6457950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789BEB95-E334-4666-843C-D28EF9B39603}"/>
            </a:ext>
          </a:extLst>
        </xdr:cNvPr>
        <xdr:cNvSpPr txBox="1">
          <a:spLocks noChangeArrowheads="1"/>
        </xdr:cNvSpPr>
      </xdr:nvSpPr>
      <xdr:spPr bwMode="auto">
        <a:xfrm>
          <a:off x="5895975" y="28860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9B398968-319C-4BCC-8364-C3E428D27F85}"/>
            </a:ext>
          </a:extLst>
        </xdr:cNvPr>
        <xdr:cNvSpPr txBox="1">
          <a:spLocks noChangeArrowheads="1"/>
        </xdr:cNvSpPr>
      </xdr:nvSpPr>
      <xdr:spPr bwMode="auto">
        <a:xfrm>
          <a:off x="5276850" y="4495800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F8C7C28D-C406-4F54-BEB4-FA8E6B4BDA2F}"/>
            </a:ext>
          </a:extLst>
        </xdr:cNvPr>
        <xdr:cNvSpPr txBox="1">
          <a:spLocks noChangeArrowheads="1"/>
        </xdr:cNvSpPr>
      </xdr:nvSpPr>
      <xdr:spPr bwMode="auto">
        <a:xfrm>
          <a:off x="17506949" y="473392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775EAED0-FBA8-41B2-AABD-661D015D3080}"/>
            </a:ext>
          </a:extLst>
        </xdr:cNvPr>
        <xdr:cNvSpPr txBox="1">
          <a:spLocks noChangeArrowheads="1"/>
        </xdr:cNvSpPr>
      </xdr:nvSpPr>
      <xdr:spPr bwMode="auto">
        <a:xfrm>
          <a:off x="1695450" y="4257675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E702C508-7426-424E-A344-BABB6A30FD30}"/>
            </a:ext>
          </a:extLst>
        </xdr:cNvPr>
        <xdr:cNvSpPr txBox="1">
          <a:spLocks noChangeArrowheads="1"/>
        </xdr:cNvSpPr>
      </xdr:nvSpPr>
      <xdr:spPr bwMode="auto">
        <a:xfrm>
          <a:off x="5276850" y="425767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B784F79B-3117-4B9A-A4DE-624527A8EF75}"/>
            </a:ext>
          </a:extLst>
        </xdr:cNvPr>
        <xdr:cNvSpPr txBox="1">
          <a:spLocks noChangeArrowheads="1"/>
        </xdr:cNvSpPr>
      </xdr:nvSpPr>
      <xdr:spPr bwMode="auto">
        <a:xfrm>
          <a:off x="5276850" y="425767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C177A165-09AA-46A4-8889-05CB67746B5B}"/>
            </a:ext>
          </a:extLst>
        </xdr:cNvPr>
        <xdr:cNvSpPr txBox="1">
          <a:spLocks noChangeArrowheads="1"/>
        </xdr:cNvSpPr>
      </xdr:nvSpPr>
      <xdr:spPr bwMode="auto">
        <a:xfrm>
          <a:off x="17506949" y="473392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025FF529-D806-4E37-BF67-1296A84498EB}"/>
            </a:ext>
          </a:extLst>
        </xdr:cNvPr>
        <xdr:cNvSpPr txBox="1">
          <a:spLocks noChangeArrowheads="1"/>
        </xdr:cNvSpPr>
      </xdr:nvSpPr>
      <xdr:spPr bwMode="auto">
        <a:xfrm>
          <a:off x="5276850" y="10210800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509F0CAD-B895-46D2-85AA-A55DA6F62067}"/>
            </a:ext>
          </a:extLst>
        </xdr:cNvPr>
        <xdr:cNvSpPr txBox="1">
          <a:spLocks noChangeArrowheads="1"/>
        </xdr:cNvSpPr>
      </xdr:nvSpPr>
      <xdr:spPr bwMode="auto">
        <a:xfrm>
          <a:off x="17506949" y="1044892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5</xdr:col>
      <xdr:colOff>104775</xdr:colOff>
      <xdr:row>134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F2339BE6-02E0-4EC0-B463-D68F7BF1260E}"/>
            </a:ext>
          </a:extLst>
        </xdr:cNvPr>
        <xdr:cNvSpPr txBox="1">
          <a:spLocks noChangeArrowheads="1"/>
        </xdr:cNvSpPr>
      </xdr:nvSpPr>
      <xdr:spPr bwMode="auto">
        <a:xfrm>
          <a:off x="1695450" y="9972675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69FBEE32-2C07-40EE-B1C6-98EFC668FAB1}"/>
            </a:ext>
          </a:extLst>
        </xdr:cNvPr>
        <xdr:cNvSpPr txBox="1">
          <a:spLocks noChangeArrowheads="1"/>
        </xdr:cNvSpPr>
      </xdr:nvSpPr>
      <xdr:spPr bwMode="auto">
        <a:xfrm>
          <a:off x="5276850" y="997267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9C17B7F7-F63F-49A5-B916-9588C9CFCC7D}"/>
            </a:ext>
          </a:extLst>
        </xdr:cNvPr>
        <xdr:cNvSpPr txBox="1">
          <a:spLocks noChangeArrowheads="1"/>
        </xdr:cNvSpPr>
      </xdr:nvSpPr>
      <xdr:spPr bwMode="auto">
        <a:xfrm>
          <a:off x="5276850" y="997267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4528D076-F70A-4013-995B-6CFFB1BC8128}"/>
            </a:ext>
          </a:extLst>
        </xdr:cNvPr>
        <xdr:cNvSpPr txBox="1">
          <a:spLocks noChangeArrowheads="1"/>
        </xdr:cNvSpPr>
      </xdr:nvSpPr>
      <xdr:spPr bwMode="auto">
        <a:xfrm>
          <a:off x="17506949" y="1044892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5B22AE66-FFFE-468D-B917-1F024E8C2D70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3F717EC-D163-47D3-A918-3D662BEC7138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AEE8FE7F-C7D8-40E6-BEE2-A8CD32D94D73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84E3A19B-E3B0-4F90-8E36-9AD93F1C9F40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1790A8-BFD4-4AD4-BA34-0535BE8CA0CB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4405E031-0147-486A-BFDE-569E06D9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27EBB4BC-FD92-484F-8236-357ED6FFC504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074E4C6A-3A14-4F0C-912F-67C478BA8843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BFE9052C-195D-4A5B-9AFD-8EB87B69CEBC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0002B450-AAFD-4A64-BFC5-9D0EAACBC39C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ED1482C9-F6FC-44CB-A285-E78CEEAB01ED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8D1C5622-1D0E-4F7C-9FAA-322C9B353B4F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0BABBD8C-EA58-437A-B4E5-DAE6DF65090C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0440EE90-7CF9-4190-9FAA-0B63954273C4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FDE06B38-1786-4C94-B135-6515ED40484E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36BC1BCF-C407-44E8-9CF6-A7C249D6D31C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1F3A3FB9-3E41-4F99-A9FC-FCC187163A77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146E91AC-4FC4-426F-A880-4672C904D071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0B9B9763-62B6-4DE3-BE54-73121718F9FA}"/>
            </a:ext>
          </a:extLst>
        </xdr:cNvPr>
        <xdr:cNvSpPr txBox="1">
          <a:spLocks noChangeArrowheads="1"/>
        </xdr:cNvSpPr>
      </xdr:nvSpPr>
      <xdr:spPr bwMode="auto">
        <a:xfrm>
          <a:off x="52768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524DDA88-5566-4283-8AB4-11F7478C58F7}"/>
            </a:ext>
          </a:extLst>
        </xdr:cNvPr>
        <xdr:cNvSpPr txBox="1">
          <a:spLocks noChangeArrowheads="1"/>
        </xdr:cNvSpPr>
      </xdr:nvSpPr>
      <xdr:spPr bwMode="auto">
        <a:xfrm>
          <a:off x="52768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F0C31249-57DD-4993-A2C7-628C4CE61708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CA5930E5-B152-4993-B089-1936E042577D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B454A55B-1074-4531-A733-A5827AC95B4D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C1421CE6-9F45-4464-ABD7-4944631A8F99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7B06148F-E398-4E84-A8CB-BD17A65D6283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A04C7F23-0022-4C27-B8DB-1F306373A26C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AA671B70-8CBE-4A82-8D3C-35FB146D5AE1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4335FE82-9FA7-40D4-BBBC-2F8529B945BC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F5EEAD9B-E3B1-4D0A-BDFA-ECCAE0856FF2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F6EB04C8-F6D5-4763-9C90-79083085FE9C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CB23DA86-04BD-442A-8011-38B5C782DD34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EB384520-C741-4B2E-BBE4-FB5F24790D79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01CD62D2-3AF4-4313-9A5B-81DA737204A0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28EE22D9-A2A6-4CD0-84A9-32DB51A96EC8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733B0155-CF88-4753-B27D-685044EE2A04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28EFFF04-B91B-4CCB-8466-D1D889D9B0FA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025A7338-AD5E-4170-933B-C4D3655039B1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44A12564-ED51-4464-960A-AE6D585E1A01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5EFBED77-BBA3-4C3F-9B55-9A2E88589DAF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23AFA5D9-9FCF-4D22-8978-C64470F3FB44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EC560301-CA6B-46C8-A181-F8C0A523F705}"/>
            </a:ext>
          </a:extLst>
        </xdr:cNvPr>
        <xdr:cNvSpPr txBox="1">
          <a:spLocks noChangeArrowheads="1"/>
        </xdr:cNvSpPr>
      </xdr:nvSpPr>
      <xdr:spPr bwMode="auto">
        <a:xfrm>
          <a:off x="64579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6AE888F9-C306-4520-AD04-13214D0A762B}"/>
            </a:ext>
          </a:extLst>
        </xdr:cNvPr>
        <xdr:cNvSpPr txBox="1">
          <a:spLocks noChangeArrowheads="1"/>
        </xdr:cNvSpPr>
      </xdr:nvSpPr>
      <xdr:spPr bwMode="auto">
        <a:xfrm>
          <a:off x="58959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C2F2C51C-043D-4C79-98FD-A195F438B76B}"/>
            </a:ext>
          </a:extLst>
        </xdr:cNvPr>
        <xdr:cNvSpPr txBox="1">
          <a:spLocks noChangeArrowheads="1"/>
        </xdr:cNvSpPr>
      </xdr:nvSpPr>
      <xdr:spPr bwMode="auto">
        <a:xfrm>
          <a:off x="64579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7D4694A1-AC09-451A-89BB-8CCDA1A2B44C}"/>
            </a:ext>
          </a:extLst>
        </xdr:cNvPr>
        <xdr:cNvSpPr txBox="1">
          <a:spLocks noChangeArrowheads="1"/>
        </xdr:cNvSpPr>
      </xdr:nvSpPr>
      <xdr:spPr bwMode="auto">
        <a:xfrm>
          <a:off x="58959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87C75241-858E-4917-AC3D-27F716CB43B4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D24F72D7-20F2-434C-889D-87BD39BF284D}"/>
            </a:ext>
          </a:extLst>
        </xdr:cNvPr>
        <xdr:cNvSpPr txBox="1">
          <a:spLocks noChangeArrowheads="1"/>
        </xdr:cNvSpPr>
      </xdr:nvSpPr>
      <xdr:spPr bwMode="auto">
        <a:xfrm>
          <a:off x="52768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88D279AA-501F-4DFF-951C-4A173C37EBA3}"/>
            </a:ext>
          </a:extLst>
        </xdr:cNvPr>
        <xdr:cNvSpPr txBox="1">
          <a:spLocks noChangeArrowheads="1"/>
        </xdr:cNvSpPr>
      </xdr:nvSpPr>
      <xdr:spPr bwMode="auto">
        <a:xfrm>
          <a:off x="52768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C5B558DC-55BC-46DA-8CBF-CF8419DEC714}"/>
            </a:ext>
          </a:extLst>
        </xdr:cNvPr>
        <xdr:cNvSpPr txBox="1">
          <a:spLocks noChangeArrowheads="1"/>
        </xdr:cNvSpPr>
      </xdr:nvSpPr>
      <xdr:spPr bwMode="auto">
        <a:xfrm>
          <a:off x="64579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C22B8286-4E7D-49A6-B8FA-6C0AE6F9F018}"/>
            </a:ext>
          </a:extLst>
        </xdr:cNvPr>
        <xdr:cNvSpPr txBox="1">
          <a:spLocks noChangeArrowheads="1"/>
        </xdr:cNvSpPr>
      </xdr:nvSpPr>
      <xdr:spPr bwMode="auto">
        <a:xfrm>
          <a:off x="58959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40FC3284-E235-43CC-B782-C984D90935D1}"/>
            </a:ext>
          </a:extLst>
        </xdr:cNvPr>
        <xdr:cNvSpPr txBox="1">
          <a:spLocks noChangeArrowheads="1"/>
        </xdr:cNvSpPr>
      </xdr:nvSpPr>
      <xdr:spPr bwMode="auto">
        <a:xfrm>
          <a:off x="64579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A8A59DC8-6BD7-48BA-8006-CCF297752E4D}"/>
            </a:ext>
          </a:extLst>
        </xdr:cNvPr>
        <xdr:cNvSpPr txBox="1">
          <a:spLocks noChangeArrowheads="1"/>
        </xdr:cNvSpPr>
      </xdr:nvSpPr>
      <xdr:spPr bwMode="auto">
        <a:xfrm>
          <a:off x="58959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D5902E8D-A388-48CE-BEE1-17874990854D}"/>
            </a:ext>
          </a:extLst>
        </xdr:cNvPr>
        <xdr:cNvSpPr txBox="1">
          <a:spLocks noChangeArrowheads="1"/>
        </xdr:cNvSpPr>
      </xdr:nvSpPr>
      <xdr:spPr bwMode="auto">
        <a:xfrm>
          <a:off x="5276850" y="35833050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D9333ABB-949E-4E6B-86CD-93799652BEE4}"/>
            </a:ext>
          </a:extLst>
        </xdr:cNvPr>
        <xdr:cNvSpPr txBox="1">
          <a:spLocks noChangeArrowheads="1"/>
        </xdr:cNvSpPr>
      </xdr:nvSpPr>
      <xdr:spPr bwMode="auto">
        <a:xfrm>
          <a:off x="175069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ABCD5C78-E87D-479C-8FF6-6EB0AD8B6866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736FDC62-384C-4CB4-B90A-7E284D77EE27}"/>
            </a:ext>
          </a:extLst>
        </xdr:cNvPr>
        <xdr:cNvSpPr txBox="1">
          <a:spLocks noChangeArrowheads="1"/>
        </xdr:cNvSpPr>
      </xdr:nvSpPr>
      <xdr:spPr bwMode="auto">
        <a:xfrm>
          <a:off x="52768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C7D31CE5-82E9-4AD3-9C19-A85C6930A060}"/>
            </a:ext>
          </a:extLst>
        </xdr:cNvPr>
        <xdr:cNvSpPr txBox="1">
          <a:spLocks noChangeArrowheads="1"/>
        </xdr:cNvSpPr>
      </xdr:nvSpPr>
      <xdr:spPr bwMode="auto">
        <a:xfrm>
          <a:off x="52768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9D15A2A8-B705-495C-ACDC-657ACC6F856F}"/>
            </a:ext>
          </a:extLst>
        </xdr:cNvPr>
        <xdr:cNvSpPr txBox="1">
          <a:spLocks noChangeArrowheads="1"/>
        </xdr:cNvSpPr>
      </xdr:nvSpPr>
      <xdr:spPr bwMode="auto">
        <a:xfrm>
          <a:off x="175069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5B0FFC66-1C60-4A4D-9AE4-398A63AD943D}"/>
            </a:ext>
          </a:extLst>
        </xdr:cNvPr>
        <xdr:cNvSpPr txBox="1">
          <a:spLocks noChangeArrowheads="1"/>
        </xdr:cNvSpPr>
      </xdr:nvSpPr>
      <xdr:spPr bwMode="auto">
        <a:xfrm>
          <a:off x="5276850" y="41548050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D8EA34F1-E98C-476D-9773-E834FCF25BCE}"/>
            </a:ext>
          </a:extLst>
        </xdr:cNvPr>
        <xdr:cNvSpPr txBox="1">
          <a:spLocks noChangeArrowheads="1"/>
        </xdr:cNvSpPr>
      </xdr:nvSpPr>
      <xdr:spPr bwMode="auto">
        <a:xfrm>
          <a:off x="17506949" y="41786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5</xdr:col>
      <xdr:colOff>104775</xdr:colOff>
      <xdr:row>134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DAF0159D-53C2-4B40-8342-A482BC8CAB42}"/>
            </a:ext>
          </a:extLst>
        </xdr:cNvPr>
        <xdr:cNvSpPr txBox="1">
          <a:spLocks noChangeArrowheads="1"/>
        </xdr:cNvSpPr>
      </xdr:nvSpPr>
      <xdr:spPr bwMode="auto">
        <a:xfrm>
          <a:off x="1695450" y="41309925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7ACF67BF-AA5B-4773-A6E4-8D946BF928DC}"/>
            </a:ext>
          </a:extLst>
        </xdr:cNvPr>
        <xdr:cNvSpPr txBox="1">
          <a:spLocks noChangeArrowheads="1"/>
        </xdr:cNvSpPr>
      </xdr:nvSpPr>
      <xdr:spPr bwMode="auto">
        <a:xfrm>
          <a:off x="5276850" y="41309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228703A8-90D2-41F8-840E-91DE1F3E9DC8}"/>
            </a:ext>
          </a:extLst>
        </xdr:cNvPr>
        <xdr:cNvSpPr txBox="1">
          <a:spLocks noChangeArrowheads="1"/>
        </xdr:cNvSpPr>
      </xdr:nvSpPr>
      <xdr:spPr bwMode="auto">
        <a:xfrm>
          <a:off x="5276850" y="41309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D3DE7F07-C3AC-4C92-BBBA-D0AA61FBD676}"/>
            </a:ext>
          </a:extLst>
        </xdr:cNvPr>
        <xdr:cNvSpPr txBox="1">
          <a:spLocks noChangeArrowheads="1"/>
        </xdr:cNvSpPr>
      </xdr:nvSpPr>
      <xdr:spPr bwMode="auto">
        <a:xfrm>
          <a:off x="17506949" y="41786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DC4D7834-D948-4DE6-B170-51EE3046FB32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34BE1C0-A7BA-48E2-93C2-4F57343A1475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F080C4A9-725E-41AE-BB03-FBCACA2FF832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2CFF08DE-EA80-4092-ABCC-877C950B52DB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FF72C1D0-06EC-45A1-9FAC-DD29EAB39851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50877614-E9E5-4C66-BC92-D1B139F41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8C034F9F-FD88-4E96-AA15-03A6C849F074}"/>
            </a:ext>
          </a:extLst>
        </xdr:cNvPr>
        <xdr:cNvSpPr txBox="1">
          <a:spLocks noChangeArrowheads="1"/>
        </xdr:cNvSpPr>
      </xdr:nvSpPr>
      <xdr:spPr bwMode="auto">
        <a:xfrm>
          <a:off x="6457950" y="2619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D6ECCFE4-9E6D-4917-BA75-23749C1A92C7}"/>
            </a:ext>
          </a:extLst>
        </xdr:cNvPr>
        <xdr:cNvSpPr txBox="1">
          <a:spLocks noChangeArrowheads="1"/>
        </xdr:cNvSpPr>
      </xdr:nvSpPr>
      <xdr:spPr bwMode="auto">
        <a:xfrm>
          <a:off x="5895975" y="2619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DB44D997-300B-45D6-BB39-27E06B3E0D0F}"/>
            </a:ext>
          </a:extLst>
        </xdr:cNvPr>
        <xdr:cNvSpPr txBox="1">
          <a:spLocks noChangeArrowheads="1"/>
        </xdr:cNvSpPr>
      </xdr:nvSpPr>
      <xdr:spPr bwMode="auto">
        <a:xfrm>
          <a:off x="6457950" y="9239250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75007D0E-839A-4EE0-B34D-D66FCA65DAC1}"/>
            </a:ext>
          </a:extLst>
        </xdr:cNvPr>
        <xdr:cNvSpPr txBox="1">
          <a:spLocks noChangeArrowheads="1"/>
        </xdr:cNvSpPr>
      </xdr:nvSpPr>
      <xdr:spPr bwMode="auto">
        <a:xfrm>
          <a:off x="5895975" y="9239250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86C9FBD2-6108-4095-B8FA-C7987047A39F}"/>
            </a:ext>
          </a:extLst>
        </xdr:cNvPr>
        <xdr:cNvSpPr txBox="1">
          <a:spLocks noChangeArrowheads="1"/>
        </xdr:cNvSpPr>
      </xdr:nvSpPr>
      <xdr:spPr bwMode="auto">
        <a:xfrm>
          <a:off x="6457950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3D8019EE-D4C6-4E5D-9876-6412BF39C367}"/>
            </a:ext>
          </a:extLst>
        </xdr:cNvPr>
        <xdr:cNvSpPr txBox="1">
          <a:spLocks noChangeArrowheads="1"/>
        </xdr:cNvSpPr>
      </xdr:nvSpPr>
      <xdr:spPr bwMode="auto">
        <a:xfrm>
          <a:off x="5895975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B53B1431-2312-437C-8ED2-C706A91D99C1}"/>
            </a:ext>
          </a:extLst>
        </xdr:cNvPr>
        <xdr:cNvSpPr txBox="1">
          <a:spLocks noChangeArrowheads="1"/>
        </xdr:cNvSpPr>
      </xdr:nvSpPr>
      <xdr:spPr bwMode="auto">
        <a:xfrm>
          <a:off x="6457950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816B6855-D575-4BAE-A6C7-AEAEE185EB97}"/>
            </a:ext>
          </a:extLst>
        </xdr:cNvPr>
        <xdr:cNvSpPr txBox="1">
          <a:spLocks noChangeArrowheads="1"/>
        </xdr:cNvSpPr>
      </xdr:nvSpPr>
      <xdr:spPr bwMode="auto">
        <a:xfrm>
          <a:off x="5895975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18EBD68F-B399-423C-9B54-B83E94B4D702}"/>
            </a:ext>
          </a:extLst>
        </xdr:cNvPr>
        <xdr:cNvSpPr txBox="1">
          <a:spLocks noChangeArrowheads="1"/>
        </xdr:cNvSpPr>
      </xdr:nvSpPr>
      <xdr:spPr bwMode="auto">
        <a:xfrm>
          <a:off x="6457950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78BF5967-7DA2-48BE-9EA8-D5D336DD2BBB}"/>
            </a:ext>
          </a:extLst>
        </xdr:cNvPr>
        <xdr:cNvSpPr txBox="1">
          <a:spLocks noChangeArrowheads="1"/>
        </xdr:cNvSpPr>
      </xdr:nvSpPr>
      <xdr:spPr bwMode="auto">
        <a:xfrm>
          <a:off x="5895975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AA5BA41B-255D-4AD1-B011-2B19A2D876ED}"/>
            </a:ext>
          </a:extLst>
        </xdr:cNvPr>
        <xdr:cNvSpPr txBox="1">
          <a:spLocks noChangeArrowheads="1"/>
        </xdr:cNvSpPr>
      </xdr:nvSpPr>
      <xdr:spPr bwMode="auto">
        <a:xfrm>
          <a:off x="6457950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7CC6D105-1B8E-4247-BBE7-C30A50139441}"/>
            </a:ext>
          </a:extLst>
        </xdr:cNvPr>
        <xdr:cNvSpPr txBox="1">
          <a:spLocks noChangeArrowheads="1"/>
        </xdr:cNvSpPr>
      </xdr:nvSpPr>
      <xdr:spPr bwMode="auto">
        <a:xfrm>
          <a:off x="5895975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2690841A-4E1F-49A8-96A0-7B26503A6902}"/>
            </a:ext>
          </a:extLst>
        </xdr:cNvPr>
        <xdr:cNvSpPr txBox="1">
          <a:spLocks noChangeArrowheads="1"/>
        </xdr:cNvSpPr>
      </xdr:nvSpPr>
      <xdr:spPr bwMode="auto">
        <a:xfrm>
          <a:off x="5276850" y="211455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BC332D72-F137-48CE-A533-E8F32A1D646E}"/>
            </a:ext>
          </a:extLst>
        </xdr:cNvPr>
        <xdr:cNvSpPr txBox="1">
          <a:spLocks noChangeArrowheads="1"/>
        </xdr:cNvSpPr>
      </xdr:nvSpPr>
      <xdr:spPr bwMode="auto">
        <a:xfrm>
          <a:off x="5276850" y="211455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7615F0C6-BF9E-45B9-895F-96AE39CA7E3B}"/>
            </a:ext>
          </a:extLst>
        </xdr:cNvPr>
        <xdr:cNvSpPr txBox="1">
          <a:spLocks noChangeArrowheads="1"/>
        </xdr:cNvSpPr>
      </xdr:nvSpPr>
      <xdr:spPr bwMode="auto">
        <a:xfrm>
          <a:off x="6457950" y="2619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08AD7304-242F-451E-A9A6-03BADD558665}"/>
            </a:ext>
          </a:extLst>
        </xdr:cNvPr>
        <xdr:cNvSpPr txBox="1">
          <a:spLocks noChangeArrowheads="1"/>
        </xdr:cNvSpPr>
      </xdr:nvSpPr>
      <xdr:spPr bwMode="auto">
        <a:xfrm>
          <a:off x="5895975" y="2619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537D8B11-0A6B-45AD-B5A3-8E0E5959AF4C}"/>
            </a:ext>
          </a:extLst>
        </xdr:cNvPr>
        <xdr:cNvSpPr txBox="1">
          <a:spLocks noChangeArrowheads="1"/>
        </xdr:cNvSpPr>
      </xdr:nvSpPr>
      <xdr:spPr bwMode="auto">
        <a:xfrm>
          <a:off x="6457950" y="9239250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90459079-1FE5-4BC0-834D-4DB06D279116}"/>
            </a:ext>
          </a:extLst>
        </xdr:cNvPr>
        <xdr:cNvSpPr txBox="1">
          <a:spLocks noChangeArrowheads="1"/>
        </xdr:cNvSpPr>
      </xdr:nvSpPr>
      <xdr:spPr bwMode="auto">
        <a:xfrm>
          <a:off x="5895975" y="9239250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19B7E1BD-FCB0-4418-A3DE-0218467004C1}"/>
            </a:ext>
          </a:extLst>
        </xdr:cNvPr>
        <xdr:cNvSpPr txBox="1">
          <a:spLocks noChangeArrowheads="1"/>
        </xdr:cNvSpPr>
      </xdr:nvSpPr>
      <xdr:spPr bwMode="auto">
        <a:xfrm>
          <a:off x="6457950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73DDF4B2-8045-4298-822E-D2B069F4DDAF}"/>
            </a:ext>
          </a:extLst>
        </xdr:cNvPr>
        <xdr:cNvSpPr txBox="1">
          <a:spLocks noChangeArrowheads="1"/>
        </xdr:cNvSpPr>
      </xdr:nvSpPr>
      <xdr:spPr bwMode="auto">
        <a:xfrm>
          <a:off x="5895975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3A2155A8-E0A9-42CD-9537-BBA502442AA0}"/>
            </a:ext>
          </a:extLst>
        </xdr:cNvPr>
        <xdr:cNvSpPr txBox="1">
          <a:spLocks noChangeArrowheads="1"/>
        </xdr:cNvSpPr>
      </xdr:nvSpPr>
      <xdr:spPr bwMode="auto">
        <a:xfrm>
          <a:off x="6457950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86BC08F1-908E-45C2-A971-09AD943C5313}"/>
            </a:ext>
          </a:extLst>
        </xdr:cNvPr>
        <xdr:cNvSpPr txBox="1">
          <a:spLocks noChangeArrowheads="1"/>
        </xdr:cNvSpPr>
      </xdr:nvSpPr>
      <xdr:spPr bwMode="auto">
        <a:xfrm>
          <a:off x="5895975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B50CB4CB-B332-4648-BCFC-41E71BBFBF77}"/>
            </a:ext>
          </a:extLst>
        </xdr:cNvPr>
        <xdr:cNvSpPr txBox="1">
          <a:spLocks noChangeArrowheads="1"/>
        </xdr:cNvSpPr>
      </xdr:nvSpPr>
      <xdr:spPr bwMode="auto">
        <a:xfrm>
          <a:off x="6457950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AF9B52F1-6172-4B66-B767-4F11EE0BDEBC}"/>
            </a:ext>
          </a:extLst>
        </xdr:cNvPr>
        <xdr:cNvSpPr txBox="1">
          <a:spLocks noChangeArrowheads="1"/>
        </xdr:cNvSpPr>
      </xdr:nvSpPr>
      <xdr:spPr bwMode="auto">
        <a:xfrm>
          <a:off x="5895975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93C159A1-7270-4F1E-8139-46D46D5E8ED2}"/>
            </a:ext>
          </a:extLst>
        </xdr:cNvPr>
        <xdr:cNvSpPr txBox="1">
          <a:spLocks noChangeArrowheads="1"/>
        </xdr:cNvSpPr>
      </xdr:nvSpPr>
      <xdr:spPr bwMode="auto">
        <a:xfrm>
          <a:off x="6457950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CEA70FC3-C313-47E4-A8EC-36F69377845B}"/>
            </a:ext>
          </a:extLst>
        </xdr:cNvPr>
        <xdr:cNvSpPr txBox="1">
          <a:spLocks noChangeArrowheads="1"/>
        </xdr:cNvSpPr>
      </xdr:nvSpPr>
      <xdr:spPr bwMode="auto">
        <a:xfrm>
          <a:off x="5895975" y="150495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AEB93F14-D926-4834-9F94-404937FC3484}"/>
            </a:ext>
          </a:extLst>
        </xdr:cNvPr>
        <xdr:cNvSpPr txBox="1">
          <a:spLocks noChangeArrowheads="1"/>
        </xdr:cNvSpPr>
      </xdr:nvSpPr>
      <xdr:spPr bwMode="auto">
        <a:xfrm>
          <a:off x="1695450" y="213741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3061AB92-F6A0-443C-A111-CCD086700789}"/>
            </a:ext>
          </a:extLst>
        </xdr:cNvPr>
        <xdr:cNvSpPr txBox="1">
          <a:spLocks noChangeArrowheads="1"/>
        </xdr:cNvSpPr>
      </xdr:nvSpPr>
      <xdr:spPr bwMode="auto">
        <a:xfrm>
          <a:off x="5276850" y="213741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57219197-6691-4078-ADBA-9A7F293879B9}"/>
            </a:ext>
          </a:extLst>
        </xdr:cNvPr>
        <xdr:cNvSpPr txBox="1">
          <a:spLocks noChangeArrowheads="1"/>
        </xdr:cNvSpPr>
      </xdr:nvSpPr>
      <xdr:spPr bwMode="auto">
        <a:xfrm>
          <a:off x="5276850" y="213741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9258A068-8C01-4D3F-A702-CC1BEA9BB17C}"/>
            </a:ext>
          </a:extLst>
        </xdr:cNvPr>
        <xdr:cNvSpPr txBox="1">
          <a:spLocks noChangeArrowheads="1"/>
        </xdr:cNvSpPr>
      </xdr:nvSpPr>
      <xdr:spPr bwMode="auto">
        <a:xfrm>
          <a:off x="1695450" y="21374100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8773539E-A0F2-4C72-B1D1-976591565C40}"/>
            </a:ext>
          </a:extLst>
        </xdr:cNvPr>
        <xdr:cNvSpPr txBox="1">
          <a:spLocks noChangeArrowheads="1"/>
        </xdr:cNvSpPr>
      </xdr:nvSpPr>
      <xdr:spPr bwMode="auto">
        <a:xfrm>
          <a:off x="5276850" y="213741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C78D76F7-1283-406B-8390-AC7CF2D9705C}"/>
            </a:ext>
          </a:extLst>
        </xdr:cNvPr>
        <xdr:cNvSpPr txBox="1">
          <a:spLocks noChangeArrowheads="1"/>
        </xdr:cNvSpPr>
      </xdr:nvSpPr>
      <xdr:spPr bwMode="auto">
        <a:xfrm>
          <a:off x="5276850" y="213741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3EF93BEC-8B8A-4F87-B8DE-17B2DE9377DB}"/>
            </a:ext>
          </a:extLst>
        </xdr:cNvPr>
        <xdr:cNvSpPr txBox="1">
          <a:spLocks noChangeArrowheads="1"/>
        </xdr:cNvSpPr>
      </xdr:nvSpPr>
      <xdr:spPr bwMode="auto">
        <a:xfrm>
          <a:off x="5276850" y="213741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5EBF6716-92D2-4365-A87D-E272D4517692}"/>
            </a:ext>
          </a:extLst>
        </xdr:cNvPr>
        <xdr:cNvSpPr txBox="1">
          <a:spLocks noChangeArrowheads="1"/>
        </xdr:cNvSpPr>
      </xdr:nvSpPr>
      <xdr:spPr bwMode="auto">
        <a:xfrm>
          <a:off x="5276850" y="21374100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35C274C2-F0D5-4DAD-996F-D0AB1B9F5356}"/>
            </a:ext>
          </a:extLst>
        </xdr:cNvPr>
        <xdr:cNvSpPr txBox="1">
          <a:spLocks noChangeArrowheads="1"/>
        </xdr:cNvSpPr>
      </xdr:nvSpPr>
      <xdr:spPr bwMode="auto">
        <a:xfrm>
          <a:off x="6457950" y="14744700"/>
          <a:ext cx="1047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13DB48BB-EDAE-46B0-AD08-1637641B7986}"/>
            </a:ext>
          </a:extLst>
        </xdr:cNvPr>
        <xdr:cNvSpPr txBox="1">
          <a:spLocks noChangeArrowheads="1"/>
        </xdr:cNvSpPr>
      </xdr:nvSpPr>
      <xdr:spPr bwMode="auto">
        <a:xfrm>
          <a:off x="5895975" y="14744700"/>
          <a:ext cx="1047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D4ACDDB0-4367-4BC5-AF3C-5E5CA42D3121}"/>
            </a:ext>
          </a:extLst>
        </xdr:cNvPr>
        <xdr:cNvSpPr txBox="1">
          <a:spLocks noChangeArrowheads="1"/>
        </xdr:cNvSpPr>
      </xdr:nvSpPr>
      <xdr:spPr bwMode="auto">
        <a:xfrm>
          <a:off x="6457950" y="14744700"/>
          <a:ext cx="1047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6447841D-2C27-4B99-871B-F05A80983A09}"/>
            </a:ext>
          </a:extLst>
        </xdr:cNvPr>
        <xdr:cNvSpPr txBox="1">
          <a:spLocks noChangeArrowheads="1"/>
        </xdr:cNvSpPr>
      </xdr:nvSpPr>
      <xdr:spPr bwMode="auto">
        <a:xfrm>
          <a:off x="5895975" y="14744700"/>
          <a:ext cx="1047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56EEB57E-714A-48A0-821C-88D7A76ED460}"/>
            </a:ext>
          </a:extLst>
        </xdr:cNvPr>
        <xdr:cNvSpPr txBox="1">
          <a:spLocks noChangeArrowheads="1"/>
        </xdr:cNvSpPr>
      </xdr:nvSpPr>
      <xdr:spPr bwMode="auto">
        <a:xfrm>
          <a:off x="1695450" y="21602700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9C9A2E79-E68C-49B3-AA87-E62725654189}"/>
            </a:ext>
          </a:extLst>
        </xdr:cNvPr>
        <xdr:cNvSpPr txBox="1">
          <a:spLocks noChangeArrowheads="1"/>
        </xdr:cNvSpPr>
      </xdr:nvSpPr>
      <xdr:spPr bwMode="auto">
        <a:xfrm>
          <a:off x="5276850" y="216027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D3B8899F-07F8-4A03-BF75-82B06E97EB04}"/>
            </a:ext>
          </a:extLst>
        </xdr:cNvPr>
        <xdr:cNvSpPr txBox="1">
          <a:spLocks noChangeArrowheads="1"/>
        </xdr:cNvSpPr>
      </xdr:nvSpPr>
      <xdr:spPr bwMode="auto">
        <a:xfrm>
          <a:off x="5276850" y="21602700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40AC016D-5BB1-4CB5-A0D7-7CF4D7095CDD}"/>
            </a:ext>
          </a:extLst>
        </xdr:cNvPr>
        <xdr:cNvSpPr txBox="1">
          <a:spLocks noChangeArrowheads="1"/>
        </xdr:cNvSpPr>
      </xdr:nvSpPr>
      <xdr:spPr bwMode="auto">
        <a:xfrm>
          <a:off x="6457950" y="14744700"/>
          <a:ext cx="1047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70A7D856-77CD-4461-957E-03623054B6A3}"/>
            </a:ext>
          </a:extLst>
        </xdr:cNvPr>
        <xdr:cNvSpPr txBox="1">
          <a:spLocks noChangeArrowheads="1"/>
        </xdr:cNvSpPr>
      </xdr:nvSpPr>
      <xdr:spPr bwMode="auto">
        <a:xfrm>
          <a:off x="5895975" y="14744700"/>
          <a:ext cx="1047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49231C14-AC4F-4F5D-9CE2-2497F6A488B7}"/>
            </a:ext>
          </a:extLst>
        </xdr:cNvPr>
        <xdr:cNvSpPr txBox="1">
          <a:spLocks noChangeArrowheads="1"/>
        </xdr:cNvSpPr>
      </xdr:nvSpPr>
      <xdr:spPr bwMode="auto">
        <a:xfrm>
          <a:off x="6457950" y="14744700"/>
          <a:ext cx="1047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A61B07AB-DAE6-4495-94F7-91A9F7DC51E6}"/>
            </a:ext>
          </a:extLst>
        </xdr:cNvPr>
        <xdr:cNvSpPr txBox="1">
          <a:spLocks noChangeArrowheads="1"/>
        </xdr:cNvSpPr>
      </xdr:nvSpPr>
      <xdr:spPr bwMode="auto">
        <a:xfrm>
          <a:off x="5895975" y="14744700"/>
          <a:ext cx="1047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D77B1377-9BA1-42A2-B362-E0682DF29EB8}"/>
            </a:ext>
          </a:extLst>
        </xdr:cNvPr>
        <xdr:cNvSpPr txBox="1">
          <a:spLocks noChangeArrowheads="1"/>
        </xdr:cNvSpPr>
      </xdr:nvSpPr>
      <xdr:spPr bwMode="auto">
        <a:xfrm>
          <a:off x="5276850" y="218408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5598493B-B719-40E5-A14E-9F2C4979152E}"/>
            </a:ext>
          </a:extLst>
        </xdr:cNvPr>
        <xdr:cNvSpPr txBox="1">
          <a:spLocks noChangeArrowheads="1"/>
        </xdr:cNvSpPr>
      </xdr:nvSpPr>
      <xdr:spPr bwMode="auto">
        <a:xfrm>
          <a:off x="17506949" y="220789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21E651A0-C7C0-4C6C-A63B-D97488DB7CB9}"/>
            </a:ext>
          </a:extLst>
        </xdr:cNvPr>
        <xdr:cNvSpPr txBox="1">
          <a:spLocks noChangeArrowheads="1"/>
        </xdr:cNvSpPr>
      </xdr:nvSpPr>
      <xdr:spPr bwMode="auto">
        <a:xfrm>
          <a:off x="1695450" y="216027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89B93E48-DCC5-47E5-BA6B-6A49A27A1CCD}"/>
            </a:ext>
          </a:extLst>
        </xdr:cNvPr>
        <xdr:cNvSpPr txBox="1">
          <a:spLocks noChangeArrowheads="1"/>
        </xdr:cNvSpPr>
      </xdr:nvSpPr>
      <xdr:spPr bwMode="auto">
        <a:xfrm>
          <a:off x="5276850" y="216027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CDD8E670-2A00-46D1-B801-3E1D43373B89}"/>
            </a:ext>
          </a:extLst>
        </xdr:cNvPr>
        <xdr:cNvSpPr txBox="1">
          <a:spLocks noChangeArrowheads="1"/>
        </xdr:cNvSpPr>
      </xdr:nvSpPr>
      <xdr:spPr bwMode="auto">
        <a:xfrm>
          <a:off x="5276850" y="216027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07C93D45-9A73-470A-B786-06D00FBC4C94}"/>
            </a:ext>
          </a:extLst>
        </xdr:cNvPr>
        <xdr:cNvSpPr txBox="1">
          <a:spLocks noChangeArrowheads="1"/>
        </xdr:cNvSpPr>
      </xdr:nvSpPr>
      <xdr:spPr bwMode="auto">
        <a:xfrm>
          <a:off x="17506949" y="220789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A1DE729A-D8CB-4F0B-93F8-3D3FC763BADF}"/>
            </a:ext>
          </a:extLst>
        </xdr:cNvPr>
        <xdr:cNvSpPr txBox="1">
          <a:spLocks noChangeArrowheads="1"/>
        </xdr:cNvSpPr>
      </xdr:nvSpPr>
      <xdr:spPr bwMode="auto">
        <a:xfrm>
          <a:off x="5276850" y="27555825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E5BD2DA3-95E6-409D-B9C5-775F3C410A27}"/>
            </a:ext>
          </a:extLst>
        </xdr:cNvPr>
        <xdr:cNvSpPr txBox="1">
          <a:spLocks noChangeArrowheads="1"/>
        </xdr:cNvSpPr>
      </xdr:nvSpPr>
      <xdr:spPr bwMode="auto">
        <a:xfrm>
          <a:off x="17506949" y="277939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5</xdr:col>
      <xdr:colOff>104775</xdr:colOff>
      <xdr:row>134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A787BDB4-3143-4296-9DD1-4FB5598087B2}"/>
            </a:ext>
          </a:extLst>
        </xdr:cNvPr>
        <xdr:cNvSpPr txBox="1">
          <a:spLocks noChangeArrowheads="1"/>
        </xdr:cNvSpPr>
      </xdr:nvSpPr>
      <xdr:spPr bwMode="auto">
        <a:xfrm>
          <a:off x="1695450" y="27317700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75B53DB3-E058-456B-AC1C-11F16FD98F14}"/>
            </a:ext>
          </a:extLst>
        </xdr:cNvPr>
        <xdr:cNvSpPr txBox="1">
          <a:spLocks noChangeArrowheads="1"/>
        </xdr:cNvSpPr>
      </xdr:nvSpPr>
      <xdr:spPr bwMode="auto">
        <a:xfrm>
          <a:off x="5276850" y="273177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04B7327F-0256-44A9-88E4-71E9C591C469}"/>
            </a:ext>
          </a:extLst>
        </xdr:cNvPr>
        <xdr:cNvSpPr txBox="1">
          <a:spLocks noChangeArrowheads="1"/>
        </xdr:cNvSpPr>
      </xdr:nvSpPr>
      <xdr:spPr bwMode="auto">
        <a:xfrm>
          <a:off x="5276850" y="27317700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F5C5AC98-4AB9-44D4-82AD-434CEC9150EE}"/>
            </a:ext>
          </a:extLst>
        </xdr:cNvPr>
        <xdr:cNvSpPr txBox="1">
          <a:spLocks noChangeArrowheads="1"/>
        </xdr:cNvSpPr>
      </xdr:nvSpPr>
      <xdr:spPr bwMode="auto">
        <a:xfrm>
          <a:off x="17506949" y="2779395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ADE146FE-58FB-4A52-95A7-6725C84BD5F4}"/>
            </a:ext>
          </a:extLst>
        </xdr:cNvPr>
        <xdr:cNvSpPr txBox="1">
          <a:spLocks noChangeArrowheads="1"/>
        </xdr:cNvSpPr>
      </xdr:nvSpPr>
      <xdr:spPr bwMode="auto">
        <a:xfrm>
          <a:off x="52768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70CD462-03A9-4AC9-8822-7170F9A50C91}"/>
            </a:ext>
          </a:extLst>
        </xdr:cNvPr>
        <xdr:cNvSpPr txBox="1">
          <a:spLocks noChangeArrowheads="1"/>
        </xdr:cNvSpPr>
      </xdr:nvSpPr>
      <xdr:spPr bwMode="auto">
        <a:xfrm>
          <a:off x="175069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F89D8EBC-6886-449A-8362-62996D6900FF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457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50F00958-6F72-4A88-8128-66380543835D}"/>
            </a:ext>
          </a:extLst>
        </xdr:cNvPr>
        <xdr:cNvSpPr txBox="1">
          <a:spLocks noChangeArrowheads="1"/>
        </xdr:cNvSpPr>
      </xdr:nvSpPr>
      <xdr:spPr bwMode="auto">
        <a:xfrm>
          <a:off x="64579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D05065FC-36AD-4CD9-B2DB-9499C523F3D6}"/>
            </a:ext>
          </a:extLst>
        </xdr:cNvPr>
        <xdr:cNvSpPr txBox="1">
          <a:spLocks noChangeArrowheads="1"/>
        </xdr:cNvSpPr>
      </xdr:nvSpPr>
      <xdr:spPr bwMode="auto">
        <a:xfrm>
          <a:off x="172116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BF66D9A5-97A2-456E-AE2D-88B09C883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DE4E7FDC-5FE8-4579-8D7D-58AFDF9F292F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DB8DD397-0366-4EB5-A399-FC5BFA01E3D7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085CB859-B31C-481E-9B4E-A5EBA8618C77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9971599F-C1D0-423C-944C-344F89F1882C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32B5B5CC-0EFD-48EE-A576-7C03384A4F99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1FE9A545-9FBB-4066-8621-9F7B3ECCBC0A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9A71C5F8-D2F5-4DFF-805B-7DCDD7A5C052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A286AC51-4C9C-4830-BD5C-8C96E138F223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FDED9196-61B0-4A8A-9685-9141B3E1BC7D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240AD18F-C7EC-41D9-A3D4-0F1E23A627D4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DB84432C-198F-4383-B338-3CC96A247379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F4C5992F-83A5-44C7-8E52-8950128F56A0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62348BF1-56A7-4E77-8B55-52E12F96C5BD}"/>
            </a:ext>
          </a:extLst>
        </xdr:cNvPr>
        <xdr:cNvSpPr txBox="1">
          <a:spLocks noChangeArrowheads="1"/>
        </xdr:cNvSpPr>
      </xdr:nvSpPr>
      <xdr:spPr bwMode="auto">
        <a:xfrm>
          <a:off x="52768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ED78A958-AE13-498B-88E7-287C86F79A52}"/>
            </a:ext>
          </a:extLst>
        </xdr:cNvPr>
        <xdr:cNvSpPr txBox="1">
          <a:spLocks noChangeArrowheads="1"/>
        </xdr:cNvSpPr>
      </xdr:nvSpPr>
      <xdr:spPr bwMode="auto">
        <a:xfrm>
          <a:off x="52768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CC83ACAB-C0E4-4468-855E-FBE7355C416A}"/>
            </a:ext>
          </a:extLst>
        </xdr:cNvPr>
        <xdr:cNvSpPr txBox="1">
          <a:spLocks noChangeArrowheads="1"/>
        </xdr:cNvSpPr>
      </xdr:nvSpPr>
      <xdr:spPr bwMode="auto">
        <a:xfrm>
          <a:off x="64579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1E72451B-C656-4215-9AAA-ECC01AB9DD8D}"/>
            </a:ext>
          </a:extLst>
        </xdr:cNvPr>
        <xdr:cNvSpPr txBox="1">
          <a:spLocks noChangeArrowheads="1"/>
        </xdr:cNvSpPr>
      </xdr:nvSpPr>
      <xdr:spPr bwMode="auto">
        <a:xfrm>
          <a:off x="58959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78E5C07B-AF52-42B8-89BC-C4D2D2F45976}"/>
            </a:ext>
          </a:extLst>
        </xdr:cNvPr>
        <xdr:cNvSpPr txBox="1">
          <a:spLocks noChangeArrowheads="1"/>
        </xdr:cNvSpPr>
      </xdr:nvSpPr>
      <xdr:spPr bwMode="auto">
        <a:xfrm>
          <a:off x="64579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E4F6955E-7F52-4F01-8F5E-0A16FAA29640}"/>
            </a:ext>
          </a:extLst>
        </xdr:cNvPr>
        <xdr:cNvSpPr txBox="1">
          <a:spLocks noChangeArrowheads="1"/>
        </xdr:cNvSpPr>
      </xdr:nvSpPr>
      <xdr:spPr bwMode="auto">
        <a:xfrm>
          <a:off x="58959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AADE1722-27C9-40C1-B3B3-CEACF68890D1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25385C91-8C16-4619-899F-13FC5C31A742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6FBEA0E1-F462-4234-BF8C-84B3B4FAF396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FA0B8BEF-DD59-4729-BBB6-67D00BC35343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5B43976D-2184-4162-8627-BF7A30FAFE97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980469EF-5D7C-4855-ABAF-C0FF62DB1E33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9C5DCA79-52D4-4BBA-9B62-5C22971520C4}"/>
            </a:ext>
          </a:extLst>
        </xdr:cNvPr>
        <xdr:cNvSpPr txBox="1">
          <a:spLocks noChangeArrowheads="1"/>
        </xdr:cNvSpPr>
      </xdr:nvSpPr>
      <xdr:spPr bwMode="auto">
        <a:xfrm>
          <a:off x="64579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C989DB3C-24FC-4283-BED1-D6D3999095ED}"/>
            </a:ext>
          </a:extLst>
        </xdr:cNvPr>
        <xdr:cNvSpPr txBox="1">
          <a:spLocks noChangeArrowheads="1"/>
        </xdr:cNvSpPr>
      </xdr:nvSpPr>
      <xdr:spPr bwMode="auto">
        <a:xfrm>
          <a:off x="58959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330D3F9E-B0E1-4614-8FA5-5A94C93E7940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AEC5B445-A6AE-47AA-B2F5-3526CCCD7F3B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3AE65C12-A117-4873-AD7C-748400BC1065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0092F83C-C989-4D03-A2DF-90D57A3EB92F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457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B0F86CF5-3C28-457C-9A82-B396501F5E78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9742EE90-A59A-4130-8ACC-D03FB35D3C87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7429559A-523B-4A45-97D4-2F54765A6691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433C5D94-2746-4664-AFBD-F09ED45A0111}"/>
            </a:ext>
          </a:extLst>
        </xdr:cNvPr>
        <xdr:cNvSpPr txBox="1">
          <a:spLocks noChangeArrowheads="1"/>
        </xdr:cNvSpPr>
      </xdr:nvSpPr>
      <xdr:spPr bwMode="auto">
        <a:xfrm>
          <a:off x="52768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63F6CDCF-E34D-4EC3-B8C0-F0BB0D76E7C9}"/>
            </a:ext>
          </a:extLst>
        </xdr:cNvPr>
        <xdr:cNvSpPr txBox="1">
          <a:spLocks noChangeArrowheads="1"/>
        </xdr:cNvSpPr>
      </xdr:nvSpPr>
      <xdr:spPr bwMode="auto">
        <a:xfrm>
          <a:off x="64579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7C683D73-AB57-4A70-801D-98CE9BA31564}"/>
            </a:ext>
          </a:extLst>
        </xdr:cNvPr>
        <xdr:cNvSpPr txBox="1">
          <a:spLocks noChangeArrowheads="1"/>
        </xdr:cNvSpPr>
      </xdr:nvSpPr>
      <xdr:spPr bwMode="auto">
        <a:xfrm>
          <a:off x="58959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E5DD2B21-8BDC-4095-8D24-AD230B528983}"/>
            </a:ext>
          </a:extLst>
        </xdr:cNvPr>
        <xdr:cNvSpPr txBox="1">
          <a:spLocks noChangeArrowheads="1"/>
        </xdr:cNvSpPr>
      </xdr:nvSpPr>
      <xdr:spPr bwMode="auto">
        <a:xfrm>
          <a:off x="64579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D0932E30-A68F-4C8F-9D46-CD30A26B2F8B}"/>
            </a:ext>
          </a:extLst>
        </xdr:cNvPr>
        <xdr:cNvSpPr txBox="1">
          <a:spLocks noChangeArrowheads="1"/>
        </xdr:cNvSpPr>
      </xdr:nvSpPr>
      <xdr:spPr bwMode="auto">
        <a:xfrm>
          <a:off x="58959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75577666-9DC9-4E38-BE2C-5F31DA737BEF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4574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0A308270-73B9-4697-8D03-580FE6189C40}"/>
            </a:ext>
          </a:extLst>
        </xdr:cNvPr>
        <xdr:cNvSpPr txBox="1">
          <a:spLocks noChangeArrowheads="1"/>
        </xdr:cNvSpPr>
      </xdr:nvSpPr>
      <xdr:spPr bwMode="auto">
        <a:xfrm>
          <a:off x="52768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3025226D-62FF-44F6-B3FD-B80A7A2BCE55}"/>
            </a:ext>
          </a:extLst>
        </xdr:cNvPr>
        <xdr:cNvSpPr txBox="1">
          <a:spLocks noChangeArrowheads="1"/>
        </xdr:cNvSpPr>
      </xdr:nvSpPr>
      <xdr:spPr bwMode="auto">
        <a:xfrm>
          <a:off x="52768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029B1494-4152-4613-88C0-EFEA1F724860}"/>
            </a:ext>
          </a:extLst>
        </xdr:cNvPr>
        <xdr:cNvSpPr txBox="1">
          <a:spLocks noChangeArrowheads="1"/>
        </xdr:cNvSpPr>
      </xdr:nvSpPr>
      <xdr:spPr bwMode="auto">
        <a:xfrm>
          <a:off x="64579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3856747A-7617-4DF3-B8D3-7198288919F6}"/>
            </a:ext>
          </a:extLst>
        </xdr:cNvPr>
        <xdr:cNvSpPr txBox="1">
          <a:spLocks noChangeArrowheads="1"/>
        </xdr:cNvSpPr>
      </xdr:nvSpPr>
      <xdr:spPr bwMode="auto">
        <a:xfrm>
          <a:off x="58959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A4B3AF79-6123-4B71-9700-0499E82A4BC7}"/>
            </a:ext>
          </a:extLst>
        </xdr:cNvPr>
        <xdr:cNvSpPr txBox="1">
          <a:spLocks noChangeArrowheads="1"/>
        </xdr:cNvSpPr>
      </xdr:nvSpPr>
      <xdr:spPr bwMode="auto">
        <a:xfrm>
          <a:off x="64579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9DB57428-BBD4-44E6-88D4-765BF6467D0E}"/>
            </a:ext>
          </a:extLst>
        </xdr:cNvPr>
        <xdr:cNvSpPr txBox="1">
          <a:spLocks noChangeArrowheads="1"/>
        </xdr:cNvSpPr>
      </xdr:nvSpPr>
      <xdr:spPr bwMode="auto">
        <a:xfrm>
          <a:off x="58959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F4122407-FC34-4044-A7A1-61F5D6E84865}"/>
            </a:ext>
          </a:extLst>
        </xdr:cNvPr>
        <xdr:cNvSpPr txBox="1">
          <a:spLocks noChangeArrowheads="1"/>
        </xdr:cNvSpPr>
      </xdr:nvSpPr>
      <xdr:spPr bwMode="auto">
        <a:xfrm>
          <a:off x="5276850" y="35833050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0F09B764-FE04-402D-9227-EA7708AF1189}"/>
            </a:ext>
          </a:extLst>
        </xdr:cNvPr>
        <xdr:cNvSpPr txBox="1">
          <a:spLocks noChangeArrowheads="1"/>
        </xdr:cNvSpPr>
      </xdr:nvSpPr>
      <xdr:spPr bwMode="auto">
        <a:xfrm>
          <a:off x="175069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0419D9D3-E609-453B-8CFD-B3B37F4D92E0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457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0B729687-FDDB-406B-8473-C910463E9EC5}"/>
            </a:ext>
          </a:extLst>
        </xdr:cNvPr>
        <xdr:cNvSpPr txBox="1">
          <a:spLocks noChangeArrowheads="1"/>
        </xdr:cNvSpPr>
      </xdr:nvSpPr>
      <xdr:spPr bwMode="auto">
        <a:xfrm>
          <a:off x="52768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D2069A3D-C42F-40D7-9157-4D4C7CB1DBC2}"/>
            </a:ext>
          </a:extLst>
        </xdr:cNvPr>
        <xdr:cNvSpPr txBox="1">
          <a:spLocks noChangeArrowheads="1"/>
        </xdr:cNvSpPr>
      </xdr:nvSpPr>
      <xdr:spPr bwMode="auto">
        <a:xfrm>
          <a:off x="52768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ED0FF84E-C626-496D-9361-2F59DBBE4E7E}"/>
            </a:ext>
          </a:extLst>
        </xdr:cNvPr>
        <xdr:cNvSpPr txBox="1">
          <a:spLocks noChangeArrowheads="1"/>
        </xdr:cNvSpPr>
      </xdr:nvSpPr>
      <xdr:spPr bwMode="auto">
        <a:xfrm>
          <a:off x="175069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104775</xdr:colOff>
      <xdr:row>135</xdr:row>
      <xdr:rowOff>28575</xdr:rowOff>
    </xdr:to>
    <xdr:sp macro="" textlink="">
      <xdr:nvSpPr>
        <xdr:cNvPr id="59" name="Text Box 374">
          <a:extLst>
            <a:ext uri="{FF2B5EF4-FFF2-40B4-BE49-F238E27FC236}">
              <a16:creationId xmlns:a16="http://schemas.microsoft.com/office/drawing/2014/main" id="{6339B0B8-153B-4C95-9086-AA5DB1750360}"/>
            </a:ext>
          </a:extLst>
        </xdr:cNvPr>
        <xdr:cNvSpPr txBox="1">
          <a:spLocks noChangeArrowheads="1"/>
        </xdr:cNvSpPr>
      </xdr:nvSpPr>
      <xdr:spPr bwMode="auto">
        <a:xfrm>
          <a:off x="5275385" y="4799135"/>
          <a:ext cx="104775" cy="260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350FE1B7-C424-4905-9B49-D5DD85120486}"/>
            </a:ext>
          </a:extLst>
        </xdr:cNvPr>
        <xdr:cNvSpPr txBox="1">
          <a:spLocks noChangeArrowheads="1"/>
        </xdr:cNvSpPr>
      </xdr:nvSpPr>
      <xdr:spPr bwMode="auto">
        <a:xfrm>
          <a:off x="17492784" y="5040679"/>
          <a:ext cx="433754" cy="424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133</xdr:row>
      <xdr:rowOff>0</xdr:rowOff>
    </xdr:from>
    <xdr:to>
      <xdr:col>5</xdr:col>
      <xdr:colOff>104775</xdr:colOff>
      <xdr:row>134</xdr:row>
      <xdr:rowOff>28575</xdr:rowOff>
    </xdr:to>
    <xdr:sp macro="" textlink="">
      <xdr:nvSpPr>
        <xdr:cNvPr id="61" name="Text Box 374">
          <a:extLst>
            <a:ext uri="{FF2B5EF4-FFF2-40B4-BE49-F238E27FC236}">
              <a16:creationId xmlns:a16="http://schemas.microsoft.com/office/drawing/2014/main" id="{F021C5E6-F0C8-4114-AB91-8BC7E0CFC0DB}"/>
            </a:ext>
          </a:extLst>
        </xdr:cNvPr>
        <xdr:cNvSpPr txBox="1">
          <a:spLocks noChangeArrowheads="1"/>
        </xdr:cNvSpPr>
      </xdr:nvSpPr>
      <xdr:spPr bwMode="auto">
        <a:xfrm>
          <a:off x="1697404" y="4554904"/>
          <a:ext cx="2449390" cy="272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2" name="Text Box 374">
          <a:extLst>
            <a:ext uri="{FF2B5EF4-FFF2-40B4-BE49-F238E27FC236}">
              <a16:creationId xmlns:a16="http://schemas.microsoft.com/office/drawing/2014/main" id="{E57A2279-2576-43BC-93E3-87A306C03D0E}"/>
            </a:ext>
          </a:extLst>
        </xdr:cNvPr>
        <xdr:cNvSpPr txBox="1">
          <a:spLocks noChangeArrowheads="1"/>
        </xdr:cNvSpPr>
      </xdr:nvSpPr>
      <xdr:spPr bwMode="auto">
        <a:xfrm>
          <a:off x="5275385" y="4554904"/>
          <a:ext cx="104775" cy="272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104775</xdr:colOff>
      <xdr:row>134</xdr:row>
      <xdr:rowOff>28575</xdr:rowOff>
    </xdr:to>
    <xdr:sp macro="" textlink="">
      <xdr:nvSpPr>
        <xdr:cNvPr id="63" name="Text Box 374">
          <a:extLst>
            <a:ext uri="{FF2B5EF4-FFF2-40B4-BE49-F238E27FC236}">
              <a16:creationId xmlns:a16="http://schemas.microsoft.com/office/drawing/2014/main" id="{BB8E3A50-41E2-457F-B69E-886FCAF735ED}"/>
            </a:ext>
          </a:extLst>
        </xdr:cNvPr>
        <xdr:cNvSpPr txBox="1">
          <a:spLocks noChangeArrowheads="1"/>
        </xdr:cNvSpPr>
      </xdr:nvSpPr>
      <xdr:spPr bwMode="auto">
        <a:xfrm>
          <a:off x="5275385" y="4554904"/>
          <a:ext cx="104775" cy="272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135</xdr:row>
      <xdr:rowOff>9525</xdr:rowOff>
    </xdr:from>
    <xdr:to>
      <xdr:col>30</xdr:col>
      <xdr:colOff>0</xdr:colOff>
      <xdr:row>136</xdr:row>
      <xdr:rowOff>165100</xdr:rowOff>
    </xdr:to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5712BA70-F95F-4F25-A8A0-C0BA390EFB43}"/>
            </a:ext>
          </a:extLst>
        </xdr:cNvPr>
        <xdr:cNvSpPr txBox="1">
          <a:spLocks noChangeArrowheads="1"/>
        </xdr:cNvSpPr>
      </xdr:nvSpPr>
      <xdr:spPr bwMode="auto">
        <a:xfrm>
          <a:off x="17492784" y="5040679"/>
          <a:ext cx="433754" cy="424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009ABE49-EDDD-4B3C-AF4E-3FB3D4F31CFB}"/>
            </a:ext>
          </a:extLst>
        </xdr:cNvPr>
        <xdr:cNvSpPr txBox="1">
          <a:spLocks noChangeArrowheads="1"/>
        </xdr:cNvSpPr>
      </xdr:nvSpPr>
      <xdr:spPr bwMode="auto">
        <a:xfrm>
          <a:off x="53911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638C478-524A-497D-AF15-EB21ABFC9301}"/>
            </a:ext>
          </a:extLst>
        </xdr:cNvPr>
        <xdr:cNvSpPr txBox="1">
          <a:spLocks noChangeArrowheads="1"/>
        </xdr:cNvSpPr>
      </xdr:nvSpPr>
      <xdr:spPr bwMode="auto">
        <a:xfrm>
          <a:off x="176593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50F95E35-EF56-420A-9262-5E6A62ABA531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5717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0CCD9771-9C25-4D36-B163-5C4B18F4B126}"/>
            </a:ext>
          </a:extLst>
        </xdr:cNvPr>
        <xdr:cNvSpPr txBox="1">
          <a:spLocks noChangeArrowheads="1"/>
        </xdr:cNvSpPr>
      </xdr:nvSpPr>
      <xdr:spPr bwMode="auto">
        <a:xfrm>
          <a:off x="65722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AC32ADC5-8059-497A-8C25-32E8EDCBCB03}"/>
            </a:ext>
          </a:extLst>
        </xdr:cNvPr>
        <xdr:cNvSpPr txBox="1">
          <a:spLocks noChangeArrowheads="1"/>
        </xdr:cNvSpPr>
      </xdr:nvSpPr>
      <xdr:spPr bwMode="auto">
        <a:xfrm>
          <a:off x="173640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0A6FB4B6-AF8D-482E-A05D-688CEDDC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A5345572-E8DF-4309-B4CE-0155D14B04B5}"/>
            </a:ext>
          </a:extLst>
        </xdr:cNvPr>
        <xdr:cNvSpPr txBox="1">
          <a:spLocks noChangeArrowheads="1"/>
        </xdr:cNvSpPr>
      </xdr:nvSpPr>
      <xdr:spPr bwMode="auto">
        <a:xfrm>
          <a:off x="65722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B17C89D8-B866-4F9E-B632-58FF285911AA}"/>
            </a:ext>
          </a:extLst>
        </xdr:cNvPr>
        <xdr:cNvSpPr txBox="1">
          <a:spLocks noChangeArrowheads="1"/>
        </xdr:cNvSpPr>
      </xdr:nvSpPr>
      <xdr:spPr bwMode="auto">
        <a:xfrm>
          <a:off x="60102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F9D1EA42-2F4C-41F0-AECD-158172C59B4A}"/>
            </a:ext>
          </a:extLst>
        </xdr:cNvPr>
        <xdr:cNvSpPr txBox="1">
          <a:spLocks noChangeArrowheads="1"/>
        </xdr:cNvSpPr>
      </xdr:nvSpPr>
      <xdr:spPr bwMode="auto">
        <a:xfrm>
          <a:off x="65722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CC69933E-A842-4530-8351-EAEBBBA5F542}"/>
            </a:ext>
          </a:extLst>
        </xdr:cNvPr>
        <xdr:cNvSpPr txBox="1">
          <a:spLocks noChangeArrowheads="1"/>
        </xdr:cNvSpPr>
      </xdr:nvSpPr>
      <xdr:spPr bwMode="auto">
        <a:xfrm>
          <a:off x="60102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B8E0466F-D973-4DAB-9514-F5C46B7DB5C4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564C5AD6-BBAC-4833-A309-C9A972E65CE7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70F9E6CB-4119-46AF-AC69-1920D5D9B509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4B28D3DD-40B0-46BD-8FF7-A5CA58D0D300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25053828-CB27-4295-AE1C-0490758BF2ED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15510232-D9C8-4CE0-A4DF-8D87AF23D0DA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9E695048-C46B-4567-ADB8-834693BA3587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85D309EB-1A2E-4EC1-B997-4F0015C68C0F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EA077D75-F4CD-4FEC-95EB-4410B333D5E0}"/>
            </a:ext>
          </a:extLst>
        </xdr:cNvPr>
        <xdr:cNvSpPr txBox="1">
          <a:spLocks noChangeArrowheads="1"/>
        </xdr:cNvSpPr>
      </xdr:nvSpPr>
      <xdr:spPr bwMode="auto">
        <a:xfrm>
          <a:off x="53911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A3FB2AC4-F332-4BAA-A3F3-A124FE6401B6}"/>
            </a:ext>
          </a:extLst>
        </xdr:cNvPr>
        <xdr:cNvSpPr txBox="1">
          <a:spLocks noChangeArrowheads="1"/>
        </xdr:cNvSpPr>
      </xdr:nvSpPr>
      <xdr:spPr bwMode="auto">
        <a:xfrm>
          <a:off x="53911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74961CA4-536B-4686-B36D-225DE508A548}"/>
            </a:ext>
          </a:extLst>
        </xdr:cNvPr>
        <xdr:cNvSpPr txBox="1">
          <a:spLocks noChangeArrowheads="1"/>
        </xdr:cNvSpPr>
      </xdr:nvSpPr>
      <xdr:spPr bwMode="auto">
        <a:xfrm>
          <a:off x="65722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91FDD077-869B-47FB-9CBF-CADEC1C60AD9}"/>
            </a:ext>
          </a:extLst>
        </xdr:cNvPr>
        <xdr:cNvSpPr txBox="1">
          <a:spLocks noChangeArrowheads="1"/>
        </xdr:cNvSpPr>
      </xdr:nvSpPr>
      <xdr:spPr bwMode="auto">
        <a:xfrm>
          <a:off x="60102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C9B26A22-C60C-42D4-B08D-1444C4136BD4}"/>
            </a:ext>
          </a:extLst>
        </xdr:cNvPr>
        <xdr:cNvSpPr txBox="1">
          <a:spLocks noChangeArrowheads="1"/>
        </xdr:cNvSpPr>
      </xdr:nvSpPr>
      <xdr:spPr bwMode="auto">
        <a:xfrm>
          <a:off x="65722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A2ADE766-1975-4A3A-803B-3380E393DC84}"/>
            </a:ext>
          </a:extLst>
        </xdr:cNvPr>
        <xdr:cNvSpPr txBox="1">
          <a:spLocks noChangeArrowheads="1"/>
        </xdr:cNvSpPr>
      </xdr:nvSpPr>
      <xdr:spPr bwMode="auto">
        <a:xfrm>
          <a:off x="60102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0A72CEB2-C129-4224-B60E-221FAD4FDB76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9E887C8A-6FAA-4E38-9B53-D4F1299A7702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695F816A-D25B-4277-B6D7-D5EC027CDDCA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65EF3FCE-3ED6-4D10-91D9-021AC2FEDA13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71866C53-4978-4823-A018-B1750B614E18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DF5DBE37-D6C4-4998-904A-57ACFCF6B6E6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F8A08899-705A-4280-BEA5-2C708F427468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C2A52F1F-6D08-47B6-983C-EB0CBC1DED63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89A1C97D-0A54-4284-A595-FAB0DB405DB8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571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2F95ABAC-BB55-4937-AB64-9A741B97E1D7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B8E11B15-5C8E-4D57-9C38-65BD025C16E8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D6243C7F-7E6A-4C00-8B9E-DCC8CF768A7E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571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D9FFA3B7-535B-40CB-8F80-3BF64C71F076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40525AD3-879F-4E22-8DD2-64D030A56586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F7EDD786-AD0B-4383-B509-3950B56A7939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B984B811-F3EF-436A-BBD7-83D4C860A234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7B4118E8-58C3-455E-B0DB-E4FF252DD64B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5F2CAAC7-A90A-4489-A362-22FF2EA332CF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E9F3B849-0A65-43C6-80FA-91DB5FEAB3B3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44988D01-C119-40CA-8269-3282F071FF4E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025E17A9-A4AC-4B81-99E5-1E124BDC8178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5717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F3E1AFFC-1D7C-42B6-95CD-4CB173BA9725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7E354EBD-5ADA-4FD0-B693-DFB7FE6E29DA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EDC2725A-41A2-42D3-B33B-67FA0CB719DF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044D8C18-DD35-4C2D-8BE2-DB134339FA37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678B1A02-03D9-411E-BCD7-AA021E321A54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E2C433E8-C336-442A-975E-39E99B60641E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15F51B1E-3520-4A23-B24F-C17DE7AADDD2}"/>
            </a:ext>
          </a:extLst>
        </xdr:cNvPr>
        <xdr:cNvSpPr txBox="1">
          <a:spLocks noChangeArrowheads="1"/>
        </xdr:cNvSpPr>
      </xdr:nvSpPr>
      <xdr:spPr bwMode="auto">
        <a:xfrm>
          <a:off x="5391150" y="35833050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30485580-CB77-4C5B-89A6-1B15D350303D}"/>
            </a:ext>
          </a:extLst>
        </xdr:cNvPr>
        <xdr:cNvSpPr txBox="1">
          <a:spLocks noChangeArrowheads="1"/>
        </xdr:cNvSpPr>
      </xdr:nvSpPr>
      <xdr:spPr bwMode="auto">
        <a:xfrm>
          <a:off x="176593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5" name="Text Box 374">
          <a:extLst>
            <a:ext uri="{FF2B5EF4-FFF2-40B4-BE49-F238E27FC236}">
              <a16:creationId xmlns:a16="http://schemas.microsoft.com/office/drawing/2014/main" id="{7B97A9DC-93FC-4FC0-AE06-3C8EA45164ED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5717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89BB2660-8800-41C5-8C30-6E80EFA46A6A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BB2F8B4F-8CB5-46FE-90F3-938EB07D09ED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2414A94E-CE6B-4DA0-A714-1D2CBC4449CC}"/>
            </a:ext>
          </a:extLst>
        </xdr:cNvPr>
        <xdr:cNvSpPr txBox="1">
          <a:spLocks noChangeArrowheads="1"/>
        </xdr:cNvSpPr>
      </xdr:nvSpPr>
      <xdr:spPr bwMode="auto">
        <a:xfrm>
          <a:off x="176593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F841172C-4B8A-4493-AC79-944D7107C083}"/>
            </a:ext>
          </a:extLst>
        </xdr:cNvPr>
        <xdr:cNvSpPr txBox="1">
          <a:spLocks noChangeArrowheads="1"/>
        </xdr:cNvSpPr>
      </xdr:nvSpPr>
      <xdr:spPr bwMode="auto">
        <a:xfrm>
          <a:off x="53911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9AFDDDE-34E9-4922-B733-7E4D3C61192A}"/>
            </a:ext>
          </a:extLst>
        </xdr:cNvPr>
        <xdr:cNvSpPr txBox="1">
          <a:spLocks noChangeArrowheads="1"/>
        </xdr:cNvSpPr>
      </xdr:nvSpPr>
      <xdr:spPr bwMode="auto">
        <a:xfrm>
          <a:off x="176593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9C478978-7128-4F9B-8A9D-39B165655E6F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5717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7CAF6F6C-E44B-46D8-AA31-431E510DCC2D}"/>
            </a:ext>
          </a:extLst>
        </xdr:cNvPr>
        <xdr:cNvSpPr txBox="1">
          <a:spLocks noChangeArrowheads="1"/>
        </xdr:cNvSpPr>
      </xdr:nvSpPr>
      <xdr:spPr bwMode="auto">
        <a:xfrm>
          <a:off x="65722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E816C473-F3A8-4D46-AD3C-F127795D9E2C}"/>
            </a:ext>
          </a:extLst>
        </xdr:cNvPr>
        <xdr:cNvSpPr txBox="1">
          <a:spLocks noChangeArrowheads="1"/>
        </xdr:cNvSpPr>
      </xdr:nvSpPr>
      <xdr:spPr bwMode="auto">
        <a:xfrm>
          <a:off x="173640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C56DE63B-76AE-469E-901B-BD7867CF3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7EAA0916-1551-4374-9754-F948037DA89D}"/>
            </a:ext>
          </a:extLst>
        </xdr:cNvPr>
        <xdr:cNvSpPr txBox="1">
          <a:spLocks noChangeArrowheads="1"/>
        </xdr:cNvSpPr>
      </xdr:nvSpPr>
      <xdr:spPr bwMode="auto">
        <a:xfrm>
          <a:off x="65722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E425D1DC-C751-4E05-8B9B-55EEDD732DED}"/>
            </a:ext>
          </a:extLst>
        </xdr:cNvPr>
        <xdr:cNvSpPr txBox="1">
          <a:spLocks noChangeArrowheads="1"/>
        </xdr:cNvSpPr>
      </xdr:nvSpPr>
      <xdr:spPr bwMode="auto">
        <a:xfrm>
          <a:off x="60102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4D0C6931-2FBD-4E32-A845-6C63654CD283}"/>
            </a:ext>
          </a:extLst>
        </xdr:cNvPr>
        <xdr:cNvSpPr txBox="1">
          <a:spLocks noChangeArrowheads="1"/>
        </xdr:cNvSpPr>
      </xdr:nvSpPr>
      <xdr:spPr bwMode="auto">
        <a:xfrm>
          <a:off x="65722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9D765FDD-4EF2-4431-8880-EB9740B99846}"/>
            </a:ext>
          </a:extLst>
        </xdr:cNvPr>
        <xdr:cNvSpPr txBox="1">
          <a:spLocks noChangeArrowheads="1"/>
        </xdr:cNvSpPr>
      </xdr:nvSpPr>
      <xdr:spPr bwMode="auto">
        <a:xfrm>
          <a:off x="60102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A020DB9B-98C1-4729-80FD-280991A84683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30C7DC6B-7CAC-4666-BE89-1666DC3B97C6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68779E26-BD33-4D11-8C9E-0B9F1803619D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436605F4-6CBA-48DC-BE42-8377AC6B8CF2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47997797-D1BB-4362-B982-18F52F697510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E111FC02-99F1-411F-9E60-8DBC23410CB4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97AB4A22-6FDD-4F94-8D0C-9A09144B9095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F066035B-E42D-4B0C-B2C7-60C13CDC614D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D7CF55C9-0EE9-4FBF-917A-A8CF2C130648}"/>
            </a:ext>
          </a:extLst>
        </xdr:cNvPr>
        <xdr:cNvSpPr txBox="1">
          <a:spLocks noChangeArrowheads="1"/>
        </xdr:cNvSpPr>
      </xdr:nvSpPr>
      <xdr:spPr bwMode="auto">
        <a:xfrm>
          <a:off x="53911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F51F8547-8C0B-4C2E-A438-26AC27077CDA}"/>
            </a:ext>
          </a:extLst>
        </xdr:cNvPr>
        <xdr:cNvSpPr txBox="1">
          <a:spLocks noChangeArrowheads="1"/>
        </xdr:cNvSpPr>
      </xdr:nvSpPr>
      <xdr:spPr bwMode="auto">
        <a:xfrm>
          <a:off x="53911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924F69F8-C2A2-47B2-9FF2-53E9D2BEB9E1}"/>
            </a:ext>
          </a:extLst>
        </xdr:cNvPr>
        <xdr:cNvSpPr txBox="1">
          <a:spLocks noChangeArrowheads="1"/>
        </xdr:cNvSpPr>
      </xdr:nvSpPr>
      <xdr:spPr bwMode="auto">
        <a:xfrm>
          <a:off x="65722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F42E59DE-8A44-4648-9DC1-D94F3799D5BE}"/>
            </a:ext>
          </a:extLst>
        </xdr:cNvPr>
        <xdr:cNvSpPr txBox="1">
          <a:spLocks noChangeArrowheads="1"/>
        </xdr:cNvSpPr>
      </xdr:nvSpPr>
      <xdr:spPr bwMode="auto">
        <a:xfrm>
          <a:off x="60102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21CD8E33-E39D-491D-BF0B-DBE4F7D738F0}"/>
            </a:ext>
          </a:extLst>
        </xdr:cNvPr>
        <xdr:cNvSpPr txBox="1">
          <a:spLocks noChangeArrowheads="1"/>
        </xdr:cNvSpPr>
      </xdr:nvSpPr>
      <xdr:spPr bwMode="auto">
        <a:xfrm>
          <a:off x="65722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C2FBF559-87D6-480D-BEC3-CD0C7F24A3E6}"/>
            </a:ext>
          </a:extLst>
        </xdr:cNvPr>
        <xdr:cNvSpPr txBox="1">
          <a:spLocks noChangeArrowheads="1"/>
        </xdr:cNvSpPr>
      </xdr:nvSpPr>
      <xdr:spPr bwMode="auto">
        <a:xfrm>
          <a:off x="60102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B7D3B228-4767-4C80-AF16-6597E3433C98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EFCBE2CE-F44F-4942-AD52-98698DBFBDCD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270BA306-DA8E-4126-9113-8513BAEBE08D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3E00E992-6458-4958-903A-C0EBC01D4967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8A866BE9-0D74-46CD-A931-DCC2FC9F4E1C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E910E519-4832-4359-9D42-5018854926E2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4A08800F-F04C-4B6C-8EAD-AAD1A9810339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9AF8B873-D29E-42DC-9DA3-5E9BDBE60F90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FE6A0566-0451-4476-874C-7DF3F06AB6E0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571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B20D9AB3-9C74-4B1A-8A53-52533315ADAF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DC99F39C-0D80-4D39-A325-B76FEF28FD27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9A3D7855-4F86-4B02-ADF2-FD247D30AFC1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571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F0C0F552-5B2E-4373-8E9A-DFD0F35C7047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DF31A255-195A-43BD-AA94-E565AB0BF55B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B26D15BA-0EAA-4E87-B8C2-657A61F594C1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B8597D1E-50E2-4A21-A6CB-BBE48428CC2D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92C3AF73-14DE-4A0E-9BE8-3C4DB4B54E8F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BD49355B-6DD6-46CB-8623-CBC0E67E478D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52F96A27-A4DF-441B-AA78-166CB36CB082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B0E421C3-F2E0-4BF6-BC01-46124E946EF9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BE271EA8-5ACE-43EF-AD09-5E7D3AAB0F18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5717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0F876340-EF56-4207-8C0D-BA4E4731218B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2E322C95-5E17-4277-9529-5AD89D9332E7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3FFB4770-CD35-4D4D-8727-075875F57492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97C45DF2-8744-4060-B972-BE755A0C5D52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EFE410A1-38D7-496B-8B3E-3D555BC58643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AB349FB0-55E0-436B-975F-43D35E407E60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4" name="Text Box 374">
          <a:extLst>
            <a:ext uri="{FF2B5EF4-FFF2-40B4-BE49-F238E27FC236}">
              <a16:creationId xmlns:a16="http://schemas.microsoft.com/office/drawing/2014/main" id="{7899BBBC-C56C-4EC0-B0A8-EA88C5531369}"/>
            </a:ext>
          </a:extLst>
        </xdr:cNvPr>
        <xdr:cNvSpPr txBox="1">
          <a:spLocks noChangeArrowheads="1"/>
        </xdr:cNvSpPr>
      </xdr:nvSpPr>
      <xdr:spPr bwMode="auto">
        <a:xfrm>
          <a:off x="5391150" y="35833050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A5653365-A55D-4064-8323-47B99A7DC304}"/>
            </a:ext>
          </a:extLst>
        </xdr:cNvPr>
        <xdr:cNvSpPr txBox="1">
          <a:spLocks noChangeArrowheads="1"/>
        </xdr:cNvSpPr>
      </xdr:nvSpPr>
      <xdr:spPr bwMode="auto">
        <a:xfrm>
          <a:off x="176593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DF31AD71-5EB8-4018-B012-C2468E6BB5D3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5717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293008D7-0BE6-4972-A30E-5BBBEF60202A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8" name="Text Box 374">
          <a:extLst>
            <a:ext uri="{FF2B5EF4-FFF2-40B4-BE49-F238E27FC236}">
              <a16:creationId xmlns:a16="http://schemas.microsoft.com/office/drawing/2014/main" id="{E0493613-7DFC-49E6-A374-2B3F53261E3C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607ABBB7-2805-459F-8A44-AC509CBCCBAA}"/>
            </a:ext>
          </a:extLst>
        </xdr:cNvPr>
        <xdr:cNvSpPr txBox="1">
          <a:spLocks noChangeArrowheads="1"/>
        </xdr:cNvSpPr>
      </xdr:nvSpPr>
      <xdr:spPr bwMode="auto">
        <a:xfrm>
          <a:off x="176593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104775</xdr:colOff>
      <xdr:row>2</xdr:row>
      <xdr:rowOff>28575</xdr:rowOff>
    </xdr:to>
    <xdr:sp macro="" textlink="">
      <xdr:nvSpPr>
        <xdr:cNvPr id="2" name="Text Box 374">
          <a:extLst>
            <a:ext uri="{FF2B5EF4-FFF2-40B4-BE49-F238E27FC236}">
              <a16:creationId xmlns:a16="http://schemas.microsoft.com/office/drawing/2014/main" id="{E4C21A47-B235-4E51-9D6C-39363777BDC7}"/>
            </a:ext>
          </a:extLst>
        </xdr:cNvPr>
        <xdr:cNvSpPr txBox="1">
          <a:spLocks noChangeArrowheads="1"/>
        </xdr:cNvSpPr>
      </xdr:nvSpPr>
      <xdr:spPr bwMode="auto">
        <a:xfrm>
          <a:off x="53911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3</xdr:row>
      <xdr:rowOff>9525</xdr:rowOff>
    </xdr:from>
    <xdr:to>
      <xdr:col>30</xdr:col>
      <xdr:colOff>0</xdr:colOff>
      <xdr:row>4</xdr:row>
      <xdr:rowOff>165100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62CB3CF-481D-4D1C-BFE3-EFDE25D09D1C}"/>
            </a:ext>
          </a:extLst>
        </xdr:cNvPr>
        <xdr:cNvSpPr txBox="1">
          <a:spLocks noChangeArrowheads="1"/>
        </xdr:cNvSpPr>
      </xdr:nvSpPr>
      <xdr:spPr bwMode="auto">
        <a:xfrm>
          <a:off x="17659349" y="1066800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5</xdr:col>
      <xdr:colOff>171450</xdr:colOff>
      <xdr:row>2</xdr:row>
      <xdr:rowOff>28575</xdr:rowOff>
    </xdr:to>
    <xdr:sp macro="" textlink="">
      <xdr:nvSpPr>
        <xdr:cNvPr id="4" name="Text Box 374">
          <a:extLst>
            <a:ext uri="{FF2B5EF4-FFF2-40B4-BE49-F238E27FC236}">
              <a16:creationId xmlns:a16="http://schemas.microsoft.com/office/drawing/2014/main" id="{40091F8F-9EF3-4BB4-A5C4-A210AC074222}"/>
            </a:ext>
          </a:extLst>
        </xdr:cNvPr>
        <xdr:cNvSpPr txBox="1">
          <a:spLocks noChangeArrowheads="1"/>
        </xdr:cNvSpPr>
      </xdr:nvSpPr>
      <xdr:spPr bwMode="auto">
        <a:xfrm>
          <a:off x="1762125" y="581025"/>
          <a:ext cx="25717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104775</xdr:colOff>
      <xdr:row>2</xdr:row>
      <xdr:rowOff>28575</xdr:rowOff>
    </xdr:to>
    <xdr:sp macro="" textlink="">
      <xdr:nvSpPr>
        <xdr:cNvPr id="5" name="Text Box 374">
          <a:extLst>
            <a:ext uri="{FF2B5EF4-FFF2-40B4-BE49-F238E27FC236}">
              <a16:creationId xmlns:a16="http://schemas.microsoft.com/office/drawing/2014/main" id="{D904BD48-84B3-4C54-BF44-5437B8D3E6CC}"/>
            </a:ext>
          </a:extLst>
        </xdr:cNvPr>
        <xdr:cNvSpPr txBox="1">
          <a:spLocks noChangeArrowheads="1"/>
        </xdr:cNvSpPr>
      </xdr:nvSpPr>
      <xdr:spPr bwMode="auto">
        <a:xfrm>
          <a:off x="6572250" y="581025"/>
          <a:ext cx="1047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28</xdr:col>
      <xdr:colOff>419100</xdr:colOff>
      <xdr:row>1</xdr:row>
      <xdr:rowOff>0</xdr:rowOff>
    </xdr:from>
    <xdr:to>
      <xdr:col>29</xdr:col>
      <xdr:colOff>523876</xdr:colOff>
      <xdr:row>1</xdr:row>
      <xdr:rowOff>200025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4B489B2-D969-4F72-B9A4-D7516C8710CA}"/>
            </a:ext>
          </a:extLst>
        </xdr:cNvPr>
        <xdr:cNvSpPr txBox="1">
          <a:spLocks noChangeArrowheads="1"/>
        </xdr:cNvSpPr>
      </xdr:nvSpPr>
      <xdr:spPr bwMode="auto">
        <a:xfrm>
          <a:off x="17364075" y="581025"/>
          <a:ext cx="666751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1">
            <a:defRPr sz="1000"/>
          </a:pPr>
          <a:r>
            <a:rPr lang="th-TH" sz="1200" b="0" i="0" strike="noStrike">
              <a:solidFill>
                <a:srgbClr val="000000"/>
              </a:solidFill>
              <a:latin typeface="Angsana New"/>
              <a:cs typeface="Angsana New"/>
            </a:rPr>
            <a:t>หน้า 1/4</a:t>
          </a:r>
        </a:p>
      </xdr:txBody>
    </xdr:sp>
    <xdr:clientData/>
  </xdr:twoCellAnchor>
  <xdr:twoCellAnchor editAs="oneCell">
    <xdr:from>
      <xdr:col>0</xdr:col>
      <xdr:colOff>307788</xdr:colOff>
      <xdr:row>0</xdr:row>
      <xdr:rowOff>180975</xdr:rowOff>
    </xdr:from>
    <xdr:to>
      <xdr:col>3</xdr:col>
      <xdr:colOff>761537</xdr:colOff>
      <xdr:row>1</xdr:row>
      <xdr:rowOff>177172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99122EEE-F75E-4603-A1CB-E308E0E3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88" y="180975"/>
          <a:ext cx="2149199" cy="577222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0816A306-CFA9-4C44-82D9-ED90AB693E18}"/>
            </a:ext>
          </a:extLst>
        </xdr:cNvPr>
        <xdr:cNvSpPr txBox="1">
          <a:spLocks noChangeArrowheads="1"/>
        </xdr:cNvSpPr>
      </xdr:nvSpPr>
      <xdr:spPr bwMode="auto">
        <a:xfrm>
          <a:off x="65722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0B9B8EB5-E712-4BC0-9648-038657403ECD}"/>
            </a:ext>
          </a:extLst>
        </xdr:cNvPr>
        <xdr:cNvSpPr txBox="1">
          <a:spLocks noChangeArrowheads="1"/>
        </xdr:cNvSpPr>
      </xdr:nvSpPr>
      <xdr:spPr bwMode="auto">
        <a:xfrm>
          <a:off x="60102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10" name="Text Box 374">
          <a:extLst>
            <a:ext uri="{FF2B5EF4-FFF2-40B4-BE49-F238E27FC236}">
              <a16:creationId xmlns:a16="http://schemas.microsoft.com/office/drawing/2014/main" id="{73A2A6BD-C45E-4CE5-9811-F2BEC5F2B8F7}"/>
            </a:ext>
          </a:extLst>
        </xdr:cNvPr>
        <xdr:cNvSpPr txBox="1">
          <a:spLocks noChangeArrowheads="1"/>
        </xdr:cNvSpPr>
      </xdr:nvSpPr>
      <xdr:spPr bwMode="auto">
        <a:xfrm>
          <a:off x="65722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11" name="Text Box 374">
          <a:extLst>
            <a:ext uri="{FF2B5EF4-FFF2-40B4-BE49-F238E27FC236}">
              <a16:creationId xmlns:a16="http://schemas.microsoft.com/office/drawing/2014/main" id="{7B52902F-547C-4574-8D04-9E8ADEE0EAC6}"/>
            </a:ext>
          </a:extLst>
        </xdr:cNvPr>
        <xdr:cNvSpPr txBox="1">
          <a:spLocks noChangeArrowheads="1"/>
        </xdr:cNvSpPr>
      </xdr:nvSpPr>
      <xdr:spPr bwMode="auto">
        <a:xfrm>
          <a:off x="60102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2" name="Text Box 374">
          <a:extLst>
            <a:ext uri="{FF2B5EF4-FFF2-40B4-BE49-F238E27FC236}">
              <a16:creationId xmlns:a16="http://schemas.microsoft.com/office/drawing/2014/main" id="{14E1E460-A212-460D-9AD1-2F75B4933B3E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3" name="Text Box 374">
          <a:extLst>
            <a:ext uri="{FF2B5EF4-FFF2-40B4-BE49-F238E27FC236}">
              <a16:creationId xmlns:a16="http://schemas.microsoft.com/office/drawing/2014/main" id="{B0D376BB-AB45-492D-854D-49E15895431E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4" name="Text Box 374">
          <a:extLst>
            <a:ext uri="{FF2B5EF4-FFF2-40B4-BE49-F238E27FC236}">
              <a16:creationId xmlns:a16="http://schemas.microsoft.com/office/drawing/2014/main" id="{3BF14A5A-0A78-478D-894A-A217E9AEFA57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5" name="Text Box 374">
          <a:extLst>
            <a:ext uri="{FF2B5EF4-FFF2-40B4-BE49-F238E27FC236}">
              <a16:creationId xmlns:a16="http://schemas.microsoft.com/office/drawing/2014/main" id="{E97AF064-EE4E-4E28-98BD-8315E8582C88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6" name="Text Box 374">
          <a:extLst>
            <a:ext uri="{FF2B5EF4-FFF2-40B4-BE49-F238E27FC236}">
              <a16:creationId xmlns:a16="http://schemas.microsoft.com/office/drawing/2014/main" id="{1FCAB848-B60D-4E98-9E72-BE1A6329AD2E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7" name="Text Box 374">
          <a:extLst>
            <a:ext uri="{FF2B5EF4-FFF2-40B4-BE49-F238E27FC236}">
              <a16:creationId xmlns:a16="http://schemas.microsoft.com/office/drawing/2014/main" id="{3C55FF2B-41FB-4C81-BBBA-8B00BF6119A2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18" name="Text Box 374">
          <a:extLst>
            <a:ext uri="{FF2B5EF4-FFF2-40B4-BE49-F238E27FC236}">
              <a16:creationId xmlns:a16="http://schemas.microsoft.com/office/drawing/2014/main" id="{75CB5058-4537-403E-B86E-EBE34548A3A9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19" name="Text Box 374">
          <a:extLst>
            <a:ext uri="{FF2B5EF4-FFF2-40B4-BE49-F238E27FC236}">
              <a16:creationId xmlns:a16="http://schemas.microsoft.com/office/drawing/2014/main" id="{7D12E3AB-9263-41E8-A495-66C06C0C9839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0" name="Text Box 374">
          <a:extLst>
            <a:ext uri="{FF2B5EF4-FFF2-40B4-BE49-F238E27FC236}">
              <a16:creationId xmlns:a16="http://schemas.microsoft.com/office/drawing/2014/main" id="{53D93226-8F17-4560-B32F-02D1C7533033}"/>
            </a:ext>
          </a:extLst>
        </xdr:cNvPr>
        <xdr:cNvSpPr txBox="1">
          <a:spLocks noChangeArrowheads="1"/>
        </xdr:cNvSpPr>
      </xdr:nvSpPr>
      <xdr:spPr bwMode="auto">
        <a:xfrm>
          <a:off x="53911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104775</xdr:colOff>
      <xdr:row>116</xdr:row>
      <xdr:rowOff>0</xdr:rowOff>
    </xdr:to>
    <xdr:sp macro="" textlink="">
      <xdr:nvSpPr>
        <xdr:cNvPr id="21" name="Text Box 374">
          <a:extLst>
            <a:ext uri="{FF2B5EF4-FFF2-40B4-BE49-F238E27FC236}">
              <a16:creationId xmlns:a16="http://schemas.microsoft.com/office/drawing/2014/main" id="{63A7B456-D9BD-420C-980A-F2C5DE07BF82}"/>
            </a:ext>
          </a:extLst>
        </xdr:cNvPr>
        <xdr:cNvSpPr txBox="1">
          <a:spLocks noChangeArrowheads="1"/>
        </xdr:cNvSpPr>
      </xdr:nvSpPr>
      <xdr:spPr bwMode="auto">
        <a:xfrm>
          <a:off x="5391150" y="351377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104775</xdr:colOff>
      <xdr:row>15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5713DA5D-FA36-4068-98C1-ACC970575596}"/>
            </a:ext>
          </a:extLst>
        </xdr:cNvPr>
        <xdr:cNvSpPr txBox="1">
          <a:spLocks noChangeArrowheads="1"/>
        </xdr:cNvSpPr>
      </xdr:nvSpPr>
      <xdr:spPr bwMode="auto">
        <a:xfrm>
          <a:off x="65722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104775</xdr:colOff>
      <xdr:row>15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6AFF1CA8-5A84-4BDE-9AB5-136B56B5BB08}"/>
            </a:ext>
          </a:extLst>
        </xdr:cNvPr>
        <xdr:cNvSpPr txBox="1">
          <a:spLocks noChangeArrowheads="1"/>
        </xdr:cNvSpPr>
      </xdr:nvSpPr>
      <xdr:spPr bwMode="auto">
        <a:xfrm>
          <a:off x="60102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104775</xdr:colOff>
      <xdr:row>55</xdr:row>
      <xdr:rowOff>28575</xdr:rowOff>
    </xdr:to>
    <xdr:sp macro="" textlink="">
      <xdr:nvSpPr>
        <xdr:cNvPr id="24" name="Text Box 374">
          <a:extLst>
            <a:ext uri="{FF2B5EF4-FFF2-40B4-BE49-F238E27FC236}">
              <a16:creationId xmlns:a16="http://schemas.microsoft.com/office/drawing/2014/main" id="{6D3087AD-8372-49D0-A881-47885D5B8493}"/>
            </a:ext>
          </a:extLst>
        </xdr:cNvPr>
        <xdr:cNvSpPr txBox="1">
          <a:spLocks noChangeArrowheads="1"/>
        </xdr:cNvSpPr>
      </xdr:nvSpPr>
      <xdr:spPr bwMode="auto">
        <a:xfrm>
          <a:off x="6572250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104775</xdr:colOff>
      <xdr:row>55</xdr:row>
      <xdr:rowOff>28575</xdr:rowOff>
    </xdr:to>
    <xdr:sp macro="" textlink="">
      <xdr:nvSpPr>
        <xdr:cNvPr id="25" name="Text Box 374">
          <a:extLst>
            <a:ext uri="{FF2B5EF4-FFF2-40B4-BE49-F238E27FC236}">
              <a16:creationId xmlns:a16="http://schemas.microsoft.com/office/drawing/2014/main" id="{3A816BFF-EFE6-4F1D-BE01-62B66D8E2D8F}"/>
            </a:ext>
          </a:extLst>
        </xdr:cNvPr>
        <xdr:cNvSpPr txBox="1">
          <a:spLocks noChangeArrowheads="1"/>
        </xdr:cNvSpPr>
      </xdr:nvSpPr>
      <xdr:spPr bwMode="auto">
        <a:xfrm>
          <a:off x="6010275" y="16525875"/>
          <a:ext cx="1047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6" name="Text Box 374">
          <a:extLst>
            <a:ext uri="{FF2B5EF4-FFF2-40B4-BE49-F238E27FC236}">
              <a16:creationId xmlns:a16="http://schemas.microsoft.com/office/drawing/2014/main" id="{3D06B276-9DC7-43C9-A99B-F46D3A417A59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7" name="Text Box 374">
          <a:extLst>
            <a:ext uri="{FF2B5EF4-FFF2-40B4-BE49-F238E27FC236}">
              <a16:creationId xmlns:a16="http://schemas.microsoft.com/office/drawing/2014/main" id="{3C6C9232-7291-4CE4-8CD1-991E0F3B5A83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28" name="Text Box 374">
          <a:extLst>
            <a:ext uri="{FF2B5EF4-FFF2-40B4-BE49-F238E27FC236}">
              <a16:creationId xmlns:a16="http://schemas.microsoft.com/office/drawing/2014/main" id="{ADAE2347-8C53-44EB-B7A0-D820350A6DFC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29" name="Text Box 374">
          <a:extLst>
            <a:ext uri="{FF2B5EF4-FFF2-40B4-BE49-F238E27FC236}">
              <a16:creationId xmlns:a16="http://schemas.microsoft.com/office/drawing/2014/main" id="{52A30144-6DC4-4DFF-9363-D95D5B4736BF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0" name="Text Box 374">
          <a:extLst>
            <a:ext uri="{FF2B5EF4-FFF2-40B4-BE49-F238E27FC236}">
              <a16:creationId xmlns:a16="http://schemas.microsoft.com/office/drawing/2014/main" id="{D96ABCF1-8FD0-4C69-8BAF-26CFFC0EFBFA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1" name="Text Box 374">
          <a:extLst>
            <a:ext uri="{FF2B5EF4-FFF2-40B4-BE49-F238E27FC236}">
              <a16:creationId xmlns:a16="http://schemas.microsoft.com/office/drawing/2014/main" id="{893DAA89-B74E-45C5-AF0E-3477E42DE2B9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104775</xdr:colOff>
      <xdr:row>86</xdr:row>
      <xdr:rowOff>28575</xdr:rowOff>
    </xdr:to>
    <xdr:sp macro="" textlink="">
      <xdr:nvSpPr>
        <xdr:cNvPr id="32" name="Text Box 374">
          <a:extLst>
            <a:ext uri="{FF2B5EF4-FFF2-40B4-BE49-F238E27FC236}">
              <a16:creationId xmlns:a16="http://schemas.microsoft.com/office/drawing/2014/main" id="{9709079D-518D-4F48-87EE-4A186CAA9389}"/>
            </a:ext>
          </a:extLst>
        </xdr:cNvPr>
        <xdr:cNvSpPr txBox="1">
          <a:spLocks noChangeArrowheads="1"/>
        </xdr:cNvSpPr>
      </xdr:nvSpPr>
      <xdr:spPr bwMode="auto">
        <a:xfrm>
          <a:off x="6572250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104775</xdr:colOff>
      <xdr:row>86</xdr:row>
      <xdr:rowOff>28575</xdr:rowOff>
    </xdr:to>
    <xdr:sp macro="" textlink="">
      <xdr:nvSpPr>
        <xdr:cNvPr id="33" name="Text Box 374">
          <a:extLst>
            <a:ext uri="{FF2B5EF4-FFF2-40B4-BE49-F238E27FC236}">
              <a16:creationId xmlns:a16="http://schemas.microsoft.com/office/drawing/2014/main" id="{8293F4F8-B30E-4CE0-9D69-316F77252368}"/>
            </a:ext>
          </a:extLst>
        </xdr:cNvPr>
        <xdr:cNvSpPr txBox="1">
          <a:spLocks noChangeArrowheads="1"/>
        </xdr:cNvSpPr>
      </xdr:nvSpPr>
      <xdr:spPr bwMode="auto">
        <a:xfrm>
          <a:off x="6010275" y="26298525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4" name="Text Box 374">
          <a:extLst>
            <a:ext uri="{FF2B5EF4-FFF2-40B4-BE49-F238E27FC236}">
              <a16:creationId xmlns:a16="http://schemas.microsoft.com/office/drawing/2014/main" id="{811F71D9-F242-4909-92FC-966D5D60C837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571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5" name="Text Box 374">
          <a:extLst>
            <a:ext uri="{FF2B5EF4-FFF2-40B4-BE49-F238E27FC236}">
              <a16:creationId xmlns:a16="http://schemas.microsoft.com/office/drawing/2014/main" id="{FFDBFA79-606C-4B73-B0A3-2D99ACC11941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6" name="Text Box 374">
          <a:extLst>
            <a:ext uri="{FF2B5EF4-FFF2-40B4-BE49-F238E27FC236}">
              <a16:creationId xmlns:a16="http://schemas.microsoft.com/office/drawing/2014/main" id="{EBE41E74-6D8F-4073-88E2-A3856AF54166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37" name="Text Box 374">
          <a:extLst>
            <a:ext uri="{FF2B5EF4-FFF2-40B4-BE49-F238E27FC236}">
              <a16:creationId xmlns:a16="http://schemas.microsoft.com/office/drawing/2014/main" id="{90634BEF-BB42-4AB6-810F-749B1AB7ADAA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571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8" name="Text Box 374">
          <a:extLst>
            <a:ext uri="{FF2B5EF4-FFF2-40B4-BE49-F238E27FC236}">
              <a16:creationId xmlns:a16="http://schemas.microsoft.com/office/drawing/2014/main" id="{EC5C8326-DEBF-41F3-9621-53A38263B4CD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39" name="Text Box 374">
          <a:extLst>
            <a:ext uri="{FF2B5EF4-FFF2-40B4-BE49-F238E27FC236}">
              <a16:creationId xmlns:a16="http://schemas.microsoft.com/office/drawing/2014/main" id="{DCE3B98E-7B9D-4629-9FDF-4F6046EA2AA2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5</xdr:col>
      <xdr:colOff>104775</xdr:colOff>
      <xdr:row>117</xdr:row>
      <xdr:rowOff>0</xdr:rowOff>
    </xdr:to>
    <xdr:sp macro="" textlink="">
      <xdr:nvSpPr>
        <xdr:cNvPr id="40" name="Text Box 374">
          <a:extLst>
            <a:ext uri="{FF2B5EF4-FFF2-40B4-BE49-F238E27FC236}">
              <a16:creationId xmlns:a16="http://schemas.microsoft.com/office/drawing/2014/main" id="{D62A534A-7BF8-4D64-B7BA-0C6137B62BEB}"/>
            </a:ext>
          </a:extLst>
        </xdr:cNvPr>
        <xdr:cNvSpPr txBox="1">
          <a:spLocks noChangeArrowheads="1"/>
        </xdr:cNvSpPr>
      </xdr:nvSpPr>
      <xdr:spPr bwMode="auto">
        <a:xfrm>
          <a:off x="1695450" y="35366325"/>
          <a:ext cx="2571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1" name="Text Box 374">
          <a:extLst>
            <a:ext uri="{FF2B5EF4-FFF2-40B4-BE49-F238E27FC236}">
              <a16:creationId xmlns:a16="http://schemas.microsoft.com/office/drawing/2014/main" id="{965E291A-C306-4AE2-B3F5-1FEC3D7DBE4D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104775</xdr:colOff>
      <xdr:row>117</xdr:row>
      <xdr:rowOff>0</xdr:rowOff>
    </xdr:to>
    <xdr:sp macro="" textlink="">
      <xdr:nvSpPr>
        <xdr:cNvPr id="42" name="Text Box 374">
          <a:extLst>
            <a:ext uri="{FF2B5EF4-FFF2-40B4-BE49-F238E27FC236}">
              <a16:creationId xmlns:a16="http://schemas.microsoft.com/office/drawing/2014/main" id="{A6DCA74C-10DA-42F5-A4BD-F6AE107CB780}"/>
            </a:ext>
          </a:extLst>
        </xdr:cNvPr>
        <xdr:cNvSpPr txBox="1">
          <a:spLocks noChangeArrowheads="1"/>
        </xdr:cNvSpPr>
      </xdr:nvSpPr>
      <xdr:spPr bwMode="auto">
        <a:xfrm>
          <a:off x="5391150" y="35366325"/>
          <a:ext cx="104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3" name="Text Box 374">
          <a:extLst>
            <a:ext uri="{FF2B5EF4-FFF2-40B4-BE49-F238E27FC236}">
              <a16:creationId xmlns:a16="http://schemas.microsoft.com/office/drawing/2014/main" id="{C20785B5-A856-4B80-9572-CFC082D66FF4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4" name="Text Box 374">
          <a:extLst>
            <a:ext uri="{FF2B5EF4-FFF2-40B4-BE49-F238E27FC236}">
              <a16:creationId xmlns:a16="http://schemas.microsoft.com/office/drawing/2014/main" id="{5EBC58A8-D36F-4260-8299-30AD3BC23465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45" name="Text Box 374">
          <a:extLst>
            <a:ext uri="{FF2B5EF4-FFF2-40B4-BE49-F238E27FC236}">
              <a16:creationId xmlns:a16="http://schemas.microsoft.com/office/drawing/2014/main" id="{717CCF9D-A483-4FA8-9758-6716BA95FFED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46" name="Text Box 374">
          <a:extLst>
            <a:ext uri="{FF2B5EF4-FFF2-40B4-BE49-F238E27FC236}">
              <a16:creationId xmlns:a16="http://schemas.microsoft.com/office/drawing/2014/main" id="{4B59D188-EEAC-41F7-8BBC-0B608DC2BDC0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0</xdr:rowOff>
    </xdr:to>
    <xdr:sp macro="" textlink="">
      <xdr:nvSpPr>
        <xdr:cNvPr id="47" name="Text Box 374">
          <a:extLst>
            <a:ext uri="{FF2B5EF4-FFF2-40B4-BE49-F238E27FC236}">
              <a16:creationId xmlns:a16="http://schemas.microsoft.com/office/drawing/2014/main" id="{4CE0F73E-6CFF-4007-9B9B-47E593007EFB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5717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8" name="Text Box 374">
          <a:extLst>
            <a:ext uri="{FF2B5EF4-FFF2-40B4-BE49-F238E27FC236}">
              <a16:creationId xmlns:a16="http://schemas.microsoft.com/office/drawing/2014/main" id="{2542BF3C-4E68-4E9E-A0DE-918CF9663A09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0</xdr:rowOff>
    </xdr:to>
    <xdr:sp macro="" textlink="">
      <xdr:nvSpPr>
        <xdr:cNvPr id="49" name="Text Box 374">
          <a:extLst>
            <a:ext uri="{FF2B5EF4-FFF2-40B4-BE49-F238E27FC236}">
              <a16:creationId xmlns:a16="http://schemas.microsoft.com/office/drawing/2014/main" id="{6B2315DE-B15C-474C-B22A-8861E39FA81B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0" name="Text Box 374">
          <a:extLst>
            <a:ext uri="{FF2B5EF4-FFF2-40B4-BE49-F238E27FC236}">
              <a16:creationId xmlns:a16="http://schemas.microsoft.com/office/drawing/2014/main" id="{D2EBFD74-8211-4D61-9FE0-56529618942F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1" name="Text Box 374">
          <a:extLst>
            <a:ext uri="{FF2B5EF4-FFF2-40B4-BE49-F238E27FC236}">
              <a16:creationId xmlns:a16="http://schemas.microsoft.com/office/drawing/2014/main" id="{FFEE661A-5222-4E60-B1BC-4F6473495537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104775</xdr:colOff>
      <xdr:row>83</xdr:row>
      <xdr:rowOff>28575</xdr:rowOff>
    </xdr:to>
    <xdr:sp macro="" textlink="">
      <xdr:nvSpPr>
        <xdr:cNvPr id="52" name="Text Box 374">
          <a:extLst>
            <a:ext uri="{FF2B5EF4-FFF2-40B4-BE49-F238E27FC236}">
              <a16:creationId xmlns:a16="http://schemas.microsoft.com/office/drawing/2014/main" id="{386DE993-A91C-400A-B380-36FEEB4BB38C}"/>
            </a:ext>
          </a:extLst>
        </xdr:cNvPr>
        <xdr:cNvSpPr txBox="1">
          <a:spLocks noChangeArrowheads="1"/>
        </xdr:cNvSpPr>
      </xdr:nvSpPr>
      <xdr:spPr bwMode="auto">
        <a:xfrm>
          <a:off x="6572250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104775</xdr:colOff>
      <xdr:row>83</xdr:row>
      <xdr:rowOff>28575</xdr:rowOff>
    </xdr:to>
    <xdr:sp macro="" textlink="">
      <xdr:nvSpPr>
        <xdr:cNvPr id="53" name="Text Box 374">
          <a:extLst>
            <a:ext uri="{FF2B5EF4-FFF2-40B4-BE49-F238E27FC236}">
              <a16:creationId xmlns:a16="http://schemas.microsoft.com/office/drawing/2014/main" id="{B51C64F6-D2E1-45A2-8415-E4CAB47D2613}"/>
            </a:ext>
          </a:extLst>
        </xdr:cNvPr>
        <xdr:cNvSpPr txBox="1">
          <a:spLocks noChangeArrowheads="1"/>
        </xdr:cNvSpPr>
      </xdr:nvSpPr>
      <xdr:spPr bwMode="auto">
        <a:xfrm>
          <a:off x="6010275" y="24774525"/>
          <a:ext cx="104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104775</xdr:colOff>
      <xdr:row>119</xdr:row>
      <xdr:rowOff>28575</xdr:rowOff>
    </xdr:to>
    <xdr:sp macro="" textlink="">
      <xdr:nvSpPr>
        <xdr:cNvPr id="54" name="Text Box 374">
          <a:extLst>
            <a:ext uri="{FF2B5EF4-FFF2-40B4-BE49-F238E27FC236}">
              <a16:creationId xmlns:a16="http://schemas.microsoft.com/office/drawing/2014/main" id="{F0931F01-2DD8-4D18-9E1A-2FC008A089B7}"/>
            </a:ext>
          </a:extLst>
        </xdr:cNvPr>
        <xdr:cNvSpPr txBox="1">
          <a:spLocks noChangeArrowheads="1"/>
        </xdr:cNvSpPr>
      </xdr:nvSpPr>
      <xdr:spPr bwMode="auto">
        <a:xfrm>
          <a:off x="5391150" y="35833050"/>
          <a:ext cx="104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305F7805-B070-4643-8215-AF8BA8FEB175}"/>
            </a:ext>
          </a:extLst>
        </xdr:cNvPr>
        <xdr:cNvSpPr txBox="1">
          <a:spLocks noChangeArrowheads="1"/>
        </xdr:cNvSpPr>
      </xdr:nvSpPr>
      <xdr:spPr bwMode="auto">
        <a:xfrm>
          <a:off x="176593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5</xdr:col>
      <xdr:colOff>104775</xdr:colOff>
      <xdr:row>118</xdr:row>
      <xdr:rowOff>28575</xdr:rowOff>
    </xdr:to>
    <xdr:sp macro="" textlink="">
      <xdr:nvSpPr>
        <xdr:cNvPr id="56" name="Text Box 374">
          <a:extLst>
            <a:ext uri="{FF2B5EF4-FFF2-40B4-BE49-F238E27FC236}">
              <a16:creationId xmlns:a16="http://schemas.microsoft.com/office/drawing/2014/main" id="{51746D9B-5623-4DF4-AFF1-5564D7F19C38}"/>
            </a:ext>
          </a:extLst>
        </xdr:cNvPr>
        <xdr:cNvSpPr txBox="1">
          <a:spLocks noChangeArrowheads="1"/>
        </xdr:cNvSpPr>
      </xdr:nvSpPr>
      <xdr:spPr bwMode="auto">
        <a:xfrm>
          <a:off x="1695450" y="35594925"/>
          <a:ext cx="25717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7" name="Text Box 374">
          <a:extLst>
            <a:ext uri="{FF2B5EF4-FFF2-40B4-BE49-F238E27FC236}">
              <a16:creationId xmlns:a16="http://schemas.microsoft.com/office/drawing/2014/main" id="{0F25C99D-7279-4F57-9A5E-E771A6114B4C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104775</xdr:colOff>
      <xdr:row>118</xdr:row>
      <xdr:rowOff>28575</xdr:rowOff>
    </xdr:to>
    <xdr:sp macro="" textlink="">
      <xdr:nvSpPr>
        <xdr:cNvPr id="58" name="Text Box 374">
          <a:extLst>
            <a:ext uri="{FF2B5EF4-FFF2-40B4-BE49-F238E27FC236}">
              <a16:creationId xmlns:a16="http://schemas.microsoft.com/office/drawing/2014/main" id="{F994E5DD-5724-4BA6-A750-58BFC10EDF0E}"/>
            </a:ext>
          </a:extLst>
        </xdr:cNvPr>
        <xdr:cNvSpPr txBox="1">
          <a:spLocks noChangeArrowheads="1"/>
        </xdr:cNvSpPr>
      </xdr:nvSpPr>
      <xdr:spPr bwMode="auto">
        <a:xfrm>
          <a:off x="5391150" y="35594925"/>
          <a:ext cx="1047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29</xdr:col>
      <xdr:colOff>152399</xdr:colOff>
      <xdr:row>119</xdr:row>
      <xdr:rowOff>9525</xdr:rowOff>
    </xdr:from>
    <xdr:to>
      <xdr:col>30</xdr:col>
      <xdr:colOff>0</xdr:colOff>
      <xdr:row>120</xdr:row>
      <xdr:rowOff>165100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1AB0EEA0-60BA-42ED-980C-32F9029262A7}"/>
            </a:ext>
          </a:extLst>
        </xdr:cNvPr>
        <xdr:cNvSpPr txBox="1">
          <a:spLocks noChangeArrowheads="1"/>
        </xdr:cNvSpPr>
      </xdr:nvSpPr>
      <xdr:spPr bwMode="auto">
        <a:xfrm>
          <a:off x="17659349" y="36071175"/>
          <a:ext cx="438151" cy="42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th-TH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7</xdr:col>
      <xdr:colOff>104775</xdr:colOff>
      <xdr:row>11</xdr:row>
      <xdr:rowOff>28575</xdr:rowOff>
    </xdr:to>
    <xdr:sp macro="" textlink="">
      <xdr:nvSpPr>
        <xdr:cNvPr id="8" name="Text Box 374">
          <a:extLst>
            <a:ext uri="{FF2B5EF4-FFF2-40B4-BE49-F238E27FC236}">
              <a16:creationId xmlns:a16="http://schemas.microsoft.com/office/drawing/2014/main" id="{8C28A9BD-8FFA-47C9-A6BB-C2F6DCB85F90}"/>
            </a:ext>
          </a:extLst>
        </xdr:cNvPr>
        <xdr:cNvSpPr txBox="1">
          <a:spLocks noChangeArrowheads="1"/>
        </xdr:cNvSpPr>
      </xdr:nvSpPr>
      <xdr:spPr bwMode="auto">
        <a:xfrm>
          <a:off x="65722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104775</xdr:colOff>
      <xdr:row>11</xdr:row>
      <xdr:rowOff>28575</xdr:rowOff>
    </xdr:to>
    <xdr:sp macro="" textlink="">
      <xdr:nvSpPr>
        <xdr:cNvPr id="9" name="Text Box 374">
          <a:extLst>
            <a:ext uri="{FF2B5EF4-FFF2-40B4-BE49-F238E27FC236}">
              <a16:creationId xmlns:a16="http://schemas.microsoft.com/office/drawing/2014/main" id="{6A3DD61C-AD80-4ED3-B099-79105E762CC4}"/>
            </a:ext>
          </a:extLst>
        </xdr:cNvPr>
        <xdr:cNvSpPr txBox="1">
          <a:spLocks noChangeArrowheads="1"/>
        </xdr:cNvSpPr>
      </xdr:nvSpPr>
      <xdr:spPr bwMode="auto">
        <a:xfrm>
          <a:off x="60102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104775</xdr:colOff>
      <xdr:row>11</xdr:row>
      <xdr:rowOff>28575</xdr:rowOff>
    </xdr:to>
    <xdr:sp macro="" textlink="">
      <xdr:nvSpPr>
        <xdr:cNvPr id="22" name="Text Box 374">
          <a:extLst>
            <a:ext uri="{FF2B5EF4-FFF2-40B4-BE49-F238E27FC236}">
              <a16:creationId xmlns:a16="http://schemas.microsoft.com/office/drawing/2014/main" id="{67881126-ED02-43D9-A2CD-97E676EEBEFF}"/>
            </a:ext>
          </a:extLst>
        </xdr:cNvPr>
        <xdr:cNvSpPr txBox="1">
          <a:spLocks noChangeArrowheads="1"/>
        </xdr:cNvSpPr>
      </xdr:nvSpPr>
      <xdr:spPr bwMode="auto">
        <a:xfrm>
          <a:off x="6572250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104775</xdr:colOff>
      <xdr:row>11</xdr:row>
      <xdr:rowOff>28575</xdr:rowOff>
    </xdr:to>
    <xdr:sp macro="" textlink="">
      <xdr:nvSpPr>
        <xdr:cNvPr id="23" name="Text Box 374">
          <a:extLst>
            <a:ext uri="{FF2B5EF4-FFF2-40B4-BE49-F238E27FC236}">
              <a16:creationId xmlns:a16="http://schemas.microsoft.com/office/drawing/2014/main" id="{CBD393C0-7C84-489D-92C2-1BFFD97E34E1}"/>
            </a:ext>
          </a:extLst>
        </xdr:cNvPr>
        <xdr:cNvSpPr txBox="1">
          <a:spLocks noChangeArrowheads="1"/>
        </xdr:cNvSpPr>
      </xdr:nvSpPr>
      <xdr:spPr bwMode="auto">
        <a:xfrm>
          <a:off x="6010275" y="4438650"/>
          <a:ext cx="1047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\\poly_proxy\Polysack_share\PD2\&#3591;&#3634;&#3609;&#3585;&#3632;69\&#3588;&#3656;&#3634;&#3648;&#3627;&#3617;&#3634;2569\Copy%20of%20&#3617;&#3585;&#3619;&#3634;&#3588;&#3617;%20%2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เหมา!R1763C10:R1842C10" advise="1">
            <x14:values rows="80">
              <value>
                <val>922</val>
              </value>
              <value>
                <val>902</val>
              </value>
              <value>
                <val>1201</val>
              </value>
              <value>
                <val>467</val>
              </value>
              <value>
                <val>0</val>
              </value>
              <value>
                <val>557</val>
              </value>
              <value>
                <val>522</val>
              </value>
              <value>
                <val>586</val>
              </value>
              <value>
                <val>730</val>
              </value>
              <value>
                <val>772</val>
              </value>
              <value>
                <val>836</val>
              </value>
              <value>
                <val>929</val>
              </value>
              <value>
                <val>842</val>
              </value>
              <value>
                <val>814</val>
              </value>
              <value>
                <val>1052</val>
              </value>
              <value>
                <val>1149</val>
              </value>
              <value>
                <val>1212</val>
              </value>
              <value>
                <val>1123</val>
              </value>
              <value>
                <val>981</val>
              </value>
              <value>
                <val>713</val>
              </value>
              <value>
                <val>716</val>
              </value>
              <value>
                <val>825</val>
              </value>
              <value>
                <val>838</val>
              </value>
              <value>
                <val>807</val>
              </value>
              <value>
                <val>837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442</val>
              </value>
              <value>
                <val>733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336</val>
              </value>
              <value>
                <val>492</val>
              </value>
              <value>
                <val>126</val>
              </value>
              <value>
                <val>0</val>
              </value>
              <value>
                <val>548</val>
              </value>
              <value>
                <val>414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735</val>
              </value>
              <value>
                <val>905</val>
              </value>
              <value>
                <val>1020</val>
              </value>
              <value>
                <val>825</val>
              </value>
              <value>
                <val>905</val>
              </value>
              <value>
                <val>600</val>
              </value>
              <value>
                <val>701</val>
              </value>
              <value>
                <val>460</val>
              </value>
              <value>
                <val>1080</val>
              </value>
              <value>
                <val>993</val>
              </value>
              <value>
                <val>983</val>
              </value>
              <value>
                <val>1088</val>
              </value>
              <value>
                <val>750</val>
              </value>
              <value>
                <val>920</val>
              </value>
              <value>
                <val>870</val>
              </value>
              <value>
                <val>910</val>
              </value>
              <value>
                <val>640</val>
              </value>
              <value>
                <val>809</val>
              </value>
              <value>
                <val>1176</val>
              </value>
              <value>
                <val>951</val>
              </value>
              <value>
                <val>1044</val>
              </value>
              <value>
                <val>800</val>
              </value>
              <value>
                <val>815</val>
              </value>
              <value>
                <val>0</val>
              </value>
              <value>
                <val>1093</val>
              </value>
              <value>
                <val>1018</val>
              </value>
              <value>
                <val>1037</val>
              </value>
              <value>
                <val>1216</val>
              </value>
              <value>
                <val>880</val>
              </value>
              <value>
                <val>845</val>
              </value>
              <value>
                <val>778</val>
              </value>
              <value>
                <val>875</val>
              </value>
              <value>
                <val>0</val>
              </value>
              <value>
                <val>0</val>
              </value>
              <value>
                <val>0</val>
              </value>
            </x14:values>
          </x14:oleItem>
        </mc:Choice>
        <mc:Fallback>
          <oleItem name="!เหมา!R1763C10:R1842C10" advise="1"/>
        </mc:Fallback>
      </mc:AlternateContent>
    </oleItems>
  </oleLin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C993-3E3E-4643-8044-39FB577FA286}">
  <dimension ref="A1:AL134"/>
  <sheetViews>
    <sheetView zoomScale="83" zoomScaleNormal="83" zoomScaleSheetLayoutView="70" workbookViewId="0">
      <pane xSplit="4" ySplit="5" topLeftCell="E89" activePane="bottomRight" state="frozen"/>
      <selection activeCell="M107" sqref="M107"/>
      <selection pane="topRight" activeCell="M107" sqref="M107"/>
      <selection pane="bottomLeft" activeCell="M107" sqref="M107"/>
      <selection pane="bottomRight" activeCell="X27" sqref="X27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6.85546875" style="1" customWidth="1"/>
    <col min="23" max="23" width="9.42578125" style="204" customWidth="1"/>
    <col min="24" max="24" width="10.71093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10.8554687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363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36</v>
      </c>
      <c r="E6" s="28">
        <v>69011928</v>
      </c>
      <c r="F6" s="29">
        <v>690126</v>
      </c>
      <c r="G6" s="30">
        <v>1010</v>
      </c>
      <c r="H6" s="31">
        <v>790</v>
      </c>
      <c r="I6" s="32">
        <v>750</v>
      </c>
      <c r="J6" s="32">
        <v>750</v>
      </c>
      <c r="K6" s="33">
        <f>G6*8/100</f>
        <v>80.8</v>
      </c>
      <c r="L6" s="34">
        <f>H6*8/100</f>
        <v>63.2</v>
      </c>
      <c r="M6" s="303">
        <v>1253</v>
      </c>
      <c r="N6" s="31"/>
      <c r="O6" s="31"/>
      <c r="P6" s="31"/>
      <c r="Q6" s="35">
        <v>2000</v>
      </c>
      <c r="R6" s="36"/>
      <c r="S6" s="36">
        <v>196.9</v>
      </c>
      <c r="T6" s="37"/>
      <c r="U6" s="38"/>
      <c r="V6" s="39"/>
      <c r="W6" s="39">
        <f>S6*1000/39.37/Q6*44.5</f>
        <v>111.27825755651511</v>
      </c>
      <c r="X6" s="40"/>
      <c r="Y6" s="40">
        <f t="shared" ref="Y6:Y8" si="0">(AC6+W6)/2</f>
        <v>112.08912877825756</v>
      </c>
      <c r="Z6" s="41"/>
      <c r="AA6" s="42"/>
      <c r="AB6" s="43"/>
      <c r="AC6" s="43">
        <v>112.9</v>
      </c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36</v>
      </c>
      <c r="E7" s="28">
        <v>69011929</v>
      </c>
      <c r="F7" s="29">
        <v>690126</v>
      </c>
      <c r="G7" s="45">
        <v>921</v>
      </c>
      <c r="H7" s="31">
        <v>823</v>
      </c>
      <c r="I7" s="46">
        <v>750</v>
      </c>
      <c r="J7" s="32">
        <v>750</v>
      </c>
      <c r="K7" s="33">
        <f t="shared" ref="K7:L38" si="1">G7*8/100</f>
        <v>73.680000000000007</v>
      </c>
      <c r="L7" s="47">
        <f t="shared" si="1"/>
        <v>65.84</v>
      </c>
      <c r="M7" s="303">
        <v>632</v>
      </c>
      <c r="N7" s="31"/>
      <c r="O7" s="31"/>
      <c r="P7" s="31"/>
      <c r="Q7" s="35">
        <v>2000</v>
      </c>
      <c r="R7" s="48"/>
      <c r="S7" s="36">
        <v>194.2</v>
      </c>
      <c r="T7" s="36"/>
      <c r="U7" s="37"/>
      <c r="V7" s="38"/>
      <c r="W7" s="39">
        <f>S7*1000/39.37/Q7*44.5</f>
        <v>109.752349504699</v>
      </c>
      <c r="X7" s="39"/>
      <c r="Y7" s="40">
        <f t="shared" si="0"/>
        <v>111.9411747523495</v>
      </c>
      <c r="Z7" s="40"/>
      <c r="AA7" s="41"/>
      <c r="AB7" s="42"/>
      <c r="AC7" s="43">
        <v>114.13</v>
      </c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69011931</v>
      </c>
      <c r="F8" s="29">
        <v>690111</v>
      </c>
      <c r="G8" s="45">
        <v>918</v>
      </c>
      <c r="H8" s="31">
        <v>916</v>
      </c>
      <c r="I8" s="46">
        <v>750</v>
      </c>
      <c r="J8" s="32">
        <v>750</v>
      </c>
      <c r="K8" s="33">
        <f t="shared" si="1"/>
        <v>73.44</v>
      </c>
      <c r="L8" s="47">
        <f t="shared" si="1"/>
        <v>73.28</v>
      </c>
      <c r="M8" s="303">
        <v>1096</v>
      </c>
      <c r="N8" s="31"/>
      <c r="O8" s="31"/>
      <c r="P8" s="31"/>
      <c r="Q8" s="35">
        <v>2500</v>
      </c>
      <c r="R8" s="48"/>
      <c r="S8" s="36">
        <v>168.3</v>
      </c>
      <c r="T8" s="36"/>
      <c r="U8" s="37">
        <v>25</v>
      </c>
      <c r="V8" s="38"/>
      <c r="W8" s="39">
        <f>S8*1000/39.37/Q8*38.5</f>
        <v>65.832359664719334</v>
      </c>
      <c r="X8" s="39"/>
      <c r="Y8" s="40">
        <f t="shared" si="0"/>
        <v>66.871179832359672</v>
      </c>
      <c r="Z8" s="40"/>
      <c r="AA8" s="41"/>
      <c r="AB8" s="42"/>
      <c r="AC8" s="43">
        <v>67.91</v>
      </c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 t="s">
        <v>365</v>
      </c>
      <c r="F9" s="29">
        <v>690119</v>
      </c>
      <c r="G9" s="45">
        <v>896</v>
      </c>
      <c r="H9" s="31">
        <v>1044</v>
      </c>
      <c r="I9" s="46">
        <v>110</v>
      </c>
      <c r="J9" s="32">
        <v>110</v>
      </c>
      <c r="K9" s="33">
        <f t="shared" si="1"/>
        <v>71.680000000000007</v>
      </c>
      <c r="L9" s="47">
        <f t="shared" si="1"/>
        <v>83.52</v>
      </c>
      <c r="M9" s="303">
        <v>0</v>
      </c>
      <c r="N9" s="31"/>
      <c r="O9" s="31"/>
      <c r="P9" s="31"/>
      <c r="Q9" s="35">
        <v>895</v>
      </c>
      <c r="R9" s="48">
        <v>930</v>
      </c>
      <c r="S9" s="36">
        <v>73.599999999999994</v>
      </c>
      <c r="T9" s="36">
        <v>77</v>
      </c>
      <c r="U9" s="37">
        <v>10</v>
      </c>
      <c r="V9" s="38">
        <v>10</v>
      </c>
      <c r="W9" s="39">
        <f>S9*1000/39.37/Q9*38.5</f>
        <v>80.417412231472511</v>
      </c>
      <c r="X9" s="39">
        <f>T9*1000/39.37/R9*38.5</f>
        <v>80.966075910646438</v>
      </c>
      <c r="Y9" s="40">
        <f t="shared" ref="Y9:Z10" si="2">(AC9+W9)/2</f>
        <v>80.983706115736254</v>
      </c>
      <c r="Z9" s="40">
        <f t="shared" si="2"/>
        <v>81.493037955323217</v>
      </c>
      <c r="AA9" s="41"/>
      <c r="AB9" s="42"/>
      <c r="AC9" s="43">
        <v>81.55</v>
      </c>
      <c r="AD9" s="43">
        <v>82.02</v>
      </c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47</v>
      </c>
      <c r="E10" s="28">
        <v>69011934</v>
      </c>
      <c r="F10" s="29">
        <v>690136</v>
      </c>
      <c r="G10" s="51">
        <v>905</v>
      </c>
      <c r="H10" s="31">
        <v>900</v>
      </c>
      <c r="I10" s="46">
        <v>110</v>
      </c>
      <c r="J10" s="32">
        <v>110</v>
      </c>
      <c r="K10" s="33">
        <f t="shared" si="1"/>
        <v>72.400000000000006</v>
      </c>
      <c r="L10" s="47">
        <f t="shared" si="1"/>
        <v>72</v>
      </c>
      <c r="M10" s="303">
        <v>230</v>
      </c>
      <c r="N10" s="31"/>
      <c r="O10" s="31"/>
      <c r="P10" s="31">
        <v>2300</v>
      </c>
      <c r="Q10" s="35"/>
      <c r="R10" s="48">
        <v>2400</v>
      </c>
      <c r="S10" s="36"/>
      <c r="T10" s="36">
        <v>197.8</v>
      </c>
      <c r="U10" s="37"/>
      <c r="V10" s="38">
        <v>25</v>
      </c>
      <c r="W10" s="39"/>
      <c r="X10" s="39">
        <f>T10*1000/39.37/R10*38.5</f>
        <v>80.595419524172399</v>
      </c>
      <c r="Y10" s="40"/>
      <c r="Z10" s="40">
        <f t="shared" si="2"/>
        <v>80.387709762086203</v>
      </c>
      <c r="AA10" s="41"/>
      <c r="AB10" s="42"/>
      <c r="AC10" s="43"/>
      <c r="AD10" s="43">
        <v>80.180000000000007</v>
      </c>
      <c r="AE10" s="260"/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296</v>
      </c>
      <c r="E11" s="28"/>
      <c r="F11" s="29">
        <v>690126</v>
      </c>
      <c r="G11" s="45">
        <v>458</v>
      </c>
      <c r="H11" s="31">
        <v>0</v>
      </c>
      <c r="I11" s="46">
        <v>800</v>
      </c>
      <c r="J11" s="32">
        <v>800</v>
      </c>
      <c r="K11" s="33">
        <f t="shared" si="1"/>
        <v>36.64</v>
      </c>
      <c r="L11" s="47">
        <f>H11*8/100</f>
        <v>0</v>
      </c>
      <c r="M11" s="304">
        <v>533</v>
      </c>
      <c r="N11" s="31"/>
      <c r="O11" s="31"/>
      <c r="P11" s="53"/>
      <c r="Q11" s="35"/>
      <c r="R11" s="48" t="s">
        <v>151</v>
      </c>
      <c r="S11" s="36"/>
      <c r="T11" s="36"/>
      <c r="U11" s="37"/>
      <c r="V11" s="38"/>
      <c r="W11" s="39"/>
      <c r="X11" s="39"/>
      <c r="Y11" s="40"/>
      <c r="Z11" s="40"/>
      <c r="AA11" s="41"/>
      <c r="AB11" s="42"/>
      <c r="AC11" s="43"/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285</v>
      </c>
      <c r="E12" s="28"/>
      <c r="F12" s="29">
        <v>690143</v>
      </c>
      <c r="G12" s="45">
        <v>204</v>
      </c>
      <c r="H12" s="31">
        <v>0</v>
      </c>
      <c r="I12" s="46">
        <v>800</v>
      </c>
      <c r="J12" s="32">
        <v>800</v>
      </c>
      <c r="K12" s="33">
        <f t="shared" si="1"/>
        <v>16.32</v>
      </c>
      <c r="L12" s="47">
        <f t="shared" si="1"/>
        <v>0</v>
      </c>
      <c r="M12" s="303">
        <v>1248</v>
      </c>
      <c r="N12" s="31"/>
      <c r="O12" s="31"/>
      <c r="P12" s="31"/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52</v>
      </c>
      <c r="E13" s="28"/>
      <c r="F13" s="29">
        <v>690113</v>
      </c>
      <c r="G13" s="45">
        <v>210</v>
      </c>
      <c r="H13" s="31">
        <v>0</v>
      </c>
      <c r="I13" s="46">
        <v>800</v>
      </c>
      <c r="J13" s="32">
        <v>800</v>
      </c>
      <c r="K13" s="33">
        <f t="shared" si="1"/>
        <v>16.8</v>
      </c>
      <c r="L13" s="47">
        <f t="shared" si="1"/>
        <v>0</v>
      </c>
      <c r="M13" s="303">
        <v>2331</v>
      </c>
      <c r="N13" s="31"/>
      <c r="O13" s="31"/>
      <c r="P13" s="31"/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405</v>
      </c>
      <c r="H14" s="31">
        <v>634</v>
      </c>
      <c r="I14" s="46">
        <v>800</v>
      </c>
      <c r="J14" s="32">
        <v>800</v>
      </c>
      <c r="K14" s="33">
        <f t="shared" si="1"/>
        <v>32.4</v>
      </c>
      <c r="L14" s="47">
        <f t="shared" si="1"/>
        <v>50.72</v>
      </c>
      <c r="M14" s="303">
        <v>1135</v>
      </c>
      <c r="N14" s="31"/>
      <c r="O14" s="31"/>
      <c r="P14" s="31"/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314</v>
      </c>
      <c r="E15" s="28">
        <v>69011915</v>
      </c>
      <c r="F15" s="29">
        <v>690119</v>
      </c>
      <c r="G15" s="55">
        <v>0</v>
      </c>
      <c r="H15" s="31">
        <v>0</v>
      </c>
      <c r="I15" s="46">
        <v>800</v>
      </c>
      <c r="J15" s="32">
        <v>800</v>
      </c>
      <c r="K15" s="33">
        <f t="shared" si="1"/>
        <v>0</v>
      </c>
      <c r="L15" s="47">
        <f t="shared" si="1"/>
        <v>0</v>
      </c>
      <c r="M15" s="303">
        <v>517</v>
      </c>
      <c r="N15" s="31"/>
      <c r="O15" s="31"/>
      <c r="P15" s="31">
        <v>2500</v>
      </c>
      <c r="Q15" s="35">
        <v>2480</v>
      </c>
      <c r="R15" s="48"/>
      <c r="S15" s="36">
        <v>203.4</v>
      </c>
      <c r="T15" s="36"/>
      <c r="U15" s="37">
        <v>25</v>
      </c>
      <c r="V15" s="38"/>
      <c r="W15" s="39">
        <f>S15*1000/39.37/Q15*38.5</f>
        <v>80.203732988111142</v>
      </c>
      <c r="X15" s="39"/>
      <c r="Y15" s="40">
        <f t="shared" ref="Y15" si="3">(AC15+W15)/2</f>
        <v>81.306866494055569</v>
      </c>
      <c r="Z15" s="40"/>
      <c r="AA15" s="41"/>
      <c r="AB15" s="42"/>
      <c r="AC15" s="43">
        <v>82.41</v>
      </c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>
        <v>69011908</v>
      </c>
      <c r="F16" s="29">
        <v>690106</v>
      </c>
      <c r="G16" s="55">
        <v>1000</v>
      </c>
      <c r="H16" s="31">
        <v>432</v>
      </c>
      <c r="I16" s="46">
        <v>800</v>
      </c>
      <c r="J16" s="32">
        <v>800</v>
      </c>
      <c r="K16" s="33">
        <f t="shared" si="1"/>
        <v>80</v>
      </c>
      <c r="L16" s="47">
        <f t="shared" si="1"/>
        <v>34.56</v>
      </c>
      <c r="M16" s="303">
        <v>185</v>
      </c>
      <c r="N16" s="31"/>
      <c r="O16" s="31"/>
      <c r="P16" s="31"/>
      <c r="Q16" s="35">
        <v>2440</v>
      </c>
      <c r="R16" s="48"/>
      <c r="S16" s="36">
        <v>192.2</v>
      </c>
      <c r="T16" s="36"/>
      <c r="U16" s="37">
        <v>25</v>
      </c>
      <c r="V16" s="38"/>
      <c r="W16" s="39">
        <f>S16*1000/39.37/Q16*31.5</f>
        <v>63.024396540596364</v>
      </c>
      <c r="X16" s="39"/>
      <c r="Y16" s="40">
        <f t="shared" ref="Y16:Y24" si="4">(AC16+W16)/2</f>
        <v>63.547198270298182</v>
      </c>
      <c r="Z16" s="40"/>
      <c r="AA16" s="41"/>
      <c r="AB16" s="42"/>
      <c r="AC16" s="43">
        <v>64.069999999999993</v>
      </c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>
        <v>69011902</v>
      </c>
      <c r="F17" s="29">
        <v>690106</v>
      </c>
      <c r="G17" s="55">
        <v>945</v>
      </c>
      <c r="H17" s="31">
        <v>902</v>
      </c>
      <c r="I17" s="46">
        <v>800</v>
      </c>
      <c r="J17" s="32">
        <v>800</v>
      </c>
      <c r="K17" s="33">
        <f t="shared" si="1"/>
        <v>75.599999999999994</v>
      </c>
      <c r="L17" s="47">
        <f t="shared" si="1"/>
        <v>72.16</v>
      </c>
      <c r="M17" s="303">
        <v>1321</v>
      </c>
      <c r="N17" s="31"/>
      <c r="O17" s="31"/>
      <c r="P17" s="31"/>
      <c r="Q17" s="35">
        <v>2000</v>
      </c>
      <c r="R17" s="48"/>
      <c r="S17" s="36">
        <v>155.4</v>
      </c>
      <c r="T17" s="36"/>
      <c r="U17" s="37"/>
      <c r="V17" s="38"/>
      <c r="W17" s="39">
        <f>S17*1000/39.37/Q17*38.5</f>
        <v>75.98298196596393</v>
      </c>
      <c r="X17" s="39"/>
      <c r="Y17" s="40">
        <f t="shared" si="4"/>
        <v>75.921490982981965</v>
      </c>
      <c r="Z17" s="40"/>
      <c r="AA17" s="41"/>
      <c r="AB17" s="42"/>
      <c r="AC17" s="43">
        <v>75.86</v>
      </c>
      <c r="AD17" s="43"/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>
        <v>69011903</v>
      </c>
      <c r="F18" s="29">
        <v>690106</v>
      </c>
      <c r="G18" s="55">
        <v>915</v>
      </c>
      <c r="H18" s="31">
        <v>849</v>
      </c>
      <c r="I18" s="46">
        <v>800</v>
      </c>
      <c r="J18" s="32">
        <v>800</v>
      </c>
      <c r="K18" s="33">
        <f t="shared" si="1"/>
        <v>73.2</v>
      </c>
      <c r="L18" s="47">
        <f t="shared" si="1"/>
        <v>67.92</v>
      </c>
      <c r="M18" s="303">
        <v>726</v>
      </c>
      <c r="N18" s="31"/>
      <c r="O18" s="31"/>
      <c r="P18" s="31"/>
      <c r="Q18" s="35">
        <v>2000</v>
      </c>
      <c r="R18" s="48"/>
      <c r="S18" s="36">
        <v>156.30000000000001</v>
      </c>
      <c r="T18" s="36"/>
      <c r="U18" s="37"/>
      <c r="V18" s="38"/>
      <c r="W18" s="39">
        <f>S18*1000/39.37/Q18*38.5</f>
        <v>76.423037846075701</v>
      </c>
      <c r="X18" s="39"/>
      <c r="Y18" s="40">
        <f t="shared" si="4"/>
        <v>77.26651892303785</v>
      </c>
      <c r="Z18" s="40"/>
      <c r="AA18" s="41"/>
      <c r="AB18" s="42"/>
      <c r="AC18" s="43">
        <v>78.11</v>
      </c>
      <c r="AD18" s="43"/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59</v>
      </c>
      <c r="E19" s="28">
        <v>69011926</v>
      </c>
      <c r="F19" s="29">
        <v>690112</v>
      </c>
      <c r="G19" s="45">
        <v>930</v>
      </c>
      <c r="H19" s="31">
        <v>954</v>
      </c>
      <c r="I19" s="46">
        <v>750</v>
      </c>
      <c r="J19" s="32">
        <v>750</v>
      </c>
      <c r="K19" s="33">
        <f t="shared" si="1"/>
        <v>74.400000000000006</v>
      </c>
      <c r="L19" s="47">
        <f t="shared" si="1"/>
        <v>76.319999999999993</v>
      </c>
      <c r="M19" s="303">
        <v>138</v>
      </c>
      <c r="N19" s="31"/>
      <c r="O19" s="31"/>
      <c r="P19" s="31"/>
      <c r="Q19" s="35">
        <v>2000</v>
      </c>
      <c r="R19" s="48"/>
      <c r="S19" s="36">
        <v>159.4</v>
      </c>
      <c r="T19" s="36"/>
      <c r="U19" s="37"/>
      <c r="V19" s="38"/>
      <c r="W19" s="39">
        <f>S19*1000/39.37/Q19*38.5</f>
        <v>77.93878587757176</v>
      </c>
      <c r="X19" s="39"/>
      <c r="Y19" s="40">
        <f t="shared" si="4"/>
        <v>78.939392938785886</v>
      </c>
      <c r="Z19" s="40"/>
      <c r="AA19" s="41"/>
      <c r="AB19" s="42"/>
      <c r="AC19" s="43">
        <v>79.94</v>
      </c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140</v>
      </c>
      <c r="E20" s="28"/>
      <c r="F20" s="29">
        <v>690119</v>
      </c>
      <c r="G20" s="45">
        <v>800</v>
      </c>
      <c r="H20" s="31">
        <v>768</v>
      </c>
      <c r="I20" s="46">
        <v>750</v>
      </c>
      <c r="J20" s="32">
        <v>750</v>
      </c>
      <c r="K20" s="33">
        <f t="shared" si="1"/>
        <v>64</v>
      </c>
      <c r="L20" s="47">
        <f t="shared" si="1"/>
        <v>61.44</v>
      </c>
      <c r="M20" s="303">
        <v>1540</v>
      </c>
      <c r="N20" s="31"/>
      <c r="O20" s="31"/>
      <c r="P20" s="31"/>
      <c r="Q20" s="48"/>
      <c r="R20" s="48"/>
      <c r="S20" s="36"/>
      <c r="T20" s="37"/>
      <c r="U20" s="38"/>
      <c r="V20" s="39"/>
      <c r="W20" s="39"/>
      <c r="X20" s="39"/>
      <c r="Y20" s="40"/>
      <c r="Z20" s="40"/>
      <c r="AA20" s="42"/>
      <c r="AB20" s="43"/>
      <c r="AC20" s="43"/>
      <c r="AD20" s="43"/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146</v>
      </c>
      <c r="E21" s="28">
        <v>69011925</v>
      </c>
      <c r="F21" s="29">
        <v>690119</v>
      </c>
      <c r="G21" s="45">
        <v>904</v>
      </c>
      <c r="H21" s="31">
        <v>910</v>
      </c>
      <c r="I21" s="46">
        <v>750</v>
      </c>
      <c r="J21" s="32">
        <v>750</v>
      </c>
      <c r="K21" s="33">
        <f t="shared" si="1"/>
        <v>72.319999999999993</v>
      </c>
      <c r="L21" s="47">
        <f t="shared" si="1"/>
        <v>72.8</v>
      </c>
      <c r="M21" s="303">
        <v>25</v>
      </c>
      <c r="N21" s="31"/>
      <c r="O21" s="31"/>
      <c r="P21" s="31"/>
      <c r="Q21" s="48">
        <v>2000</v>
      </c>
      <c r="R21" s="48"/>
      <c r="S21" s="36">
        <v>149</v>
      </c>
      <c r="T21" s="37"/>
      <c r="U21" s="38"/>
      <c r="V21" s="39"/>
      <c r="W21" s="39">
        <f>S21*1000/39.37/Q21*38.5</f>
        <v>72.85369570739141</v>
      </c>
      <c r="X21" s="40"/>
      <c r="Y21" s="40">
        <f t="shared" si="4"/>
        <v>74.0568478536957</v>
      </c>
      <c r="Z21" s="41"/>
      <c r="AA21" s="42"/>
      <c r="AB21" s="43"/>
      <c r="AC21" s="43">
        <v>75.260000000000005</v>
      </c>
      <c r="AD21" s="43"/>
    </row>
    <row r="22" spans="1:35" ht="24" customHeight="1" x14ac:dyDescent="0.4">
      <c r="A22" s="249" t="s">
        <v>68</v>
      </c>
      <c r="B22" s="246" t="s">
        <v>42</v>
      </c>
      <c r="C22" s="253" t="s">
        <v>41</v>
      </c>
      <c r="D22" s="256" t="s">
        <v>59</v>
      </c>
      <c r="E22" s="28">
        <v>69011904</v>
      </c>
      <c r="F22" s="29">
        <v>690104</v>
      </c>
      <c r="G22" s="45">
        <v>601</v>
      </c>
      <c r="H22" s="31">
        <v>1035</v>
      </c>
      <c r="I22" s="46">
        <v>750</v>
      </c>
      <c r="J22" s="32">
        <v>750</v>
      </c>
      <c r="K22" s="33">
        <f t="shared" si="1"/>
        <v>48.08</v>
      </c>
      <c r="L22" s="47">
        <f t="shared" si="1"/>
        <v>82.8</v>
      </c>
      <c r="M22" s="305">
        <v>612</v>
      </c>
      <c r="N22" s="31"/>
      <c r="O22" s="31"/>
      <c r="P22" s="31"/>
      <c r="Q22" s="35">
        <v>2000</v>
      </c>
      <c r="R22" s="48"/>
      <c r="S22" s="36">
        <v>157.5</v>
      </c>
      <c r="T22" s="36"/>
      <c r="U22" s="37"/>
      <c r="V22" s="38"/>
      <c r="W22" s="39">
        <f>S22*1000/39.37/Q22*38.5</f>
        <v>77.009779019558039</v>
      </c>
      <c r="X22" s="39"/>
      <c r="Y22" s="40">
        <f t="shared" si="4"/>
        <v>77.549889509779021</v>
      </c>
      <c r="Z22" s="40"/>
      <c r="AA22" s="41"/>
      <c r="AB22" s="42"/>
      <c r="AC22" s="43">
        <v>78.09</v>
      </c>
      <c r="AD22" s="43"/>
    </row>
    <row r="23" spans="1:35" ht="24" customHeight="1" x14ac:dyDescent="0.5">
      <c r="A23" s="249" t="s">
        <v>72</v>
      </c>
      <c r="B23" s="246" t="s">
        <v>42</v>
      </c>
      <c r="C23" s="253" t="s">
        <v>41</v>
      </c>
      <c r="D23" s="258" t="s">
        <v>316</v>
      </c>
      <c r="E23" s="28"/>
      <c r="F23" s="29">
        <v>690133</v>
      </c>
      <c r="G23" s="45">
        <v>722</v>
      </c>
      <c r="H23" s="31">
        <v>1025</v>
      </c>
      <c r="I23" s="46">
        <v>750</v>
      </c>
      <c r="J23" s="32">
        <v>750</v>
      </c>
      <c r="K23" s="33">
        <f t="shared" si="1"/>
        <v>57.76</v>
      </c>
      <c r="L23" s="47">
        <f t="shared" si="1"/>
        <v>82</v>
      </c>
      <c r="M23" s="303">
        <v>224</v>
      </c>
      <c r="N23" s="31"/>
      <c r="O23" s="31"/>
      <c r="P23" s="31"/>
      <c r="Q23" s="35"/>
      <c r="R23" s="48"/>
      <c r="S23" s="36"/>
      <c r="T23" s="36"/>
      <c r="U23" s="37"/>
      <c r="V23" s="38"/>
      <c r="W23" s="39"/>
      <c r="X23" s="39"/>
      <c r="Y23" s="40"/>
      <c r="Z23" s="40"/>
      <c r="AA23" s="41"/>
      <c r="AB23" s="42"/>
      <c r="AC23" s="43"/>
      <c r="AD23" s="43"/>
    </row>
    <row r="24" spans="1:35" ht="24" customHeight="1" x14ac:dyDescent="0.4">
      <c r="A24" s="249" t="s">
        <v>70</v>
      </c>
      <c r="B24" s="246" t="s">
        <v>42</v>
      </c>
      <c r="C24" s="253" t="s">
        <v>41</v>
      </c>
      <c r="D24" s="256" t="s">
        <v>57</v>
      </c>
      <c r="E24" s="28">
        <v>69011909</v>
      </c>
      <c r="F24" s="29">
        <v>690104</v>
      </c>
      <c r="G24" s="45">
        <v>601</v>
      </c>
      <c r="H24" s="31">
        <v>1035</v>
      </c>
      <c r="I24" s="46">
        <v>750</v>
      </c>
      <c r="J24" s="32">
        <v>750</v>
      </c>
      <c r="K24" s="33">
        <f t="shared" si="1"/>
        <v>48.08</v>
      </c>
      <c r="L24" s="47">
        <f t="shared" si="1"/>
        <v>82.8</v>
      </c>
      <c r="M24" s="303">
        <v>1469</v>
      </c>
      <c r="N24" s="31"/>
      <c r="O24" s="31"/>
      <c r="P24" s="31"/>
      <c r="Q24" s="35">
        <v>2470</v>
      </c>
      <c r="R24" s="48"/>
      <c r="S24" s="36">
        <v>195</v>
      </c>
      <c r="T24" s="36"/>
      <c r="U24" s="37">
        <v>25</v>
      </c>
      <c r="V24" s="38"/>
      <c r="W24" s="39">
        <f>S24*1000/39.37/Q24*31.5</f>
        <v>63.165915805515837</v>
      </c>
      <c r="X24" s="39"/>
      <c r="Y24" s="40">
        <f t="shared" si="4"/>
        <v>63.597957902757919</v>
      </c>
      <c r="Z24" s="40"/>
      <c r="AA24" s="41"/>
      <c r="AB24" s="42"/>
      <c r="AC24" s="43">
        <v>64.03</v>
      </c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36</v>
      </c>
      <c r="E25" s="28"/>
      <c r="F25" s="29">
        <v>690126</v>
      </c>
      <c r="G25" s="45">
        <v>778</v>
      </c>
      <c r="H25" s="31">
        <v>1076</v>
      </c>
      <c r="I25" s="46">
        <v>750</v>
      </c>
      <c r="J25" s="32">
        <v>750</v>
      </c>
      <c r="K25" s="33">
        <f t="shared" si="1"/>
        <v>62.24</v>
      </c>
      <c r="L25" s="47">
        <f t="shared" si="1"/>
        <v>86.08</v>
      </c>
      <c r="M25" s="306">
        <v>1932</v>
      </c>
      <c r="N25" s="31"/>
      <c r="O25" s="31"/>
      <c r="P25" s="31"/>
      <c r="Q25" s="35"/>
      <c r="R25" s="48"/>
      <c r="S25" s="36"/>
      <c r="T25" s="36"/>
      <c r="U25" s="37"/>
      <c r="V25" s="38"/>
      <c r="W25" s="39"/>
      <c r="X25" s="39"/>
      <c r="Y25" s="40"/>
      <c r="Z25" s="40"/>
      <c r="AA25" s="41"/>
      <c r="AB25" s="42"/>
      <c r="AC25" s="239"/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57</v>
      </c>
      <c r="E26" s="28"/>
      <c r="F26" s="29">
        <v>690119</v>
      </c>
      <c r="G26" s="55">
        <v>1102</v>
      </c>
      <c r="H26" s="31">
        <v>811</v>
      </c>
      <c r="I26" s="46">
        <v>800</v>
      </c>
      <c r="J26" s="32">
        <v>800</v>
      </c>
      <c r="K26" s="33">
        <f t="shared" si="1"/>
        <v>88.16</v>
      </c>
      <c r="L26" s="47">
        <f t="shared" si="1"/>
        <v>64.88</v>
      </c>
      <c r="M26" s="303">
        <v>1307</v>
      </c>
      <c r="N26" s="31"/>
      <c r="O26" s="31"/>
      <c r="P26" s="31"/>
      <c r="Q26" s="35"/>
      <c r="R26" s="48"/>
      <c r="S26" s="36"/>
      <c r="T26" s="36"/>
      <c r="U26" s="37"/>
      <c r="V26" s="35"/>
      <c r="W26" s="39"/>
      <c r="X26" s="39"/>
      <c r="Y26" s="40"/>
      <c r="Z26" s="40"/>
      <c r="AA26" s="41"/>
      <c r="AB26" s="42"/>
      <c r="AC26" s="43"/>
      <c r="AD26" s="43"/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59</v>
      </c>
      <c r="E27" s="28"/>
      <c r="F27" s="29">
        <v>690112</v>
      </c>
      <c r="G27" s="55">
        <v>1300</v>
      </c>
      <c r="H27" s="31">
        <v>863</v>
      </c>
      <c r="I27" s="46">
        <v>800</v>
      </c>
      <c r="J27" s="32">
        <v>800</v>
      </c>
      <c r="K27" s="33">
        <f t="shared" si="1"/>
        <v>104</v>
      </c>
      <c r="L27" s="47">
        <f t="shared" si="1"/>
        <v>69.040000000000006</v>
      </c>
      <c r="M27" s="303">
        <v>196</v>
      </c>
      <c r="N27" s="31"/>
      <c r="O27" s="31"/>
      <c r="P27" s="31">
        <v>2000</v>
      </c>
      <c r="Q27" s="35"/>
      <c r="R27" s="48"/>
      <c r="S27" s="57"/>
      <c r="T27" s="57"/>
      <c r="U27" s="58"/>
      <c r="V27" s="59"/>
      <c r="W27" s="39"/>
      <c r="X27" s="39"/>
      <c r="Y27" s="40"/>
      <c r="Z27" s="40"/>
      <c r="AA27" s="41"/>
      <c r="AB27" s="42"/>
      <c r="AC27" s="43"/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59</v>
      </c>
      <c r="E28" s="28"/>
      <c r="F28" s="29">
        <v>690112</v>
      </c>
      <c r="G28" s="45">
        <v>1329</v>
      </c>
      <c r="H28" s="31">
        <v>886</v>
      </c>
      <c r="I28" s="46">
        <v>800</v>
      </c>
      <c r="J28" s="32">
        <v>800</v>
      </c>
      <c r="K28" s="33">
        <f t="shared" si="1"/>
        <v>106.32</v>
      </c>
      <c r="L28" s="47">
        <f t="shared" si="1"/>
        <v>70.88</v>
      </c>
      <c r="M28" s="303">
        <v>29</v>
      </c>
      <c r="N28" s="31"/>
      <c r="O28" s="31"/>
      <c r="P28" s="31">
        <v>2000</v>
      </c>
      <c r="Q28" s="35"/>
      <c r="R28" s="48"/>
      <c r="S28" s="57"/>
      <c r="T28" s="57"/>
      <c r="U28" s="58"/>
      <c r="V28" s="59"/>
      <c r="W28" s="39"/>
      <c r="X28" s="39"/>
      <c r="Y28" s="40"/>
      <c r="Z28" s="40"/>
      <c r="AA28" s="41"/>
      <c r="AB28" s="42"/>
      <c r="AC28" s="43"/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146</v>
      </c>
      <c r="E29" s="28">
        <v>69011924</v>
      </c>
      <c r="F29" s="29">
        <v>690119</v>
      </c>
      <c r="G29" s="45">
        <v>1239</v>
      </c>
      <c r="H29" s="31">
        <v>725</v>
      </c>
      <c r="I29" s="46">
        <v>800</v>
      </c>
      <c r="J29" s="32">
        <v>800</v>
      </c>
      <c r="K29" s="33">
        <f t="shared" si="1"/>
        <v>99.12</v>
      </c>
      <c r="L29" s="47">
        <f t="shared" si="1"/>
        <v>58</v>
      </c>
      <c r="M29" s="303">
        <v>1217</v>
      </c>
      <c r="N29" s="31"/>
      <c r="O29" s="31"/>
      <c r="P29" s="31"/>
      <c r="Q29" s="48">
        <v>1965</v>
      </c>
      <c r="R29" s="48"/>
      <c r="S29" s="36">
        <v>149.5</v>
      </c>
      <c r="T29" s="37"/>
      <c r="U29" s="38"/>
      <c r="V29" s="39"/>
      <c r="W29" s="39">
        <f>S29*1000/39.37/Q29*38.5</f>
        <v>74.400174245641111</v>
      </c>
      <c r="X29" s="40"/>
      <c r="Y29" s="40">
        <f t="shared" ref="Y29:Y30" si="5">(AC29+W29)/2</f>
        <v>73.300087122820557</v>
      </c>
      <c r="Z29" s="41"/>
      <c r="AA29" s="42"/>
      <c r="AB29" s="43"/>
      <c r="AC29" s="43">
        <v>72.2</v>
      </c>
      <c r="AD29" s="43"/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146</v>
      </c>
      <c r="E30" s="28">
        <v>69011923</v>
      </c>
      <c r="F30" s="29">
        <v>690108</v>
      </c>
      <c r="G30" s="45">
        <v>860</v>
      </c>
      <c r="H30" s="31">
        <v>633</v>
      </c>
      <c r="I30" s="46">
        <v>800</v>
      </c>
      <c r="J30" s="32">
        <v>800</v>
      </c>
      <c r="K30" s="33">
        <f t="shared" si="1"/>
        <v>68.8</v>
      </c>
      <c r="L30" s="47">
        <f t="shared" si="1"/>
        <v>50.64</v>
      </c>
      <c r="M30" s="303">
        <v>1117</v>
      </c>
      <c r="N30" s="31"/>
      <c r="O30" s="31"/>
      <c r="P30" s="31"/>
      <c r="Q30" s="35">
        <v>2000</v>
      </c>
      <c r="R30" s="48"/>
      <c r="S30" s="36">
        <v>150.9</v>
      </c>
      <c r="T30" s="37"/>
      <c r="U30" s="38"/>
      <c r="V30" s="39"/>
      <c r="W30" s="39">
        <f>S30*1000/39.37/Q30*38.5</f>
        <v>73.782702565405131</v>
      </c>
      <c r="X30" s="40"/>
      <c r="Y30" s="40">
        <f t="shared" si="5"/>
        <v>73.93635128270256</v>
      </c>
      <c r="Z30" s="41"/>
      <c r="AA30" s="42"/>
      <c r="AB30" s="43"/>
      <c r="AC30" s="43">
        <v>74.09</v>
      </c>
      <c r="AD30" s="43"/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1"/>
        <v>0</v>
      </c>
      <c r="L31" s="47">
        <f t="shared" si="1"/>
        <v>0</v>
      </c>
      <c r="M31" s="303"/>
      <c r="N31" s="31"/>
      <c r="O31" s="31"/>
      <c r="P31" s="31"/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60</v>
      </c>
      <c r="H32" s="31">
        <v>0</v>
      </c>
      <c r="I32" s="46">
        <v>100</v>
      </c>
      <c r="J32" s="32">
        <v>100</v>
      </c>
      <c r="K32" s="33">
        <f t="shared" si="1"/>
        <v>4.8</v>
      </c>
      <c r="L32" s="47">
        <f t="shared" si="1"/>
        <v>0</v>
      </c>
      <c r="M32" s="303"/>
      <c r="N32" s="31"/>
      <c r="O32" s="31"/>
      <c r="P32" s="31"/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1"/>
        <v>0</v>
      </c>
      <c r="L33" s="47">
        <f t="shared" si="1"/>
        <v>0</v>
      </c>
      <c r="M33" s="303"/>
      <c r="N33" s="31"/>
      <c r="O33" s="31"/>
      <c r="P33" s="31"/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>
        <v>69011917</v>
      </c>
      <c r="F34" s="29">
        <v>690119</v>
      </c>
      <c r="G34" s="60">
        <v>680</v>
      </c>
      <c r="H34" s="31">
        <v>670</v>
      </c>
      <c r="I34" s="46">
        <v>110</v>
      </c>
      <c r="J34" s="32">
        <v>110</v>
      </c>
      <c r="K34" s="33">
        <f t="shared" si="1"/>
        <v>54.4</v>
      </c>
      <c r="L34" s="47">
        <f t="shared" si="1"/>
        <v>53.6</v>
      </c>
      <c r="M34" s="303">
        <v>206</v>
      </c>
      <c r="N34" s="31"/>
      <c r="O34" s="31"/>
      <c r="P34" s="31"/>
      <c r="Q34" s="35">
        <v>2606</v>
      </c>
      <c r="R34" s="48"/>
      <c r="S34" s="36">
        <v>215.8</v>
      </c>
      <c r="T34" s="36"/>
      <c r="U34" s="37">
        <v>25</v>
      </c>
      <c r="V34" s="38"/>
      <c r="W34" s="39">
        <f>S34*1000/39.37/Q34*38.5</f>
        <v>80.978987744621705</v>
      </c>
      <c r="X34" s="39"/>
      <c r="Y34" s="40">
        <f t="shared" ref="Y34" si="6">(AC34+W34)/2</f>
        <v>82.189493872310862</v>
      </c>
      <c r="Z34" s="40"/>
      <c r="AA34" s="41"/>
      <c r="AB34" s="42"/>
      <c r="AC34" s="43">
        <v>83.4</v>
      </c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895</v>
      </c>
      <c r="H35" s="31">
        <v>827</v>
      </c>
      <c r="I35" s="46">
        <v>110</v>
      </c>
      <c r="J35" s="32">
        <v>110</v>
      </c>
      <c r="K35" s="33">
        <f t="shared" si="1"/>
        <v>71.599999999999994</v>
      </c>
      <c r="L35" s="47">
        <f t="shared" si="1"/>
        <v>66.16</v>
      </c>
      <c r="M35" s="303">
        <v>47</v>
      </c>
      <c r="N35" s="31"/>
      <c r="O35" s="31"/>
      <c r="P35" s="31"/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57</v>
      </c>
      <c r="E36" s="28"/>
      <c r="F36" s="29">
        <v>690106</v>
      </c>
      <c r="G36" s="45">
        <v>0</v>
      </c>
      <c r="H36" s="31">
        <v>0</v>
      </c>
      <c r="I36" s="46">
        <v>115</v>
      </c>
      <c r="J36" s="32">
        <v>115</v>
      </c>
      <c r="K36" s="33">
        <f t="shared" si="1"/>
        <v>0</v>
      </c>
      <c r="L36" s="47">
        <f t="shared" si="1"/>
        <v>0</v>
      </c>
      <c r="M36" s="303">
        <v>1070</v>
      </c>
      <c r="N36" s="31"/>
      <c r="O36" s="31"/>
      <c r="P36" s="31"/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57</v>
      </c>
      <c r="E37" s="28"/>
      <c r="F37" s="29">
        <v>690106</v>
      </c>
      <c r="G37" s="45">
        <v>0</v>
      </c>
      <c r="H37" s="31">
        <v>0</v>
      </c>
      <c r="I37" s="46">
        <v>115</v>
      </c>
      <c r="J37" s="32">
        <v>115</v>
      </c>
      <c r="K37" s="33">
        <f t="shared" si="1"/>
        <v>0</v>
      </c>
      <c r="L37" s="47">
        <f t="shared" si="1"/>
        <v>0</v>
      </c>
      <c r="M37" s="303">
        <v>1043</v>
      </c>
      <c r="N37" s="31"/>
      <c r="O37" s="31"/>
      <c r="P37" s="31"/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57</v>
      </c>
      <c r="E38" s="28"/>
      <c r="F38" s="29">
        <v>690106</v>
      </c>
      <c r="G38" s="45">
        <v>0</v>
      </c>
      <c r="H38" s="31">
        <v>0</v>
      </c>
      <c r="I38" s="46">
        <v>115</v>
      </c>
      <c r="J38" s="32">
        <v>115</v>
      </c>
      <c r="K38" s="33">
        <f t="shared" si="1"/>
        <v>0</v>
      </c>
      <c r="L38" s="47">
        <f t="shared" si="1"/>
        <v>0</v>
      </c>
      <c r="M38" s="303">
        <v>1002</v>
      </c>
      <c r="N38" s="31"/>
      <c r="O38" s="31"/>
      <c r="P38" s="31"/>
      <c r="Q38" s="35"/>
      <c r="R38" s="35"/>
      <c r="S38" s="31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/>
      <c r="F39" s="29">
        <v>690107</v>
      </c>
      <c r="G39" s="45">
        <v>508</v>
      </c>
      <c r="H39" s="31">
        <v>595</v>
      </c>
      <c r="I39" s="63">
        <v>115</v>
      </c>
      <c r="J39" s="64">
        <v>115</v>
      </c>
      <c r="K39" s="65">
        <f t="shared" ref="K39:L55" si="7">G39*8/100</f>
        <v>40.64</v>
      </c>
      <c r="L39" s="68">
        <f t="shared" si="7"/>
        <v>47.6</v>
      </c>
      <c r="M39" s="303">
        <v>2347</v>
      </c>
      <c r="N39" s="31"/>
      <c r="O39" s="31"/>
      <c r="P39" s="31">
        <v>2500</v>
      </c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314</v>
      </c>
      <c r="E40" s="28"/>
      <c r="F40" s="29">
        <v>690106</v>
      </c>
      <c r="G40" s="45">
        <v>673</v>
      </c>
      <c r="H40" s="31">
        <v>747</v>
      </c>
      <c r="I40" s="63">
        <v>115</v>
      </c>
      <c r="J40" s="64">
        <v>115</v>
      </c>
      <c r="K40" s="65">
        <f t="shared" si="7"/>
        <v>53.84</v>
      </c>
      <c r="L40" s="68">
        <f t="shared" si="7"/>
        <v>59.76</v>
      </c>
      <c r="M40" s="303">
        <v>2012</v>
      </c>
      <c r="N40" s="31"/>
      <c r="O40" s="31"/>
      <c r="P40" s="31">
        <v>2000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/>
      <c r="F41" s="29">
        <v>690119</v>
      </c>
      <c r="G41" s="45">
        <v>640</v>
      </c>
      <c r="H41" s="31">
        <v>751</v>
      </c>
      <c r="I41" s="46">
        <v>120</v>
      </c>
      <c r="J41" s="32">
        <v>120</v>
      </c>
      <c r="K41" s="33">
        <f t="shared" si="7"/>
        <v>51.2</v>
      </c>
      <c r="L41" s="47">
        <f t="shared" si="7"/>
        <v>60.08</v>
      </c>
      <c r="M41" s="303">
        <v>1481</v>
      </c>
      <c r="N41" s="31"/>
      <c r="O41" s="31"/>
      <c r="P41" s="31"/>
      <c r="Q41" s="48"/>
      <c r="R41" s="36"/>
      <c r="S41" s="36"/>
      <c r="T41" s="37"/>
      <c r="U41" s="38"/>
      <c r="V41" s="39"/>
      <c r="W41" s="39"/>
      <c r="X41" s="40"/>
      <c r="Y41" s="40"/>
      <c r="Z41" s="41"/>
      <c r="AA41" s="42"/>
      <c r="AB41" s="43"/>
      <c r="AC41" s="43"/>
      <c r="AD41" s="43"/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314</v>
      </c>
      <c r="E42" s="28"/>
      <c r="F42" s="29">
        <v>690119</v>
      </c>
      <c r="G42" s="45">
        <v>622</v>
      </c>
      <c r="H42" s="31">
        <v>745</v>
      </c>
      <c r="I42" s="46">
        <v>120</v>
      </c>
      <c r="J42" s="32">
        <v>120</v>
      </c>
      <c r="K42" s="33">
        <f t="shared" si="7"/>
        <v>49.76</v>
      </c>
      <c r="L42" s="47">
        <f t="shared" si="7"/>
        <v>59.6</v>
      </c>
      <c r="M42" s="303">
        <v>725</v>
      </c>
      <c r="N42" s="31"/>
      <c r="O42" s="31"/>
      <c r="P42" s="31"/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314</v>
      </c>
      <c r="E43" s="28"/>
      <c r="F43" s="29">
        <v>690136</v>
      </c>
      <c r="G43" s="45">
        <v>552</v>
      </c>
      <c r="H43" s="31">
        <v>726</v>
      </c>
      <c r="I43" s="46">
        <v>120</v>
      </c>
      <c r="J43" s="32">
        <v>120</v>
      </c>
      <c r="K43" s="33">
        <f t="shared" si="7"/>
        <v>44.16</v>
      </c>
      <c r="L43" s="47">
        <f t="shared" si="7"/>
        <v>58.08</v>
      </c>
      <c r="M43" s="303">
        <v>719</v>
      </c>
      <c r="N43" s="31"/>
      <c r="O43" s="31"/>
      <c r="P43" s="31">
        <v>2300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/>
      <c r="F44" s="29">
        <v>690128</v>
      </c>
      <c r="G44" s="69">
        <v>556</v>
      </c>
      <c r="H44" s="31">
        <v>0</v>
      </c>
      <c r="I44" s="46">
        <v>120</v>
      </c>
      <c r="J44" s="32">
        <v>120</v>
      </c>
      <c r="K44" s="33">
        <f t="shared" si="7"/>
        <v>44.48</v>
      </c>
      <c r="L44" s="47">
        <f t="shared" si="7"/>
        <v>0</v>
      </c>
      <c r="M44" s="303">
        <v>620</v>
      </c>
      <c r="N44" s="31"/>
      <c r="O44" s="31"/>
      <c r="P44" s="31"/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314</v>
      </c>
      <c r="E45" s="28"/>
      <c r="F45" s="29">
        <v>690136</v>
      </c>
      <c r="G45" s="45">
        <v>409</v>
      </c>
      <c r="H45" s="31">
        <v>0</v>
      </c>
      <c r="I45" s="63">
        <v>120</v>
      </c>
      <c r="J45" s="64">
        <v>120</v>
      </c>
      <c r="K45" s="65">
        <f t="shared" si="7"/>
        <v>32.72</v>
      </c>
      <c r="L45" s="68">
        <f t="shared" si="7"/>
        <v>0</v>
      </c>
      <c r="M45" s="308">
        <v>716</v>
      </c>
      <c r="N45" s="31"/>
      <c r="O45" s="31"/>
      <c r="P45" s="31"/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/>
      <c r="F46" s="29">
        <v>690128</v>
      </c>
      <c r="G46" s="45">
        <v>766</v>
      </c>
      <c r="H46" s="31">
        <v>709</v>
      </c>
      <c r="I46" s="46">
        <v>650</v>
      </c>
      <c r="J46" s="32">
        <v>650</v>
      </c>
      <c r="K46" s="33">
        <f t="shared" si="7"/>
        <v>61.28</v>
      </c>
      <c r="L46" s="47">
        <f t="shared" si="7"/>
        <v>56.72</v>
      </c>
      <c r="M46" s="305">
        <v>1265</v>
      </c>
      <c r="N46" s="31"/>
      <c r="O46" s="31"/>
      <c r="P46" s="31"/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239"/>
      <c r="AD46" s="43"/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59"/>
      <c r="F47" s="29">
        <v>690128</v>
      </c>
      <c r="G47" s="45">
        <v>742</v>
      </c>
      <c r="H47" s="31">
        <v>705</v>
      </c>
      <c r="I47" s="63">
        <v>650</v>
      </c>
      <c r="J47" s="64">
        <v>650</v>
      </c>
      <c r="K47" s="65">
        <f t="shared" si="7"/>
        <v>59.36</v>
      </c>
      <c r="L47" s="68">
        <f t="shared" si="7"/>
        <v>56.4</v>
      </c>
      <c r="M47" s="303">
        <v>1062</v>
      </c>
      <c r="N47" s="31"/>
      <c r="O47" s="31"/>
      <c r="P47" s="31"/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/>
      <c r="F48" s="29">
        <v>690128</v>
      </c>
      <c r="G48" s="69">
        <v>732</v>
      </c>
      <c r="H48" s="31">
        <v>751</v>
      </c>
      <c r="I48" s="63">
        <v>650</v>
      </c>
      <c r="J48" s="64">
        <v>650</v>
      </c>
      <c r="K48" s="65">
        <f t="shared" si="7"/>
        <v>58.56</v>
      </c>
      <c r="L48" s="68">
        <f t="shared" si="7"/>
        <v>60.08</v>
      </c>
      <c r="M48" s="303">
        <v>845</v>
      </c>
      <c r="N48" s="31"/>
      <c r="O48" s="31"/>
      <c r="P48" s="31"/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239"/>
      <c r="AD48" s="43"/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314</v>
      </c>
      <c r="E49" s="28"/>
      <c r="F49" s="29">
        <v>690136</v>
      </c>
      <c r="G49" s="73">
        <v>755</v>
      </c>
      <c r="H49" s="31">
        <v>911</v>
      </c>
      <c r="I49" s="46">
        <v>650</v>
      </c>
      <c r="J49" s="32">
        <v>650</v>
      </c>
      <c r="K49" s="33">
        <f t="shared" si="7"/>
        <v>60.4</v>
      </c>
      <c r="L49" s="47">
        <f t="shared" si="7"/>
        <v>72.88</v>
      </c>
      <c r="M49" s="303">
        <v>1180</v>
      </c>
      <c r="N49" s="31"/>
      <c r="O49" s="31"/>
      <c r="P49" s="31"/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314</v>
      </c>
      <c r="E50" s="28"/>
      <c r="F50" s="29">
        <v>690136</v>
      </c>
      <c r="G50" s="74">
        <v>938</v>
      </c>
      <c r="H50" s="31">
        <v>884</v>
      </c>
      <c r="I50" s="46">
        <v>650</v>
      </c>
      <c r="J50" s="32">
        <v>650</v>
      </c>
      <c r="K50" s="33">
        <f t="shared" si="7"/>
        <v>75.040000000000006</v>
      </c>
      <c r="L50" s="47">
        <f t="shared" si="7"/>
        <v>70.72</v>
      </c>
      <c r="M50" s="309">
        <v>1593</v>
      </c>
      <c r="N50" s="31"/>
      <c r="O50" s="31"/>
      <c r="P50" s="31"/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52</v>
      </c>
      <c r="E51" s="28"/>
      <c r="F51" s="29">
        <v>690113</v>
      </c>
      <c r="G51" s="45">
        <v>846</v>
      </c>
      <c r="H51" s="31">
        <v>901</v>
      </c>
      <c r="I51" s="46">
        <v>650</v>
      </c>
      <c r="J51" s="32">
        <v>650</v>
      </c>
      <c r="K51" s="33">
        <f t="shared" si="7"/>
        <v>67.680000000000007</v>
      </c>
      <c r="L51" s="47">
        <f t="shared" si="7"/>
        <v>72.08</v>
      </c>
      <c r="M51" s="310">
        <v>2215</v>
      </c>
      <c r="N51" s="31"/>
      <c r="O51" s="31"/>
      <c r="P51" s="31"/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" customHeight="1" x14ac:dyDescent="0.4">
      <c r="A52" s="251" t="s">
        <v>110</v>
      </c>
      <c r="B52" s="246" t="s">
        <v>46</v>
      </c>
      <c r="C52" s="253" t="s">
        <v>45</v>
      </c>
      <c r="D52" s="256" t="s">
        <v>314</v>
      </c>
      <c r="E52" s="28"/>
      <c r="F52" s="29">
        <v>690136</v>
      </c>
      <c r="G52" s="45">
        <v>740</v>
      </c>
      <c r="H52" s="31">
        <v>1000</v>
      </c>
      <c r="I52" s="46">
        <v>125</v>
      </c>
      <c r="J52" s="32">
        <v>125</v>
      </c>
      <c r="K52" s="33">
        <f t="shared" si="7"/>
        <v>59.2</v>
      </c>
      <c r="L52" s="47">
        <f t="shared" si="7"/>
        <v>80</v>
      </c>
      <c r="M52" s="307">
        <v>2450</v>
      </c>
      <c r="N52" s="31"/>
      <c r="O52" s="31"/>
      <c r="P52" s="31"/>
      <c r="Q52" s="35"/>
      <c r="R52" s="48"/>
      <c r="S52" s="36"/>
      <c r="T52" s="36"/>
      <c r="U52" s="37"/>
      <c r="V52" s="38"/>
      <c r="W52" s="39"/>
      <c r="X52" s="39"/>
      <c r="Y52" s="40"/>
      <c r="Z52" s="40"/>
      <c r="AA52" s="41"/>
      <c r="AB52" s="42"/>
      <c r="AC52" s="43"/>
      <c r="AD52" s="43"/>
    </row>
    <row r="53" spans="1:35" ht="24" customHeight="1" x14ac:dyDescent="0.4">
      <c r="A53" s="251" t="s">
        <v>111</v>
      </c>
      <c r="B53" s="246" t="s">
        <v>46</v>
      </c>
      <c r="C53" s="253" t="s">
        <v>45</v>
      </c>
      <c r="D53" s="256" t="s">
        <v>52</v>
      </c>
      <c r="E53" s="28">
        <v>69011935</v>
      </c>
      <c r="F53" s="29">
        <v>690113</v>
      </c>
      <c r="G53" s="69">
        <v>920</v>
      </c>
      <c r="H53" s="31">
        <v>900</v>
      </c>
      <c r="I53" s="46">
        <v>125</v>
      </c>
      <c r="J53" s="32">
        <v>125</v>
      </c>
      <c r="K53" s="33">
        <f t="shared" si="7"/>
        <v>73.599999999999994</v>
      </c>
      <c r="L53" s="47">
        <f t="shared" si="7"/>
        <v>72</v>
      </c>
      <c r="M53" s="303">
        <v>540</v>
      </c>
      <c r="N53" s="31"/>
      <c r="O53" s="31"/>
      <c r="P53" s="31"/>
      <c r="Q53" s="35"/>
      <c r="R53" s="48">
        <v>2580</v>
      </c>
      <c r="S53" s="36"/>
      <c r="T53" s="36">
        <v>181.6</v>
      </c>
      <c r="U53" s="37"/>
      <c r="V53" s="38">
        <v>25</v>
      </c>
      <c r="W53" s="39"/>
      <c r="X53" s="39">
        <f>T53*1000/39.37/R53*35.5</f>
        <v>63.468623061277128</v>
      </c>
      <c r="Y53" s="40"/>
      <c r="Z53" s="40">
        <f t="shared" ref="Z53" si="8">(AD53+X53)/2</f>
        <v>64.914311530638571</v>
      </c>
      <c r="AA53" s="41"/>
      <c r="AB53" s="42"/>
      <c r="AC53" s="43"/>
      <c r="AD53" s="43">
        <v>66.36</v>
      </c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314</v>
      </c>
      <c r="E54" s="28"/>
      <c r="F54" s="29">
        <v>690106</v>
      </c>
      <c r="G54" s="69">
        <v>980</v>
      </c>
      <c r="H54" s="31">
        <v>900</v>
      </c>
      <c r="I54" s="63">
        <v>125</v>
      </c>
      <c r="J54" s="64">
        <v>125</v>
      </c>
      <c r="K54" s="65">
        <f t="shared" si="7"/>
        <v>78.400000000000006</v>
      </c>
      <c r="L54" s="68">
        <f t="shared" si="7"/>
        <v>72</v>
      </c>
      <c r="M54" s="303">
        <v>1805</v>
      </c>
      <c r="N54" s="31"/>
      <c r="O54" s="31"/>
      <c r="P54" s="31"/>
      <c r="Q54" s="35"/>
      <c r="R54" s="48"/>
      <c r="S54" s="36"/>
      <c r="T54" s="36"/>
      <c r="U54" s="37"/>
      <c r="V54" s="38"/>
      <c r="W54" s="39"/>
      <c r="X54" s="39"/>
      <c r="Y54" s="40"/>
      <c r="Z54" s="40"/>
      <c r="AA54" s="41"/>
      <c r="AB54" s="42"/>
      <c r="AC54" s="43"/>
      <c r="AD54" s="43"/>
    </row>
    <row r="55" spans="1:35" ht="24" customHeight="1" x14ac:dyDescent="0.4">
      <c r="A55" s="251" t="s">
        <v>113</v>
      </c>
      <c r="B55" s="246" t="s">
        <v>46</v>
      </c>
      <c r="C55" s="253" t="s">
        <v>45</v>
      </c>
      <c r="D55" s="256" t="s">
        <v>314</v>
      </c>
      <c r="E55" s="28"/>
      <c r="F55" s="29">
        <v>690136</v>
      </c>
      <c r="G55" s="45">
        <v>870</v>
      </c>
      <c r="H55" s="31">
        <v>850</v>
      </c>
      <c r="I55" s="46">
        <v>125</v>
      </c>
      <c r="J55" s="32">
        <v>125</v>
      </c>
      <c r="K55" s="33">
        <f t="shared" si="7"/>
        <v>69.599999999999994</v>
      </c>
      <c r="L55" s="47">
        <f t="shared" si="7"/>
        <v>68</v>
      </c>
      <c r="M55" s="303">
        <v>2345</v>
      </c>
      <c r="N55" s="31"/>
      <c r="O55" s="31"/>
      <c r="P55" s="31"/>
      <c r="Q55" s="48"/>
      <c r="R55" s="36"/>
      <c r="S55" s="36"/>
      <c r="T55" s="37"/>
      <c r="U55" s="38"/>
      <c r="V55" s="39"/>
      <c r="W55" s="39"/>
      <c r="X55" s="40"/>
      <c r="Y55" s="40"/>
      <c r="Z55" s="41"/>
      <c r="AA55" s="42"/>
      <c r="AB55" s="43"/>
      <c r="AC55" s="43"/>
      <c r="AD55" s="43"/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>
        <v>69011936</v>
      </c>
      <c r="F56" s="29">
        <v>690106</v>
      </c>
      <c r="G56" s="45">
        <v>893</v>
      </c>
      <c r="H56" s="31">
        <v>745</v>
      </c>
      <c r="I56" s="63">
        <v>115</v>
      </c>
      <c r="J56" s="64">
        <v>115</v>
      </c>
      <c r="K56" s="65">
        <v>0</v>
      </c>
      <c r="L56" s="68">
        <v>0</v>
      </c>
      <c r="M56" s="303">
        <v>228</v>
      </c>
      <c r="N56" s="31"/>
      <c r="O56" s="31"/>
      <c r="P56" s="31">
        <v>2500</v>
      </c>
      <c r="Q56" s="35"/>
      <c r="R56" s="48">
        <v>2500</v>
      </c>
      <c r="S56" s="36"/>
      <c r="T56" s="36">
        <v>208.1</v>
      </c>
      <c r="U56" s="37"/>
      <c r="V56" s="38">
        <v>25</v>
      </c>
      <c r="W56" s="39"/>
      <c r="X56" s="39">
        <f>T56*1000/39.37/R56*38.5</f>
        <v>81.400558801117612</v>
      </c>
      <c r="Y56" s="40"/>
      <c r="Z56" s="40">
        <f t="shared" ref="Z56" si="9">(AD56+X56)/2</f>
        <v>82.1052794005588</v>
      </c>
      <c r="AA56" s="41"/>
      <c r="AB56" s="41"/>
      <c r="AC56" s="43"/>
      <c r="AD56" s="43">
        <v>82.81</v>
      </c>
    </row>
    <row r="57" spans="1:35" ht="24" customHeight="1" thickBot="1" x14ac:dyDescent="0.55000000000000004">
      <c r="A57" s="251" t="s">
        <v>117</v>
      </c>
      <c r="B57" s="246" t="s">
        <v>115</v>
      </c>
      <c r="C57" s="253" t="s">
        <v>63</v>
      </c>
      <c r="D57" s="258" t="s">
        <v>237</v>
      </c>
      <c r="E57" s="385" t="s">
        <v>367</v>
      </c>
      <c r="F57" s="29">
        <v>690133</v>
      </c>
      <c r="G57" s="69">
        <v>857</v>
      </c>
      <c r="H57" s="31">
        <v>711</v>
      </c>
      <c r="I57" s="46">
        <v>115</v>
      </c>
      <c r="J57" s="32">
        <v>115</v>
      </c>
      <c r="K57" s="33">
        <f t="shared" ref="K57:L82" si="10">G57*8/100</f>
        <v>68.56</v>
      </c>
      <c r="L57" s="47">
        <f t="shared" si="10"/>
        <v>56.88</v>
      </c>
      <c r="M57" s="308">
        <v>252</v>
      </c>
      <c r="N57" s="31"/>
      <c r="O57" s="31"/>
      <c r="P57" s="31"/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>
        <v>69011913</v>
      </c>
      <c r="F58" s="29">
        <v>690107</v>
      </c>
      <c r="G58" s="45">
        <v>920</v>
      </c>
      <c r="H58" s="31">
        <v>915</v>
      </c>
      <c r="I58" s="46">
        <v>135</v>
      </c>
      <c r="J58" s="32">
        <v>135</v>
      </c>
      <c r="K58" s="33">
        <f t="shared" si="10"/>
        <v>73.599999999999994</v>
      </c>
      <c r="L58" s="47">
        <f t="shared" si="10"/>
        <v>73.2</v>
      </c>
      <c r="M58" s="305">
        <v>2235</v>
      </c>
      <c r="N58" s="31"/>
      <c r="O58" s="31"/>
      <c r="P58" s="31"/>
      <c r="Q58" s="35">
        <v>2235</v>
      </c>
      <c r="R58" s="48"/>
      <c r="S58" s="36">
        <v>161.5</v>
      </c>
      <c r="T58" s="36"/>
      <c r="U58" s="37">
        <v>20</v>
      </c>
      <c r="V58" s="38"/>
      <c r="W58" s="39">
        <f>S58*1000/39.37/Q58*38.5</f>
        <v>70.662714032363198</v>
      </c>
      <c r="X58" s="39"/>
      <c r="Y58" s="40">
        <f t="shared" ref="Y58" si="11">(AC58+W58)/2</f>
        <v>71.286357016181597</v>
      </c>
      <c r="Z58" s="40"/>
      <c r="AA58" s="41"/>
      <c r="AB58" s="41"/>
      <c r="AC58" s="43">
        <v>71.91</v>
      </c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/>
      <c r="F59" s="29">
        <v>690106</v>
      </c>
      <c r="G59" s="45">
        <v>1043</v>
      </c>
      <c r="H59" s="31">
        <v>944</v>
      </c>
      <c r="I59" s="46">
        <v>135</v>
      </c>
      <c r="J59" s="32">
        <v>135</v>
      </c>
      <c r="K59" s="33">
        <f t="shared" si="10"/>
        <v>83.44</v>
      </c>
      <c r="L59" s="47">
        <f t="shared" si="10"/>
        <v>75.52</v>
      </c>
      <c r="M59" s="303">
        <v>1700</v>
      </c>
      <c r="N59" s="31"/>
      <c r="O59" s="31"/>
      <c r="P59" s="31"/>
      <c r="Q59" s="35"/>
      <c r="R59" s="48"/>
      <c r="S59" s="36"/>
      <c r="T59" s="36"/>
      <c r="U59" s="37"/>
      <c r="V59" s="38"/>
      <c r="W59" s="39"/>
      <c r="X59" s="39"/>
      <c r="Y59" s="40"/>
      <c r="Z59" s="40"/>
      <c r="AA59" s="41"/>
      <c r="AB59" s="42"/>
      <c r="AC59" s="43"/>
      <c r="AD59" s="43"/>
      <c r="AI59" s="75"/>
    </row>
    <row r="60" spans="1:35" ht="24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8"/>
      <c r="F60" s="29">
        <v>690106</v>
      </c>
      <c r="G60" s="45">
        <v>1035</v>
      </c>
      <c r="H60" s="31">
        <v>887</v>
      </c>
      <c r="I60" s="46">
        <v>135</v>
      </c>
      <c r="J60" s="64">
        <v>135</v>
      </c>
      <c r="K60" s="65">
        <f t="shared" si="10"/>
        <v>82.8</v>
      </c>
      <c r="L60" s="68">
        <f t="shared" si="10"/>
        <v>70.959999999999994</v>
      </c>
      <c r="M60" s="303">
        <v>1050</v>
      </c>
      <c r="N60" s="31"/>
      <c r="O60" s="31"/>
      <c r="P60" s="31"/>
      <c r="Q60" s="35"/>
      <c r="R60" s="48"/>
      <c r="S60" s="36"/>
      <c r="T60" s="36"/>
      <c r="U60" s="37"/>
      <c r="V60" s="38"/>
      <c r="W60" s="39"/>
      <c r="X60" s="39"/>
      <c r="Y60" s="40"/>
      <c r="Z60" s="40"/>
      <c r="AA60" s="41"/>
      <c r="AB60" s="42"/>
      <c r="AC60" s="43"/>
      <c r="AD60" s="43"/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314</v>
      </c>
      <c r="E61" s="28"/>
      <c r="F61" s="29">
        <v>690136</v>
      </c>
      <c r="G61" s="45">
        <v>1027</v>
      </c>
      <c r="H61" s="31">
        <v>833</v>
      </c>
      <c r="I61" s="46">
        <v>135</v>
      </c>
      <c r="J61" s="64">
        <v>135</v>
      </c>
      <c r="K61" s="65">
        <f t="shared" si="10"/>
        <v>82.16</v>
      </c>
      <c r="L61" s="68">
        <f t="shared" si="10"/>
        <v>66.64</v>
      </c>
      <c r="M61" s="303">
        <v>1540</v>
      </c>
      <c r="N61" s="31"/>
      <c r="O61" s="31"/>
      <c r="P61" s="31">
        <v>2000</v>
      </c>
      <c r="Q61" s="48"/>
      <c r="R61" s="36"/>
      <c r="S61" s="36"/>
      <c r="T61" s="37"/>
      <c r="U61" s="38"/>
      <c r="V61" s="39"/>
      <c r="W61" s="39"/>
      <c r="X61" s="40"/>
      <c r="Y61" s="40"/>
      <c r="Z61" s="41"/>
      <c r="AA61" s="42"/>
      <c r="AB61" s="43"/>
      <c r="AC61" s="43"/>
      <c r="AD61" s="43"/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314</v>
      </c>
      <c r="E62" s="28"/>
      <c r="F62" s="29">
        <v>690108</v>
      </c>
      <c r="G62" s="45">
        <v>495</v>
      </c>
      <c r="H62" s="31">
        <v>984</v>
      </c>
      <c r="I62" s="46">
        <v>135</v>
      </c>
      <c r="J62" s="32">
        <v>135</v>
      </c>
      <c r="K62" s="33">
        <f t="shared" si="10"/>
        <v>39.6</v>
      </c>
      <c r="L62" s="47">
        <f t="shared" si="10"/>
        <v>78.72</v>
      </c>
      <c r="M62" s="306">
        <v>1660</v>
      </c>
      <c r="N62" s="31"/>
      <c r="O62" s="31"/>
      <c r="P62" s="31"/>
      <c r="Q62" s="48"/>
      <c r="R62" s="36"/>
      <c r="S62" s="36"/>
      <c r="T62" s="37"/>
      <c r="U62" s="38"/>
      <c r="V62" s="39"/>
      <c r="W62" s="39"/>
      <c r="X62" s="40"/>
      <c r="Y62" s="40"/>
      <c r="Z62" s="41"/>
      <c r="AA62" s="42"/>
      <c r="AB62" s="43"/>
      <c r="AC62" s="43"/>
      <c r="AD62" s="43"/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57</v>
      </c>
      <c r="E63" s="28">
        <v>69011912</v>
      </c>
      <c r="F63" s="29">
        <v>690106</v>
      </c>
      <c r="G63" s="45">
        <v>1005</v>
      </c>
      <c r="H63" s="31">
        <v>755</v>
      </c>
      <c r="I63" s="46">
        <v>135</v>
      </c>
      <c r="J63" s="64">
        <v>135</v>
      </c>
      <c r="K63" s="65">
        <f t="shared" si="10"/>
        <v>80.400000000000006</v>
      </c>
      <c r="L63" s="68">
        <f t="shared" si="10"/>
        <v>60.4</v>
      </c>
      <c r="M63" s="303">
        <v>50</v>
      </c>
      <c r="N63" s="31"/>
      <c r="O63" s="31"/>
      <c r="P63" s="31"/>
      <c r="Q63" s="35">
        <v>2430</v>
      </c>
      <c r="R63" s="48"/>
      <c r="S63" s="36">
        <v>192.7</v>
      </c>
      <c r="T63" s="36"/>
      <c r="U63" s="37">
        <v>25</v>
      </c>
      <c r="V63" s="38"/>
      <c r="W63" s="39">
        <f>S63*1000/39.37/Q63*31.5</f>
        <v>63.448386156031575</v>
      </c>
      <c r="X63" s="39"/>
      <c r="Y63" s="40">
        <f t="shared" ref="Y63:Y65" si="12">(AC63+W63)/2</f>
        <v>64.454193078015777</v>
      </c>
      <c r="Z63" s="40"/>
      <c r="AA63" s="41"/>
      <c r="AB63" s="42"/>
      <c r="AC63" s="43">
        <v>65.459999999999994</v>
      </c>
      <c r="AD63" s="43"/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>
        <v>69011911</v>
      </c>
      <c r="F64" s="29">
        <v>690106</v>
      </c>
      <c r="G64" s="45">
        <v>1195</v>
      </c>
      <c r="H64" s="31">
        <v>1000</v>
      </c>
      <c r="I64" s="46">
        <v>135</v>
      </c>
      <c r="J64" s="64">
        <v>135</v>
      </c>
      <c r="K64" s="65">
        <f t="shared" si="10"/>
        <v>95.6</v>
      </c>
      <c r="L64" s="76">
        <f t="shared" si="10"/>
        <v>80</v>
      </c>
      <c r="M64" s="303">
        <v>220</v>
      </c>
      <c r="N64" s="31"/>
      <c r="O64" s="31"/>
      <c r="P64" s="31"/>
      <c r="Q64" s="48">
        <v>2980</v>
      </c>
      <c r="R64" s="36"/>
      <c r="S64" s="36">
        <v>235</v>
      </c>
      <c r="T64" s="37"/>
      <c r="U64" s="38">
        <v>30</v>
      </c>
      <c r="V64" s="39"/>
      <c r="W64" s="39">
        <f>S64*1000/39.37/Q64*31.5</f>
        <v>63.095260418708762</v>
      </c>
      <c r="X64" s="40"/>
      <c r="Y64" s="40">
        <f t="shared" si="12"/>
        <v>64.092630209354382</v>
      </c>
      <c r="Z64" s="41"/>
      <c r="AA64" s="42"/>
      <c r="AB64" s="43"/>
      <c r="AC64" s="43">
        <v>65.09</v>
      </c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>
        <v>69011910</v>
      </c>
      <c r="F65" s="29">
        <v>690106</v>
      </c>
      <c r="G65" s="69">
        <v>1050</v>
      </c>
      <c r="H65" s="31">
        <v>830</v>
      </c>
      <c r="I65" s="46">
        <v>135</v>
      </c>
      <c r="J65" s="32">
        <v>135</v>
      </c>
      <c r="K65" s="33">
        <f t="shared" si="10"/>
        <v>84</v>
      </c>
      <c r="L65" s="47">
        <f t="shared" si="10"/>
        <v>66.400000000000006</v>
      </c>
      <c r="M65" s="303">
        <v>200</v>
      </c>
      <c r="N65" s="31"/>
      <c r="O65" s="31"/>
      <c r="P65" s="31"/>
      <c r="Q65" s="35">
        <v>2590</v>
      </c>
      <c r="R65" s="48"/>
      <c r="S65" s="36">
        <v>204.5</v>
      </c>
      <c r="T65" s="36"/>
      <c r="U65" s="37">
        <v>25</v>
      </c>
      <c r="V65" s="38"/>
      <c r="W65" s="39">
        <f>S65*1000/39.37/Q65*31.5</f>
        <v>63.174045267009461</v>
      </c>
      <c r="X65" s="39"/>
      <c r="Y65" s="40">
        <f t="shared" si="12"/>
        <v>64.287022633504733</v>
      </c>
      <c r="Z65" s="40"/>
      <c r="AA65" s="41"/>
      <c r="AB65" s="42"/>
      <c r="AC65" s="43">
        <v>65.400000000000006</v>
      </c>
      <c r="AD65" s="43"/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1130</v>
      </c>
      <c r="H66" s="31">
        <v>850</v>
      </c>
      <c r="I66" s="46">
        <v>135</v>
      </c>
      <c r="J66" s="32">
        <v>135</v>
      </c>
      <c r="K66" s="33">
        <f t="shared" si="10"/>
        <v>90.4</v>
      </c>
      <c r="L66" s="47">
        <f t="shared" si="10"/>
        <v>68</v>
      </c>
      <c r="M66" s="303">
        <v>1200</v>
      </c>
      <c r="N66" s="31"/>
      <c r="O66" s="31"/>
      <c r="P66" s="31"/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>
        <v>69011918</v>
      </c>
      <c r="F67" s="29">
        <v>690128</v>
      </c>
      <c r="G67" s="45">
        <v>930</v>
      </c>
      <c r="H67" s="31">
        <v>700</v>
      </c>
      <c r="I67" s="46">
        <v>135</v>
      </c>
      <c r="J67" s="32">
        <v>135</v>
      </c>
      <c r="K67" s="33">
        <f t="shared" si="10"/>
        <v>74.400000000000006</v>
      </c>
      <c r="L67" s="47">
        <f t="shared" si="10"/>
        <v>56</v>
      </c>
      <c r="M67" s="303">
        <v>0</v>
      </c>
      <c r="N67" s="31"/>
      <c r="O67" s="31"/>
      <c r="P67" s="31"/>
      <c r="Q67" s="35">
        <v>1530</v>
      </c>
      <c r="R67" s="48"/>
      <c r="S67" s="36">
        <v>171.4</v>
      </c>
      <c r="T67" s="36"/>
      <c r="U67" s="37">
        <v>15</v>
      </c>
      <c r="V67" s="38"/>
      <c r="W67" s="39">
        <f>S67*1000/39.37/Q67*42.5</f>
        <v>120.93246408715042</v>
      </c>
      <c r="X67" s="39"/>
      <c r="Y67" s="40">
        <f t="shared" ref="Y67:Z74" si="13">(AC67+W67)/2</f>
        <v>122.82123204357521</v>
      </c>
      <c r="Z67" s="40"/>
      <c r="AA67" s="41"/>
      <c r="AB67" s="235"/>
      <c r="AC67" s="239">
        <v>124.71</v>
      </c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43</v>
      </c>
      <c r="E68" s="28">
        <v>69011914</v>
      </c>
      <c r="F68" s="29">
        <v>690119</v>
      </c>
      <c r="G68" s="69">
        <v>898</v>
      </c>
      <c r="H68" s="31">
        <v>610</v>
      </c>
      <c r="I68" s="46">
        <v>130</v>
      </c>
      <c r="J68" s="32">
        <v>130</v>
      </c>
      <c r="K68" s="33">
        <f t="shared" si="10"/>
        <v>71.84</v>
      </c>
      <c r="L68" s="47">
        <f t="shared" si="10"/>
        <v>48.8</v>
      </c>
      <c r="M68" s="303">
        <v>387</v>
      </c>
      <c r="N68" s="31"/>
      <c r="O68" s="31"/>
      <c r="P68" s="31">
        <v>2500</v>
      </c>
      <c r="Q68" s="35">
        <v>2513</v>
      </c>
      <c r="R68" s="48"/>
      <c r="S68" s="36">
        <v>202.2</v>
      </c>
      <c r="T68" s="36"/>
      <c r="U68" s="37">
        <v>25</v>
      </c>
      <c r="V68" s="38"/>
      <c r="W68" s="39">
        <f>S68*1000/39.37/Q68*38.5</f>
        <v>78.683555695802198</v>
      </c>
      <c r="X68" s="39"/>
      <c r="Y68" s="40">
        <f t="shared" si="13"/>
        <v>79.641777847901096</v>
      </c>
      <c r="Z68" s="40"/>
      <c r="AA68" s="41"/>
      <c r="AB68" s="42"/>
      <c r="AC68" s="43">
        <v>80.599999999999994</v>
      </c>
      <c r="AD68" s="43"/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366</v>
      </c>
      <c r="E69" s="28">
        <v>69011930</v>
      </c>
      <c r="F69" s="29">
        <v>690119</v>
      </c>
      <c r="G69" s="69">
        <v>768</v>
      </c>
      <c r="H69" s="31">
        <v>980</v>
      </c>
      <c r="I69" s="46">
        <v>780</v>
      </c>
      <c r="J69" s="32">
        <v>780</v>
      </c>
      <c r="K69" s="33">
        <f t="shared" si="10"/>
        <v>61.44</v>
      </c>
      <c r="L69" s="47">
        <f t="shared" si="10"/>
        <v>78.400000000000006</v>
      </c>
      <c r="M69" s="303">
        <v>1241</v>
      </c>
      <c r="N69" s="31"/>
      <c r="O69" s="31"/>
      <c r="P69" s="31"/>
      <c r="Q69" s="35">
        <v>2500</v>
      </c>
      <c r="R69" s="48"/>
      <c r="S69" s="36">
        <v>167.9</v>
      </c>
      <c r="T69" s="36"/>
      <c r="U69" s="37">
        <v>25</v>
      </c>
      <c r="V69" s="38"/>
      <c r="W69" s="39">
        <f>S69*1000/39.37/Q69*26.5</f>
        <v>45.205486410972824</v>
      </c>
      <c r="X69" s="39"/>
      <c r="Y69" s="40">
        <f t="shared" si="13"/>
        <v>45.657743205486412</v>
      </c>
      <c r="Z69" s="40"/>
      <c r="AA69" s="41"/>
      <c r="AB69" s="42"/>
      <c r="AC69" s="43">
        <v>46.11</v>
      </c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57</v>
      </c>
      <c r="E70" s="28"/>
      <c r="F70" s="29">
        <v>690119</v>
      </c>
      <c r="G70" s="45">
        <v>611</v>
      </c>
      <c r="H70" s="31">
        <v>760</v>
      </c>
      <c r="I70" s="46">
        <v>780</v>
      </c>
      <c r="J70" s="32">
        <v>780</v>
      </c>
      <c r="K70" s="33">
        <f t="shared" si="10"/>
        <v>48.88</v>
      </c>
      <c r="L70" s="47">
        <f t="shared" si="10"/>
        <v>60.8</v>
      </c>
      <c r="M70" s="308">
        <v>1383</v>
      </c>
      <c r="N70" s="31"/>
      <c r="O70" s="31"/>
      <c r="P70" s="31"/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57</v>
      </c>
      <c r="E71" s="28">
        <v>69011932</v>
      </c>
      <c r="F71" s="29">
        <v>690106</v>
      </c>
      <c r="G71" s="45">
        <v>717</v>
      </c>
      <c r="H71" s="31">
        <v>960</v>
      </c>
      <c r="I71" s="46">
        <v>780</v>
      </c>
      <c r="J71" s="32">
        <v>780</v>
      </c>
      <c r="K71" s="33">
        <f t="shared" si="10"/>
        <v>57.36</v>
      </c>
      <c r="L71" s="47">
        <f t="shared" si="10"/>
        <v>76.8</v>
      </c>
      <c r="M71" s="305">
        <v>518</v>
      </c>
      <c r="N71" s="31"/>
      <c r="O71" s="31"/>
      <c r="P71" s="31"/>
      <c r="Q71" s="35"/>
      <c r="R71" s="48">
        <v>2490</v>
      </c>
      <c r="S71" s="36"/>
      <c r="T71" s="36">
        <v>196.7</v>
      </c>
      <c r="U71" s="37"/>
      <c r="V71" s="38">
        <v>25</v>
      </c>
      <c r="W71" s="39"/>
      <c r="X71" s="39">
        <f>T71*1000/39.37/R71*31.5</f>
        <v>63.204813156614264</v>
      </c>
      <c r="Y71" s="40"/>
      <c r="Z71" s="40">
        <f t="shared" si="13"/>
        <v>63.727406578307132</v>
      </c>
      <c r="AA71" s="41"/>
      <c r="AB71" s="42"/>
      <c r="AC71" s="43"/>
      <c r="AD71" s="43">
        <v>64.25</v>
      </c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57</v>
      </c>
      <c r="E72" s="28"/>
      <c r="F72" s="29">
        <v>690104</v>
      </c>
      <c r="G72" s="77">
        <v>900</v>
      </c>
      <c r="H72" s="31">
        <v>970</v>
      </c>
      <c r="I72" s="63">
        <v>780</v>
      </c>
      <c r="J72" s="64">
        <v>780</v>
      </c>
      <c r="K72" s="65">
        <f t="shared" si="10"/>
        <v>72</v>
      </c>
      <c r="L72" s="47">
        <f t="shared" si="10"/>
        <v>77.599999999999994</v>
      </c>
      <c r="M72" s="303">
        <v>1344</v>
      </c>
      <c r="N72" s="31"/>
      <c r="O72" s="31"/>
      <c r="P72" s="31"/>
      <c r="Q72" s="35"/>
      <c r="R72" s="48"/>
      <c r="S72" s="36"/>
      <c r="T72" s="36"/>
      <c r="U72" s="37"/>
      <c r="V72" s="38"/>
      <c r="W72" s="39"/>
      <c r="X72" s="39"/>
      <c r="Y72" s="40"/>
      <c r="Z72" s="40">
        <f t="shared" si="13"/>
        <v>0</v>
      </c>
      <c r="AA72" s="41"/>
      <c r="AB72" s="42"/>
      <c r="AC72" s="43"/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314</v>
      </c>
      <c r="E73" s="28"/>
      <c r="F73" s="29">
        <v>690136</v>
      </c>
      <c r="G73" s="78">
        <v>752</v>
      </c>
      <c r="H73" s="31">
        <v>866</v>
      </c>
      <c r="I73" s="63">
        <v>780</v>
      </c>
      <c r="J73" s="64">
        <v>780</v>
      </c>
      <c r="K73" s="65">
        <f t="shared" si="10"/>
        <v>60.16</v>
      </c>
      <c r="L73" s="47">
        <f t="shared" si="10"/>
        <v>69.28</v>
      </c>
      <c r="M73" s="303">
        <v>1308</v>
      </c>
      <c r="N73" s="31"/>
      <c r="O73" s="31"/>
      <c r="P73" s="31"/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43</v>
      </c>
      <c r="E74" s="28">
        <v>69011933</v>
      </c>
      <c r="F74" s="29">
        <v>690107</v>
      </c>
      <c r="G74" s="79">
        <v>821</v>
      </c>
      <c r="H74" s="31">
        <v>870</v>
      </c>
      <c r="I74" s="63">
        <v>780</v>
      </c>
      <c r="J74" s="64">
        <v>780</v>
      </c>
      <c r="K74" s="65">
        <f t="shared" si="10"/>
        <v>65.680000000000007</v>
      </c>
      <c r="L74" s="68">
        <f t="shared" si="10"/>
        <v>69.599999999999994</v>
      </c>
      <c r="M74" s="303">
        <v>1040</v>
      </c>
      <c r="N74" s="31"/>
      <c r="O74" s="31"/>
      <c r="P74" s="31"/>
      <c r="Q74" s="35"/>
      <c r="R74" s="48">
        <v>2500</v>
      </c>
      <c r="S74" s="36"/>
      <c r="T74" s="36">
        <v>197.8</v>
      </c>
      <c r="U74" s="37"/>
      <c r="V74" s="38"/>
      <c r="W74" s="39"/>
      <c r="X74" s="39">
        <f>T74*1000/39.37/R74*38.5</f>
        <v>77.3716027432055</v>
      </c>
      <c r="Y74" s="40"/>
      <c r="Z74" s="40">
        <f t="shared" si="13"/>
        <v>78.81580137160276</v>
      </c>
      <c r="AA74" s="41"/>
      <c r="AB74" s="42"/>
      <c r="AC74" s="43"/>
      <c r="AD74" s="43">
        <v>80.260000000000005</v>
      </c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59</v>
      </c>
      <c r="E75" s="28">
        <v>69011907</v>
      </c>
      <c r="F75" s="29">
        <v>690109</v>
      </c>
      <c r="G75" s="80">
        <v>1212</v>
      </c>
      <c r="H75" s="31">
        <v>1005</v>
      </c>
      <c r="I75" s="46">
        <v>800</v>
      </c>
      <c r="J75" s="32">
        <v>800</v>
      </c>
      <c r="K75" s="33">
        <f t="shared" si="10"/>
        <v>96.96</v>
      </c>
      <c r="L75" s="47">
        <f t="shared" si="10"/>
        <v>80.400000000000006</v>
      </c>
      <c r="M75" s="303">
        <v>218</v>
      </c>
      <c r="N75" s="31"/>
      <c r="O75" s="31"/>
      <c r="P75" s="31">
        <v>2000</v>
      </c>
      <c r="Q75" s="48">
        <v>2000</v>
      </c>
      <c r="R75" s="48"/>
      <c r="S75" s="317">
        <v>157.30000000000001</v>
      </c>
      <c r="T75" s="36"/>
      <c r="U75" s="37"/>
      <c r="V75" s="38"/>
      <c r="W75" s="39">
        <f>S75*1000/39.37/Q75*38.5</f>
        <v>76.911988823977651</v>
      </c>
      <c r="X75" s="39"/>
      <c r="Y75" s="40">
        <f t="shared" ref="Y75" si="14">(AC75+W75)/2</f>
        <v>77.150994411988819</v>
      </c>
      <c r="Z75" s="40"/>
      <c r="AA75" s="41"/>
      <c r="AB75" s="42"/>
      <c r="AC75" s="43">
        <v>77.39</v>
      </c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146</v>
      </c>
      <c r="E76" s="28"/>
      <c r="F76" s="29">
        <v>690109</v>
      </c>
      <c r="G76" s="45">
        <v>1126</v>
      </c>
      <c r="H76" s="31">
        <v>1018</v>
      </c>
      <c r="I76" s="46">
        <v>800</v>
      </c>
      <c r="J76" s="32">
        <v>800</v>
      </c>
      <c r="K76" s="33">
        <f t="shared" si="10"/>
        <v>90.08</v>
      </c>
      <c r="L76" s="47">
        <f t="shared" si="10"/>
        <v>81.44</v>
      </c>
      <c r="M76" s="303">
        <v>1292</v>
      </c>
      <c r="N76" s="31"/>
      <c r="O76" s="31"/>
      <c r="P76" s="31">
        <v>2000</v>
      </c>
      <c r="Q76" s="48"/>
      <c r="R76" s="48"/>
      <c r="S76" s="36"/>
      <c r="T76" s="36"/>
      <c r="U76" s="37"/>
      <c r="V76" s="38"/>
      <c r="W76" s="39"/>
      <c r="X76" s="39"/>
      <c r="Y76" s="40"/>
      <c r="Z76" s="40"/>
      <c r="AA76" s="41"/>
      <c r="AB76" s="42"/>
      <c r="AC76" s="43"/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146</v>
      </c>
      <c r="E77" s="28">
        <v>69011906</v>
      </c>
      <c r="F77" s="29">
        <v>690109</v>
      </c>
      <c r="G77" s="45">
        <v>1051</v>
      </c>
      <c r="H77" s="31">
        <v>1008</v>
      </c>
      <c r="I77" s="46">
        <v>800</v>
      </c>
      <c r="J77" s="32">
        <v>800</v>
      </c>
      <c r="K77" s="33">
        <f t="shared" si="10"/>
        <v>84.08</v>
      </c>
      <c r="L77" s="47">
        <f t="shared" si="10"/>
        <v>80.64</v>
      </c>
      <c r="M77" s="303">
        <v>1182</v>
      </c>
      <c r="N77" s="31"/>
      <c r="O77" s="31"/>
      <c r="P77" s="31"/>
      <c r="Q77" s="48">
        <v>2000</v>
      </c>
      <c r="R77" s="36"/>
      <c r="S77" s="36">
        <v>151.1</v>
      </c>
      <c r="T77" s="37"/>
      <c r="U77" s="38"/>
      <c r="V77" s="39"/>
      <c r="W77" s="39">
        <f>S77*1000/39.37/Q77*38.5</f>
        <v>73.880492760985518</v>
      </c>
      <c r="X77" s="40"/>
      <c r="Y77" s="40">
        <f t="shared" ref="Y77:Y82" si="15">(AC77+W77)/2</f>
        <v>74.610246380492754</v>
      </c>
      <c r="Z77" s="41"/>
      <c r="AA77" s="42"/>
      <c r="AB77" s="43"/>
      <c r="AC77" s="43">
        <v>75.34</v>
      </c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146</v>
      </c>
      <c r="E78" s="28">
        <v>69011905</v>
      </c>
      <c r="F78" s="29">
        <v>690106</v>
      </c>
      <c r="G78" s="45">
        <v>933</v>
      </c>
      <c r="H78" s="31">
        <v>1005</v>
      </c>
      <c r="I78" s="46">
        <v>800</v>
      </c>
      <c r="J78" s="32">
        <v>800</v>
      </c>
      <c r="K78" s="33">
        <f t="shared" si="10"/>
        <v>74.64</v>
      </c>
      <c r="L78" s="47">
        <f t="shared" si="10"/>
        <v>80.400000000000006</v>
      </c>
      <c r="M78" s="303">
        <v>1372</v>
      </c>
      <c r="N78" s="31"/>
      <c r="O78" s="31"/>
      <c r="P78" s="31"/>
      <c r="Q78" s="48">
        <v>2000</v>
      </c>
      <c r="R78" s="36"/>
      <c r="S78" s="36">
        <v>151.4</v>
      </c>
      <c r="T78" s="37"/>
      <c r="U78" s="38"/>
      <c r="V78" s="39"/>
      <c r="W78" s="39">
        <f>S78*1000/39.37/Q78*38.5</f>
        <v>74.027178054356114</v>
      </c>
      <c r="X78" s="40"/>
      <c r="Y78" s="40">
        <f t="shared" si="15"/>
        <v>74.693589027178064</v>
      </c>
      <c r="Z78" s="41"/>
      <c r="AA78" s="42"/>
      <c r="AB78" s="43"/>
      <c r="AC78" s="43">
        <v>75.36</v>
      </c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146</v>
      </c>
      <c r="E79" s="28">
        <v>69011919</v>
      </c>
      <c r="F79" s="29">
        <v>690109</v>
      </c>
      <c r="G79" s="45">
        <v>1002</v>
      </c>
      <c r="H79" s="31">
        <v>708</v>
      </c>
      <c r="I79" s="46">
        <v>800</v>
      </c>
      <c r="J79" s="32">
        <v>800</v>
      </c>
      <c r="K79" s="33"/>
      <c r="L79" s="47">
        <f t="shared" si="10"/>
        <v>56.64</v>
      </c>
      <c r="M79" s="303">
        <v>493</v>
      </c>
      <c r="N79" s="31"/>
      <c r="O79" s="31"/>
      <c r="P79" s="31">
        <v>2000</v>
      </c>
      <c r="Q79" s="48">
        <v>2000</v>
      </c>
      <c r="R79" s="48"/>
      <c r="S79" s="36">
        <v>152</v>
      </c>
      <c r="T79" s="36"/>
      <c r="U79" s="37"/>
      <c r="V79" s="38"/>
      <c r="W79" s="39">
        <f>S79*1000/39.37/Q79*38.5</f>
        <v>74.32054864109729</v>
      </c>
      <c r="X79" s="39"/>
      <c r="Y79" s="40">
        <f t="shared" si="15"/>
        <v>75.710274320548649</v>
      </c>
      <c r="Z79" s="40"/>
      <c r="AA79" s="41"/>
      <c r="AB79" s="42"/>
      <c r="AC79" s="43">
        <v>77.099999999999994</v>
      </c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140</v>
      </c>
      <c r="E80" s="259">
        <v>639011920</v>
      </c>
      <c r="F80" s="29">
        <v>690109</v>
      </c>
      <c r="G80" s="45">
        <v>1210</v>
      </c>
      <c r="H80" s="31">
        <v>690</v>
      </c>
      <c r="I80" s="46">
        <v>800</v>
      </c>
      <c r="J80" s="32">
        <v>800</v>
      </c>
      <c r="K80" s="33">
        <f t="shared" si="10"/>
        <v>96.8</v>
      </c>
      <c r="L80" s="47">
        <f t="shared" si="10"/>
        <v>55.2</v>
      </c>
      <c r="M80" s="303">
        <v>1974</v>
      </c>
      <c r="N80" s="31"/>
      <c r="O80" s="31"/>
      <c r="P80" s="31">
        <v>2000</v>
      </c>
      <c r="Q80" s="35">
        <v>2000</v>
      </c>
      <c r="R80" s="48"/>
      <c r="S80" s="36">
        <v>145.19999999999999</v>
      </c>
      <c r="T80" s="36"/>
      <c r="U80" s="37"/>
      <c r="V80" s="38"/>
      <c r="W80" s="39">
        <f>S80*1000/39.37/Q80*38.5</f>
        <v>70.995681991363981</v>
      </c>
      <c r="X80" s="39"/>
      <c r="Y80" s="40">
        <f t="shared" si="15"/>
        <v>72.387840995681984</v>
      </c>
      <c r="Z80" s="40"/>
      <c r="AA80" s="41"/>
      <c r="AB80" s="42"/>
      <c r="AC80" s="43">
        <v>73.78</v>
      </c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146</v>
      </c>
      <c r="E81" s="28">
        <v>69011921</v>
      </c>
      <c r="F81" s="29">
        <v>690109</v>
      </c>
      <c r="G81" s="45">
        <v>1190</v>
      </c>
      <c r="H81" s="31">
        <v>690</v>
      </c>
      <c r="I81" s="46">
        <v>800</v>
      </c>
      <c r="J81" s="32">
        <v>800</v>
      </c>
      <c r="K81" s="33">
        <f t="shared" si="10"/>
        <v>95.2</v>
      </c>
      <c r="L81" s="47">
        <f t="shared" si="10"/>
        <v>55.2</v>
      </c>
      <c r="M81" s="303">
        <v>1958</v>
      </c>
      <c r="N81" s="31"/>
      <c r="O81" s="31"/>
      <c r="P81" s="31"/>
      <c r="Q81" s="35">
        <v>2000</v>
      </c>
      <c r="R81" s="48"/>
      <c r="S81" s="36">
        <v>148.4</v>
      </c>
      <c r="T81" s="36"/>
      <c r="U81" s="37"/>
      <c r="V81" s="38"/>
      <c r="W81" s="39">
        <f>S81*1000/39.37/Q81*38.5</f>
        <v>72.560325120650248</v>
      </c>
      <c r="X81" s="39"/>
      <c r="Y81" s="40">
        <f t="shared" si="15"/>
        <v>73.355162560325127</v>
      </c>
      <c r="Z81" s="40"/>
      <c r="AA81" s="41"/>
      <c r="AB81" s="42"/>
      <c r="AC81" s="43">
        <v>74.150000000000006</v>
      </c>
      <c r="AD81" s="43"/>
    </row>
    <row r="82" spans="1:34" ht="24" customHeight="1" x14ac:dyDescent="0.4">
      <c r="A82" s="249" t="s">
        <v>148</v>
      </c>
      <c r="B82" s="246" t="s">
        <v>116</v>
      </c>
      <c r="C82" s="253" t="s">
        <v>63</v>
      </c>
      <c r="D82" s="256" t="s">
        <v>146</v>
      </c>
      <c r="E82" s="28">
        <v>69011922</v>
      </c>
      <c r="F82" s="29">
        <v>690109</v>
      </c>
      <c r="G82" s="45">
        <v>1143</v>
      </c>
      <c r="H82" s="31">
        <v>690</v>
      </c>
      <c r="I82" s="46">
        <v>800</v>
      </c>
      <c r="J82" s="32">
        <v>800</v>
      </c>
      <c r="K82" s="33">
        <f t="shared" si="10"/>
        <v>91.44</v>
      </c>
      <c r="L82" s="47">
        <f t="shared" si="10"/>
        <v>55.2</v>
      </c>
      <c r="M82" s="303">
        <v>601</v>
      </c>
      <c r="N82" s="31"/>
      <c r="O82" s="31"/>
      <c r="P82" s="31">
        <v>2000</v>
      </c>
      <c r="Q82" s="35">
        <v>2000</v>
      </c>
      <c r="R82" s="48"/>
      <c r="S82" s="36">
        <v>149</v>
      </c>
      <c r="T82" s="36"/>
      <c r="U82" s="37"/>
      <c r="V82" s="38"/>
      <c r="W82" s="39">
        <f>S82*1000/39.37/Q82*38.5</f>
        <v>72.85369570739141</v>
      </c>
      <c r="X82" s="39"/>
      <c r="Y82" s="40">
        <f t="shared" si="15"/>
        <v>74.346847853695706</v>
      </c>
      <c r="Z82" s="40"/>
      <c r="AA82" s="41"/>
      <c r="AB82" s="42"/>
      <c r="AC82" s="43">
        <v>75.84</v>
      </c>
      <c r="AD82" s="43"/>
    </row>
    <row r="83" spans="1:34" ht="24" customHeight="1" x14ac:dyDescent="0.4">
      <c r="A83" s="71" t="s">
        <v>214</v>
      </c>
      <c r="B83" s="26"/>
      <c r="C83" s="254"/>
      <c r="D83" s="49" t="s">
        <v>104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16">G83*8/100</f>
        <v>0</v>
      </c>
      <c r="L83" s="47">
        <f t="shared" si="16"/>
        <v>0</v>
      </c>
      <c r="M83" s="303">
        <v>230</v>
      </c>
      <c r="N83" s="31"/>
      <c r="O83" s="31"/>
      <c r="P83" s="31"/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71" t="s">
        <v>215</v>
      </c>
      <c r="B84" s="26"/>
      <c r="C84" s="26"/>
      <c r="D84" s="49" t="s">
        <v>104</v>
      </c>
      <c r="E84" s="28"/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1"/>
      <c r="O84" s="31"/>
      <c r="P84" s="31"/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6"/>
      <c r="D85" s="49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17">G85*8/100</f>
        <v>0</v>
      </c>
      <c r="L85" s="47">
        <f t="shared" si="17"/>
        <v>0</v>
      </c>
      <c r="M85" s="311">
        <v>62</v>
      </c>
      <c r="N85" s="81"/>
      <c r="O85" s="81"/>
      <c r="P85" s="81"/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 t="s">
        <v>88</v>
      </c>
      <c r="B86" s="26"/>
      <c r="C86" s="26"/>
      <c r="D86" s="49" t="s">
        <v>57</v>
      </c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17"/>
        <v>0</v>
      </c>
      <c r="L86" s="47">
        <f t="shared" si="17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59751</v>
      </c>
      <c r="H87" s="86">
        <f>SUM(H6:H82)</f>
        <v>54567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62134</v>
      </c>
      <c r="R87" s="89">
        <f>SUM(R6:R86)</f>
        <v>13400</v>
      </c>
      <c r="S87" s="90">
        <f>SUM(S6:S86)</f>
        <v>4907</v>
      </c>
      <c r="T87" s="91">
        <f>SUM(T6:T86)</f>
        <v>1059</v>
      </c>
      <c r="U87" s="89">
        <f>SUM(U6:U86)</f>
        <v>300</v>
      </c>
      <c r="V87" s="89">
        <f>SUM(V6:V84)</f>
        <v>110</v>
      </c>
      <c r="W87" s="92">
        <f>SUM(W6:W86)</f>
        <v>2203.7963924317187</v>
      </c>
      <c r="X87" s="93">
        <f>SUM(X6:X86)</f>
        <v>447.00709319703333</v>
      </c>
      <c r="Y87" s="94">
        <f>SUM(Y6:Y86)</f>
        <v>2227.9931962158594</v>
      </c>
      <c r="Z87" s="95">
        <f>SUM(Z6:Z86)</f>
        <v>451.4435465985166</v>
      </c>
      <c r="AA87" s="96">
        <f>SUM(AA6:AA82)</f>
        <v>0</v>
      </c>
      <c r="AB87" s="97">
        <f>SUM(AB6:AB82)</f>
        <v>0</v>
      </c>
      <c r="AC87" s="98">
        <f>SUM(AC6:AC86)</f>
        <v>2252.19</v>
      </c>
      <c r="AD87" s="98">
        <f>SUM(AD6:AD86)</f>
        <v>455.88</v>
      </c>
    </row>
    <row r="88" spans="1:34" ht="24" customHeight="1" thickBot="1" x14ac:dyDescent="0.45">
      <c r="A88" s="334"/>
      <c r="B88" s="83">
        <v>55</v>
      </c>
      <c r="C88" s="83">
        <v>55</v>
      </c>
      <c r="D88" s="84"/>
      <c r="E88" s="84"/>
      <c r="F88" s="84"/>
      <c r="G88" s="341">
        <f>G87+H87</f>
        <v>114318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Q87+R87+Q134</f>
        <v>78479</v>
      </c>
      <c r="R88" s="342"/>
      <c r="S88" s="375">
        <f>S87+T87+S134</f>
        <v>6368</v>
      </c>
      <c r="T88" s="376"/>
      <c r="U88" s="341">
        <f>U87+V87+U134</f>
        <v>440</v>
      </c>
      <c r="V88" s="342"/>
      <c r="W88" s="375">
        <f>W87+X87+W134</f>
        <v>2917.7832379713732</v>
      </c>
      <c r="X88" s="376"/>
      <c r="Y88" s="375">
        <f>Y87+Z87+Y134</f>
        <v>2947.4416189856865</v>
      </c>
      <c r="Z88" s="376"/>
      <c r="AA88" s="375">
        <f>AA87+AB87</f>
        <v>0</v>
      </c>
      <c r="AB88" s="376"/>
      <c r="AC88" s="375">
        <f>AC87+AD87+AC134</f>
        <v>2977.1000000000004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364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78479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410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59751</v>
      </c>
      <c r="O91" s="108" t="s">
        <v>158</v>
      </c>
      <c r="P91" s="108"/>
      <c r="Q91" s="108" t="s">
        <v>159</v>
      </c>
      <c r="R91" s="109"/>
      <c r="S91" s="120">
        <f>H87</f>
        <v>54567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300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1.192172</v>
      </c>
      <c r="F92" s="124"/>
      <c r="G92" s="108" t="s">
        <v>162</v>
      </c>
      <c r="H92" s="125"/>
      <c r="I92" s="125"/>
      <c r="J92" s="117" t="s">
        <v>154</v>
      </c>
      <c r="K92" s="108"/>
      <c r="L92" s="108" t="s">
        <v>163</v>
      </c>
      <c r="M92" s="108"/>
      <c r="N92" s="126">
        <f>G87/B88</f>
        <v>1086.3818181818183</v>
      </c>
      <c r="O92" s="108" t="s">
        <v>158</v>
      </c>
      <c r="P92" s="108"/>
      <c r="Q92" s="108" t="s">
        <v>164</v>
      </c>
      <c r="S92" s="126">
        <f>H87/C88</f>
        <v>992.12727272727273</v>
      </c>
      <c r="T92" s="108"/>
      <c r="U92" s="108" t="s">
        <v>158</v>
      </c>
      <c r="W92" s="110"/>
      <c r="X92" s="108"/>
      <c r="Y92" s="40"/>
      <c r="AA92" s="122">
        <f>V87</f>
        <v>110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357</v>
      </c>
      <c r="F93" s="129"/>
      <c r="G93" s="108" t="s">
        <v>162</v>
      </c>
      <c r="H93" s="125"/>
      <c r="I93" s="125"/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356</v>
      </c>
      <c r="F94" s="129"/>
      <c r="G94" s="108" t="s">
        <v>162</v>
      </c>
      <c r="H94" s="125"/>
      <c r="I94" s="125"/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221</v>
      </c>
      <c r="F95" s="116"/>
      <c r="G95" s="108" t="s">
        <v>162</v>
      </c>
      <c r="H95" s="125"/>
      <c r="I95" s="125"/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362</v>
      </c>
      <c r="F96" s="136"/>
      <c r="G96" s="108" t="s">
        <v>162</v>
      </c>
      <c r="H96" s="125"/>
      <c r="I96" s="125"/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341</v>
      </c>
      <c r="F97" s="129"/>
      <c r="G97" s="108" t="s">
        <v>162</v>
      </c>
      <c r="H97" s="125"/>
      <c r="I97" s="125"/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55</v>
      </c>
      <c r="P97" s="108" t="s">
        <v>25</v>
      </c>
      <c r="Q97" s="108"/>
      <c r="R97" s="108"/>
      <c r="S97" s="130" t="s">
        <v>177</v>
      </c>
      <c r="T97" s="138">
        <f>C88</f>
        <v>55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342</v>
      </c>
      <c r="F98" s="139"/>
      <c r="G98" s="108" t="s">
        <v>162</v>
      </c>
      <c r="H98" s="125"/>
      <c r="I98" s="125"/>
      <c r="J98" s="117" t="s">
        <v>154</v>
      </c>
      <c r="K98" s="114"/>
      <c r="L98" s="114"/>
      <c r="M98" s="114"/>
      <c r="N98" s="104" t="s">
        <v>179</v>
      </c>
      <c r="O98" s="104"/>
      <c r="P98" s="140">
        <v>4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1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355</v>
      </c>
      <c r="F99" s="142"/>
      <c r="G99" s="108" t="s">
        <v>162</v>
      </c>
      <c r="H99" s="125"/>
      <c r="I99" s="125"/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14</v>
      </c>
      <c r="Y99" s="127" t="s">
        <v>180</v>
      </c>
      <c r="Z99" s="103" t="s">
        <v>183</v>
      </c>
      <c r="AA99" s="146">
        <v>0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184</v>
      </c>
      <c r="F100" s="148"/>
      <c r="G100" s="108" t="s">
        <v>162</v>
      </c>
      <c r="H100" s="125"/>
      <c r="I100" s="125"/>
      <c r="J100" s="117" t="s">
        <v>154</v>
      </c>
      <c r="K100" s="8"/>
      <c r="L100" s="149" t="s">
        <v>188</v>
      </c>
      <c r="M100" s="150"/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344</v>
      </c>
      <c r="F101" s="155"/>
      <c r="G101" s="108" t="s">
        <v>162</v>
      </c>
      <c r="H101" s="125"/>
      <c r="I101" s="125"/>
      <c r="J101" s="117" t="s">
        <v>154</v>
      </c>
      <c r="K101" s="108"/>
      <c r="L101" s="149"/>
      <c r="M101" s="150"/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345</v>
      </c>
      <c r="F102" s="262"/>
      <c r="G102" s="108" t="s">
        <v>162</v>
      </c>
      <c r="H102" s="125"/>
      <c r="I102" s="125"/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346</v>
      </c>
      <c r="F103" s="148"/>
      <c r="G103" s="108" t="s">
        <v>162</v>
      </c>
      <c r="H103" s="125"/>
      <c r="I103" s="125"/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/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58" t="s">
        <v>347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348</v>
      </c>
      <c r="F105" s="155"/>
      <c r="G105" s="108" t="s">
        <v>162</v>
      </c>
      <c r="H105" s="125"/>
      <c r="I105" s="125"/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353</v>
      </c>
      <c r="F106" s="155"/>
      <c r="G106" s="108" t="s">
        <v>162</v>
      </c>
      <c r="H106" s="125"/>
      <c r="I106" s="125"/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/>
      <c r="F107" s="155"/>
      <c r="G107" s="108"/>
      <c r="H107" s="125"/>
      <c r="I107" s="125"/>
      <c r="J107" s="117"/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s="109" customFormat="1" ht="24" customHeight="1" x14ac:dyDescent="0.55000000000000004">
      <c r="A108" s="1"/>
      <c r="B108" s="161"/>
      <c r="C108" s="1"/>
      <c r="D108" s="1"/>
      <c r="E108" s="136"/>
      <c r="F108" s="155"/>
      <c r="G108" s="108"/>
      <c r="H108" s="125"/>
      <c r="I108" s="125"/>
      <c r="J108" s="117"/>
      <c r="K108" s="117"/>
      <c r="L108" s="149"/>
      <c r="M108" s="173"/>
      <c r="N108" s="165"/>
      <c r="O108" s="165"/>
      <c r="P108" s="165"/>
      <c r="Q108" s="165"/>
      <c r="R108" s="165"/>
      <c r="S108" s="166"/>
      <c r="T108" s="165"/>
      <c r="U108" s="167"/>
      <c r="V108" s="168"/>
      <c r="W108" s="169"/>
      <c r="X108" s="170"/>
      <c r="Y108" s="149"/>
      <c r="Z108" s="149"/>
      <c r="AA108" s="149"/>
      <c r="AB108" s="149"/>
      <c r="AC108" s="171"/>
      <c r="AD108" s="163"/>
      <c r="AK108" s="172"/>
    </row>
    <row r="109" spans="1:37" ht="24" customHeight="1" x14ac:dyDescent="0.55000000000000004">
      <c r="B109" s="161"/>
      <c r="F109" s="174"/>
      <c r="G109" s="175" t="s">
        <v>288</v>
      </c>
      <c r="H109" s="108"/>
      <c r="I109" s="176"/>
      <c r="J109" s="117"/>
      <c r="K109" s="8"/>
      <c r="L109" s="173"/>
      <c r="M109" s="173"/>
      <c r="N109" s="149"/>
      <c r="O109" s="149"/>
      <c r="P109" s="177"/>
      <c r="Q109" s="165"/>
      <c r="R109" s="165"/>
      <c r="S109" s="165"/>
      <c r="T109" s="167"/>
      <c r="U109" s="167"/>
      <c r="V109" s="168"/>
      <c r="W109" s="169"/>
      <c r="X109" s="149"/>
      <c r="Y109" s="149"/>
      <c r="Z109" s="149"/>
      <c r="AA109" s="149" t="s">
        <v>228</v>
      </c>
      <c r="AB109" s="149" t="s">
        <v>229</v>
      </c>
      <c r="AC109" s="149"/>
      <c r="AD109" s="163"/>
      <c r="AF109" s="109"/>
    </row>
    <row r="110" spans="1:37" ht="24" customHeight="1" x14ac:dyDescent="0.55000000000000004">
      <c r="B110" s="161"/>
      <c r="F110" s="133"/>
      <c r="G110" s="129"/>
      <c r="H110" s="108"/>
      <c r="I110" s="176"/>
      <c r="J110" s="117"/>
      <c r="K110" s="8"/>
      <c r="M110" s="173"/>
      <c r="N110" s="149"/>
      <c r="O110" s="149"/>
      <c r="P110" s="165"/>
      <c r="Q110" s="165"/>
      <c r="R110" s="165"/>
      <c r="S110" s="165"/>
      <c r="T110" s="167"/>
      <c r="U110" s="167"/>
      <c r="V110" s="168"/>
      <c r="W110" s="169"/>
      <c r="X110" s="169"/>
      <c r="Y110" s="149"/>
      <c r="Z110" s="149"/>
      <c r="AA110" s="149" t="s">
        <v>228</v>
      </c>
      <c r="AB110" s="149" t="s">
        <v>351</v>
      </c>
      <c r="AC110" s="149"/>
      <c r="AD110" s="163"/>
      <c r="AF110" s="109"/>
    </row>
    <row r="111" spans="1:37" ht="24" customHeight="1" x14ac:dyDescent="0.55000000000000004">
      <c r="A111" s="109"/>
      <c r="B111" s="109"/>
      <c r="C111" s="109"/>
      <c r="D111" s="109"/>
      <c r="E111" s="109"/>
      <c r="F111" s="136"/>
      <c r="G111" s="136"/>
      <c r="H111" s="108"/>
      <c r="I111" s="176"/>
      <c r="J111" s="117"/>
      <c r="K111" s="109"/>
      <c r="L111" s="167"/>
      <c r="M111" s="173"/>
      <c r="N111" s="149"/>
      <c r="O111" s="149"/>
      <c r="P111" s="165"/>
      <c r="Q111" s="177"/>
      <c r="R111" s="165"/>
      <c r="S111" s="165"/>
      <c r="T111" s="167"/>
      <c r="U111" s="167"/>
      <c r="V111" s="168"/>
      <c r="W111" s="169"/>
      <c r="X111" s="149"/>
      <c r="Y111" s="149"/>
      <c r="Z111" s="149"/>
      <c r="AA111" s="149"/>
      <c r="AB111" s="178"/>
      <c r="AC111" s="149" t="s">
        <v>0</v>
      </c>
      <c r="AD111" s="113"/>
      <c r="AF111" s="109"/>
    </row>
    <row r="112" spans="1:37" ht="24" customHeight="1" x14ac:dyDescent="0.5">
      <c r="A112" s="109"/>
      <c r="B112" s="109"/>
      <c r="C112" s="109"/>
      <c r="D112" s="109"/>
      <c r="E112" s="179"/>
      <c r="F112" s="180"/>
      <c r="G112" s="139"/>
      <c r="H112" s="174"/>
      <c r="I112" s="181"/>
      <c r="J112" s="182"/>
      <c r="K112" s="174"/>
      <c r="L112" s="109"/>
      <c r="M112" s="109"/>
      <c r="N112" s="109"/>
      <c r="O112" s="109"/>
      <c r="P112" s="109"/>
      <c r="Q112" s="109"/>
      <c r="R112" s="109"/>
      <c r="S112" s="183"/>
      <c r="T112" s="109"/>
      <c r="U112" s="109"/>
      <c r="V112" s="109"/>
      <c r="W112" s="184"/>
      <c r="X112" s="185"/>
      <c r="Y112" s="186"/>
      <c r="Z112" s="108"/>
      <c r="AA112" s="109"/>
      <c r="AB112" s="109"/>
      <c r="AC112" s="109"/>
      <c r="AD112" s="113"/>
      <c r="AF112" s="109"/>
    </row>
    <row r="113" spans="1:38" s="109" customFormat="1" ht="24" customHeight="1" x14ac:dyDescent="0.5">
      <c r="A113" s="187"/>
      <c r="B113" s="187"/>
      <c r="C113" s="187" t="s">
        <v>204</v>
      </c>
      <c r="D113" s="187"/>
      <c r="E113" s="187"/>
      <c r="F113" s="180"/>
      <c r="G113" s="139"/>
      <c r="H113" s="174"/>
      <c r="I113" s="175"/>
      <c r="J113" s="108"/>
      <c r="M113" s="373" t="s">
        <v>205</v>
      </c>
      <c r="N113" s="373"/>
      <c r="O113" s="373"/>
      <c r="P113" s="373"/>
      <c r="Q113" s="373"/>
      <c r="S113" s="183"/>
      <c r="W113" s="188"/>
      <c r="X113" s="373" t="s">
        <v>205</v>
      </c>
      <c r="Y113" s="373"/>
      <c r="Z113" s="373"/>
      <c r="AA113" s="373"/>
      <c r="AB113" s="373"/>
      <c r="AC113" s="373"/>
      <c r="AD113" s="373"/>
    </row>
    <row r="114" spans="1:38" s="109" customFormat="1" ht="24" customHeight="1" x14ac:dyDescent="0.5">
      <c r="A114" s="187"/>
      <c r="B114" s="187"/>
      <c r="C114" s="187" t="s">
        <v>206</v>
      </c>
      <c r="D114" s="187"/>
      <c r="E114" s="187"/>
      <c r="F114" s="189"/>
      <c r="G114" s="108"/>
      <c r="H114" s="108"/>
      <c r="I114" s="190"/>
      <c r="J114" s="117"/>
      <c r="K114" s="118"/>
      <c r="L114" s="118"/>
      <c r="M114" s="373" t="s">
        <v>151</v>
      </c>
      <c r="N114" s="373"/>
      <c r="O114" s="373"/>
      <c r="P114" s="373"/>
      <c r="Q114" s="373"/>
      <c r="R114" s="118"/>
      <c r="S114" s="191"/>
      <c r="T114" s="118"/>
      <c r="U114" s="118"/>
      <c r="V114" s="118"/>
      <c r="W114" s="192"/>
      <c r="X114" s="373" t="s">
        <v>206</v>
      </c>
      <c r="Y114" s="373"/>
      <c r="Z114" s="373"/>
      <c r="AA114" s="373"/>
      <c r="AB114" s="373"/>
      <c r="AC114" s="373"/>
      <c r="AD114" s="373"/>
    </row>
    <row r="115" spans="1:38" s="118" customFormat="1" ht="24" customHeight="1" x14ac:dyDescent="0.5">
      <c r="A115" s="187"/>
      <c r="B115" s="187"/>
      <c r="C115" s="187"/>
      <c r="D115" s="187"/>
      <c r="E115" s="187"/>
      <c r="F115" s="374"/>
      <c r="G115" s="374"/>
      <c r="H115" s="108"/>
      <c r="I115" s="190"/>
      <c r="J115" s="117"/>
      <c r="M115" s="187"/>
      <c r="N115" s="187"/>
      <c r="O115" s="187"/>
      <c r="P115" s="187"/>
      <c r="Q115" s="187"/>
      <c r="S115" s="191"/>
      <c r="W115" s="192"/>
      <c r="X115" s="187"/>
      <c r="Y115" s="187"/>
      <c r="Z115" s="187"/>
      <c r="AA115" s="187"/>
      <c r="AB115" s="187"/>
      <c r="AC115" s="187"/>
      <c r="AD115" s="187"/>
      <c r="AL115" s="193"/>
    </row>
    <row r="116" spans="1:38" s="118" customFormat="1" ht="24" customHeight="1" x14ac:dyDescent="0.5">
      <c r="A116" s="101"/>
      <c r="B116" s="194"/>
      <c r="C116" s="194"/>
      <c r="D116" s="195"/>
      <c r="E116" s="195"/>
      <c r="F116" s="195"/>
      <c r="G116" s="196"/>
      <c r="H116" s="196"/>
      <c r="I116" s="196"/>
      <c r="J116" s="196"/>
      <c r="K116" s="196"/>
      <c r="L116" s="196"/>
      <c r="M116" s="197"/>
      <c r="N116" s="197"/>
      <c r="O116" s="197"/>
      <c r="P116" s="197"/>
      <c r="Q116" s="198"/>
      <c r="R116" s="198"/>
      <c r="S116" s="199"/>
      <c r="T116" s="199"/>
      <c r="U116" s="198"/>
      <c r="V116" s="198"/>
      <c r="W116" s="199"/>
      <c r="X116" s="199"/>
      <c r="Y116" s="200"/>
      <c r="Z116" s="200"/>
      <c r="AA116" s="201"/>
      <c r="AB116" s="201"/>
      <c r="AC116" s="202"/>
      <c r="AD116" s="202"/>
      <c r="AL116" s="193"/>
    </row>
    <row r="119" spans="1:38" ht="18.75" thickBot="1" x14ac:dyDescent="0.45"/>
    <row r="120" spans="1:38" x14ac:dyDescent="0.4">
      <c r="A120" s="368" t="s">
        <v>1</v>
      </c>
      <c r="B120" s="349" t="s">
        <v>2</v>
      </c>
      <c r="C120" s="350"/>
      <c r="D120" s="5" t="s">
        <v>3</v>
      </c>
      <c r="E120" s="7"/>
      <c r="F120" s="7"/>
      <c r="G120" s="349" t="s">
        <v>4</v>
      </c>
      <c r="H120" s="350"/>
      <c r="I120" s="349" t="s">
        <v>5</v>
      </c>
      <c r="J120" s="350"/>
      <c r="K120" s="349" t="s">
        <v>6</v>
      </c>
      <c r="L120" s="350"/>
      <c r="M120" s="370" t="s">
        <v>7</v>
      </c>
      <c r="N120" s="371"/>
      <c r="O120" s="362" t="s">
        <v>7</v>
      </c>
      <c r="P120" s="363"/>
      <c r="Q120" s="364" t="s">
        <v>8</v>
      </c>
      <c r="R120" s="365"/>
      <c r="S120" s="349" t="s">
        <v>9</v>
      </c>
      <c r="T120" s="350"/>
      <c r="U120" s="366" t="s">
        <v>10</v>
      </c>
      <c r="V120" s="367"/>
      <c r="W120" s="349" t="s">
        <v>11</v>
      </c>
      <c r="X120" s="350"/>
      <c r="Y120" s="349" t="s">
        <v>12</v>
      </c>
      <c r="Z120" s="350"/>
      <c r="AA120" s="349" t="s">
        <v>13</v>
      </c>
      <c r="AB120" s="350"/>
      <c r="AC120" s="349" t="s">
        <v>14</v>
      </c>
      <c r="AD120" s="353"/>
    </row>
    <row r="121" spans="1:38" ht="21" x14ac:dyDescent="0.4">
      <c r="A121" s="369"/>
      <c r="B121" s="351"/>
      <c r="C121" s="352"/>
      <c r="D121" s="8" t="s">
        <v>15</v>
      </c>
      <c r="E121" s="205" t="s">
        <v>16</v>
      </c>
      <c r="F121" s="9" t="s">
        <v>17</v>
      </c>
      <c r="G121" s="351"/>
      <c r="H121" s="352"/>
      <c r="I121" s="351"/>
      <c r="J121" s="352"/>
      <c r="K121" s="351"/>
      <c r="L121" s="352"/>
      <c r="M121" s="354" t="s">
        <v>18</v>
      </c>
      <c r="N121" s="355"/>
      <c r="O121" s="356" t="s">
        <v>19</v>
      </c>
      <c r="P121" s="357"/>
      <c r="Q121" s="358" t="s">
        <v>20</v>
      </c>
      <c r="R121" s="359"/>
      <c r="S121" s="351" t="s">
        <v>21</v>
      </c>
      <c r="T121" s="352"/>
      <c r="U121" s="360" t="s">
        <v>22</v>
      </c>
      <c r="V121" s="359"/>
      <c r="W121" s="351" t="s">
        <v>23</v>
      </c>
      <c r="X121" s="352"/>
      <c r="Y121" s="351"/>
      <c r="Z121" s="352"/>
      <c r="AA121" s="351"/>
      <c r="AB121" s="352"/>
      <c r="AC121" s="351" t="s">
        <v>24</v>
      </c>
      <c r="AD121" s="361"/>
    </row>
    <row r="122" spans="1:38" ht="18.75" thickBot="1" x14ac:dyDescent="0.45">
      <c r="A122" s="10" t="s">
        <v>25</v>
      </c>
      <c r="B122" s="206" t="s">
        <v>207</v>
      </c>
      <c r="C122" s="12" t="s">
        <v>208</v>
      </c>
      <c r="D122" s="13" t="s">
        <v>28</v>
      </c>
      <c r="E122" s="207"/>
      <c r="F122" s="207"/>
      <c r="G122" s="12" t="s">
        <v>26</v>
      </c>
      <c r="H122" s="12" t="s">
        <v>27</v>
      </c>
      <c r="I122" s="11" t="s">
        <v>26</v>
      </c>
      <c r="J122" s="12" t="s">
        <v>27</v>
      </c>
      <c r="K122" s="11" t="s">
        <v>29</v>
      </c>
      <c r="L122" s="14" t="s">
        <v>30</v>
      </c>
      <c r="M122" s="208" t="s">
        <v>31</v>
      </c>
      <c r="N122" s="209" t="s">
        <v>32</v>
      </c>
      <c r="O122" s="210" t="s">
        <v>31</v>
      </c>
      <c r="P122" s="211" t="s">
        <v>32</v>
      </c>
      <c r="Q122" s="19" t="s">
        <v>26</v>
      </c>
      <c r="R122" s="12" t="s">
        <v>27</v>
      </c>
      <c r="S122" s="20" t="s">
        <v>26</v>
      </c>
      <c r="T122" s="12" t="s">
        <v>27</v>
      </c>
      <c r="U122" s="19" t="s">
        <v>26</v>
      </c>
      <c r="V122" s="12" t="s">
        <v>27</v>
      </c>
      <c r="W122" s="21" t="s">
        <v>26</v>
      </c>
      <c r="X122" s="12" t="s">
        <v>27</v>
      </c>
      <c r="Y122" s="22" t="s">
        <v>26</v>
      </c>
      <c r="Z122" s="23" t="s">
        <v>27</v>
      </c>
      <c r="AA122" s="19" t="s">
        <v>26</v>
      </c>
      <c r="AB122" s="12" t="s">
        <v>27</v>
      </c>
      <c r="AC122" s="11" t="s">
        <v>26</v>
      </c>
      <c r="AD122" s="24" t="s">
        <v>27</v>
      </c>
    </row>
    <row r="123" spans="1:38" ht="30" thickBot="1" x14ac:dyDescent="0.55000000000000004">
      <c r="A123" s="212" t="s">
        <v>130</v>
      </c>
      <c r="B123" s="213" t="s">
        <v>209</v>
      </c>
      <c r="C123" s="213" t="s">
        <v>210</v>
      </c>
      <c r="D123" s="258" t="s">
        <v>237</v>
      </c>
      <c r="E123" s="326"/>
      <c r="F123" s="73">
        <v>690133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223"/>
      <c r="S123" s="224"/>
      <c r="T123" s="57"/>
      <c r="U123" s="59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72</v>
      </c>
      <c r="B124" s="213" t="s">
        <v>209</v>
      </c>
      <c r="C124" s="213" t="s">
        <v>210</v>
      </c>
      <c r="D124" s="258" t="s">
        <v>237</v>
      </c>
      <c r="E124" s="215"/>
      <c r="F124" s="73">
        <v>690133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22"/>
      <c r="R124" s="67"/>
      <c r="S124" s="229"/>
      <c r="T124" s="57"/>
      <c r="U124" s="58"/>
      <c r="V124" s="59"/>
      <c r="W124" s="39"/>
      <c r="X124" s="39"/>
      <c r="Y124" s="40"/>
      <c r="Z124" s="40"/>
      <c r="AA124" s="225"/>
      <c r="AB124" s="226"/>
      <c r="AC124" s="227"/>
      <c r="AD124" s="228"/>
    </row>
    <row r="125" spans="1:38" ht="32.25" thickBot="1" x14ac:dyDescent="0.55000000000000004">
      <c r="A125" s="212" t="s">
        <v>117</v>
      </c>
      <c r="B125" s="213" t="s">
        <v>209</v>
      </c>
      <c r="C125" s="213" t="s">
        <v>210</v>
      </c>
      <c r="D125" s="258" t="s">
        <v>237</v>
      </c>
      <c r="E125" s="215">
        <v>69011937</v>
      </c>
      <c r="F125" s="73">
        <v>690133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56"/>
      <c r="R125" s="56">
        <v>1450</v>
      </c>
      <c r="S125" s="57"/>
      <c r="T125" s="58">
        <v>198.3</v>
      </c>
      <c r="U125" s="59"/>
      <c r="V125" s="386">
        <v>15</v>
      </c>
      <c r="W125" s="39"/>
      <c r="X125" s="39">
        <f>T125*1000/39.37/R125*38.5</f>
        <v>133.7365226454591</v>
      </c>
      <c r="Y125" s="40"/>
      <c r="Z125" s="40">
        <f t="shared" ref="Z125" si="18">(AD125+X125)/2</f>
        <v>134.40826132272957</v>
      </c>
      <c r="AA125" s="226"/>
      <c r="AB125" s="233"/>
      <c r="AC125" s="234"/>
      <c r="AD125" s="234">
        <v>135.08000000000001</v>
      </c>
    </row>
    <row r="126" spans="1:38" ht="30" thickBot="1" x14ac:dyDescent="0.55000000000000004">
      <c r="A126" s="212" t="s">
        <v>86</v>
      </c>
      <c r="B126" s="213" t="s">
        <v>209</v>
      </c>
      <c r="C126" s="213" t="s">
        <v>210</v>
      </c>
      <c r="D126" s="258" t="s">
        <v>237</v>
      </c>
      <c r="E126" s="326">
        <v>69011901</v>
      </c>
      <c r="F126" s="73">
        <v>690133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56">
        <v>1495</v>
      </c>
      <c r="R126" s="231"/>
      <c r="S126" s="57">
        <v>203.7</v>
      </c>
      <c r="T126" s="58"/>
      <c r="U126" s="59">
        <v>15</v>
      </c>
      <c r="V126" s="39"/>
      <c r="W126" s="39">
        <f>S126*1000/39.37/Q126*38.5</f>
        <v>133.24322969716172</v>
      </c>
      <c r="X126" s="40"/>
      <c r="Y126" s="40">
        <f t="shared" ref="Y126" si="19">(AC126+W126)/2</f>
        <v>133.59661484858086</v>
      </c>
      <c r="Z126" s="232"/>
      <c r="AA126" s="226"/>
      <c r="AB126" s="233"/>
      <c r="AC126" s="234">
        <v>133.94999999999999</v>
      </c>
      <c r="AD126" s="234"/>
    </row>
    <row r="127" spans="1:38" ht="32.25" thickBot="1" x14ac:dyDescent="0.55000000000000004">
      <c r="A127" s="212" t="s">
        <v>54</v>
      </c>
      <c r="B127" s="213" t="s">
        <v>209</v>
      </c>
      <c r="C127" s="213" t="s">
        <v>210</v>
      </c>
      <c r="D127" s="258" t="s">
        <v>237</v>
      </c>
      <c r="E127" s="215"/>
      <c r="F127" s="73">
        <v>690133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30"/>
      <c r="R127" s="56"/>
      <c r="S127" s="231"/>
      <c r="T127" s="57"/>
      <c r="U127" s="58"/>
      <c r="V127" s="59"/>
      <c r="W127" s="39"/>
      <c r="X127" s="39"/>
      <c r="Y127" s="40"/>
      <c r="Z127" s="40"/>
      <c r="AA127" s="232"/>
      <c r="AB127" s="226"/>
      <c r="AC127" s="233"/>
      <c r="AD127" s="234"/>
    </row>
    <row r="128" spans="1:38" ht="32.25" thickBot="1" x14ac:dyDescent="0.55000000000000004">
      <c r="A128" s="212" t="s">
        <v>40</v>
      </c>
      <c r="B128" s="213" t="s">
        <v>209</v>
      </c>
      <c r="C128" s="213" t="s">
        <v>210</v>
      </c>
      <c r="D128" s="258" t="s">
        <v>237</v>
      </c>
      <c r="E128" s="215"/>
      <c r="F128" s="73">
        <v>690133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22"/>
      <c r="R128" s="67"/>
      <c r="S128" s="229"/>
      <c r="T128" s="57"/>
      <c r="U128" s="58"/>
      <c r="V128" s="59"/>
      <c r="W128" s="39"/>
      <c r="X128" s="39"/>
      <c r="Y128" s="40"/>
      <c r="Z128" s="40"/>
      <c r="AA128" s="225"/>
      <c r="AB128" s="226"/>
      <c r="AC128" s="227"/>
      <c r="AD128" s="228"/>
    </row>
    <row r="129" spans="1:30" ht="32.25" thickBot="1" x14ac:dyDescent="0.55000000000000004">
      <c r="A129" s="212" t="s">
        <v>125</v>
      </c>
      <c r="B129" s="213" t="s">
        <v>209</v>
      </c>
      <c r="C129" s="213" t="s">
        <v>210</v>
      </c>
      <c r="D129" s="258" t="s">
        <v>237</v>
      </c>
      <c r="E129" s="215"/>
      <c r="F129" s="73">
        <v>690133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30"/>
      <c r="R129" s="56"/>
      <c r="S129" s="231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86</v>
      </c>
      <c r="B130" s="213" t="s">
        <v>209</v>
      </c>
      <c r="C130" s="213" t="s">
        <v>210</v>
      </c>
      <c r="D130" s="258" t="s">
        <v>237</v>
      </c>
      <c r="E130" s="215"/>
      <c r="F130" s="73">
        <v>690133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22"/>
      <c r="R130" s="67"/>
      <c r="S130" s="229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74</v>
      </c>
      <c r="B131" s="213" t="s">
        <v>209</v>
      </c>
      <c r="C131" s="213" t="s">
        <v>210</v>
      </c>
      <c r="D131" s="258" t="s">
        <v>237</v>
      </c>
      <c r="E131" s="215"/>
      <c r="F131" s="73">
        <v>690133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30"/>
      <c r="R131" s="56"/>
      <c r="S131" s="231"/>
      <c r="T131" s="57"/>
      <c r="U131" s="58"/>
      <c r="V131" s="59"/>
      <c r="W131" s="39"/>
      <c r="X131" s="39"/>
      <c r="Y131" s="40"/>
      <c r="Z131" s="40"/>
      <c r="AA131" s="232"/>
      <c r="AB131" s="226"/>
      <c r="AC131" s="233"/>
      <c r="AD131" s="234"/>
    </row>
    <row r="132" spans="1:30" ht="32.25" thickBot="1" x14ac:dyDescent="0.55000000000000004">
      <c r="A132" s="212" t="s">
        <v>102</v>
      </c>
      <c r="B132" s="213" t="s">
        <v>209</v>
      </c>
      <c r="C132" s="213" t="s">
        <v>210</v>
      </c>
      <c r="D132" s="258" t="s">
        <v>211</v>
      </c>
      <c r="E132" s="215"/>
      <c r="F132" s="73">
        <v>690134</v>
      </c>
      <c r="G132" s="216"/>
      <c r="H132" s="217"/>
      <c r="I132" s="46">
        <v>800</v>
      </c>
      <c r="J132" s="32">
        <v>800</v>
      </c>
      <c r="K132" s="218"/>
      <c r="L132" s="218"/>
      <c r="M132" s="219"/>
      <c r="N132" s="220"/>
      <c r="O132" s="220"/>
      <c r="P132" s="221"/>
      <c r="Q132" s="222"/>
      <c r="R132" s="223"/>
      <c r="S132" s="224"/>
      <c r="T132" s="57"/>
      <c r="U132" s="59"/>
      <c r="V132" s="59"/>
      <c r="W132" s="39"/>
      <c r="X132" s="39"/>
      <c r="Y132" s="40"/>
      <c r="Z132" s="40"/>
      <c r="AA132" s="225"/>
      <c r="AB132" s="235"/>
      <c r="AC132" s="233"/>
      <c r="AD132" s="234"/>
    </row>
    <row r="133" spans="1:30" ht="24" thickBot="1" x14ac:dyDescent="0.45">
      <c r="A133" s="333" t="s">
        <v>150</v>
      </c>
      <c r="B133" s="83" t="s">
        <v>25</v>
      </c>
      <c r="C133" s="83" t="s">
        <v>25</v>
      </c>
      <c r="D133" s="84"/>
      <c r="E133" s="85"/>
      <c r="F133" s="84"/>
      <c r="G133" s="236">
        <f>SUM(G119:G119)</f>
        <v>0</v>
      </c>
      <c r="H133" s="236">
        <f>SUM(H119:H119)</f>
        <v>0</v>
      </c>
      <c r="I133" s="87"/>
      <c r="J133" s="87"/>
      <c r="K133" s="87"/>
      <c r="L133" s="88"/>
      <c r="M133" s="335"/>
      <c r="N133" s="336"/>
      <c r="O133" s="336"/>
      <c r="P133" s="337"/>
      <c r="Q133" s="237">
        <f t="shared" ref="Q133:AD133" si="20">SUM(Q123:Q132)</f>
        <v>1495</v>
      </c>
      <c r="R133" s="237">
        <f t="shared" si="20"/>
        <v>1450</v>
      </c>
      <c r="S133" s="238">
        <f t="shared" si="20"/>
        <v>203.7</v>
      </c>
      <c r="T133" s="238">
        <f t="shared" si="20"/>
        <v>198.3</v>
      </c>
      <c r="U133" s="237">
        <f t="shared" si="20"/>
        <v>15</v>
      </c>
      <c r="V133" s="237">
        <f t="shared" si="20"/>
        <v>15</v>
      </c>
      <c r="W133" s="238">
        <f t="shared" si="20"/>
        <v>133.24322969716172</v>
      </c>
      <c r="X133" s="238">
        <f t="shared" si="20"/>
        <v>133.7365226454591</v>
      </c>
      <c r="Y133" s="95">
        <f t="shared" si="20"/>
        <v>133.59661484858086</v>
      </c>
      <c r="Z133" s="95">
        <f t="shared" si="20"/>
        <v>134.40826132272957</v>
      </c>
      <c r="AA133" s="238">
        <f t="shared" si="20"/>
        <v>0</v>
      </c>
      <c r="AB133" s="238">
        <f t="shared" si="20"/>
        <v>0</v>
      </c>
      <c r="AC133" s="98">
        <f t="shared" si="20"/>
        <v>133.94999999999999</v>
      </c>
      <c r="AD133" s="98">
        <f t="shared" si="20"/>
        <v>135.08000000000001</v>
      </c>
    </row>
    <row r="134" spans="1:30" ht="27" thickBot="1" x14ac:dyDescent="0.45">
      <c r="A134" s="334"/>
      <c r="B134" s="83">
        <v>2</v>
      </c>
      <c r="C134" s="83">
        <v>2</v>
      </c>
      <c r="D134" s="84"/>
      <c r="E134" s="84"/>
      <c r="F134" s="84"/>
      <c r="G134" s="99">
        <v>0</v>
      </c>
      <c r="H134" s="100"/>
      <c r="I134" s="99"/>
      <c r="J134" s="100"/>
      <c r="K134" s="341"/>
      <c r="L134" s="342"/>
      <c r="M134" s="338"/>
      <c r="N134" s="339"/>
      <c r="O134" s="339"/>
      <c r="P134" s="340"/>
      <c r="Q134" s="343">
        <f>Q133+R133</f>
        <v>2945</v>
      </c>
      <c r="R134" s="344"/>
      <c r="S134" s="345">
        <f>S133+T133</f>
        <v>402</v>
      </c>
      <c r="T134" s="346"/>
      <c r="U134" s="347">
        <f>U133+V133</f>
        <v>30</v>
      </c>
      <c r="V134" s="348"/>
      <c r="W134" s="327">
        <f>W133+X133</f>
        <v>266.97975234262083</v>
      </c>
      <c r="X134" s="328"/>
      <c r="Y134" s="329">
        <f>Y133+Z133</f>
        <v>268.00487617131046</v>
      </c>
      <c r="Z134" s="330"/>
      <c r="AA134" s="327">
        <f>AA133+AB133</f>
        <v>0</v>
      </c>
      <c r="AB134" s="328"/>
      <c r="AC134" s="331">
        <f>AC133+AD133</f>
        <v>269.02999999999997</v>
      </c>
      <c r="AD134" s="332"/>
    </row>
  </sheetData>
  <autoFilter ref="A5:AD113" xr:uid="{3D257094-AFCF-44D4-9CB6-CF8FC9C29795}"/>
  <mergeCells count="73">
    <mergeCell ref="W134:X134"/>
    <mergeCell ref="Y134:Z134"/>
    <mergeCell ref="AA134:AB134"/>
    <mergeCell ref="AC134:AD134"/>
    <mergeCell ref="A133:A134"/>
    <mergeCell ref="M133:P134"/>
    <mergeCell ref="K134:L134"/>
    <mergeCell ref="Q134:R134"/>
    <mergeCell ref="S134:T134"/>
    <mergeCell ref="U134:V134"/>
    <mergeCell ref="AA120:AB121"/>
    <mergeCell ref="AC120:AD120"/>
    <mergeCell ref="M121:N121"/>
    <mergeCell ref="O121:P121"/>
    <mergeCell ref="Q121:R121"/>
    <mergeCell ref="S121:T121"/>
    <mergeCell ref="U121:V121"/>
    <mergeCell ref="W121:X121"/>
    <mergeCell ref="AC121:AD121"/>
    <mergeCell ref="O120:P120"/>
    <mergeCell ref="Q120:R120"/>
    <mergeCell ref="S120:T120"/>
    <mergeCell ref="U120:V120"/>
    <mergeCell ref="W120:X120"/>
    <mergeCell ref="Y120:Z121"/>
    <mergeCell ref="A120:A121"/>
    <mergeCell ref="B120:C121"/>
    <mergeCell ref="G120:H121"/>
    <mergeCell ref="I120:J121"/>
    <mergeCell ref="K120:L121"/>
    <mergeCell ref="M120:N120"/>
    <mergeCell ref="E90:J90"/>
    <mergeCell ref="M113:Q113"/>
    <mergeCell ref="X113:AD113"/>
    <mergeCell ref="M114:Q114"/>
    <mergeCell ref="X114:AD114"/>
    <mergeCell ref="F115:G115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E4:E5"/>
    <mergeCell ref="M4:N4"/>
    <mergeCell ref="O4:P4"/>
    <mergeCell ref="Q4:R4"/>
    <mergeCell ref="S4:T4"/>
    <mergeCell ref="U4:V4"/>
    <mergeCell ref="S3:T3"/>
    <mergeCell ref="U3:V3"/>
    <mergeCell ref="W3:X3"/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</mergeCells>
  <dataValidations count="1">
    <dataValidation type="list" allowBlank="1" showInputMessage="1" showErrorMessage="1" sqref="B10:C10 B54:C54" xr:uid="{AB8B1F8F-2569-4C3B-994C-A68A9FD09EB1}">
      <formula1>#REF!</formula1>
    </dataValidation>
  </dataValidations>
  <pageMargins left="0" right="0" top="0.74803149606299213" bottom="0.74803149606299213" header="0.31496062992125984" footer="0.31496062992125984"/>
  <pageSetup paperSize="5" scale="73" orientation="landscape" r:id="rId1"/>
  <headerFooter alignWithMargins="0">
    <oddFooter>&amp;RFR-PD2-03/11/07-08-57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54B8-7EEC-46EA-873C-AD59CE21F985}">
  <sheetPr filterMode="1"/>
  <dimension ref="A1:AL134"/>
  <sheetViews>
    <sheetView tabSelected="1" zoomScale="78" zoomScaleNormal="78" zoomScaleSheetLayoutView="70" workbookViewId="0">
      <pane xSplit="4" ySplit="5" topLeftCell="E93" activePane="bottomRight" state="frozen"/>
      <selection activeCell="M107" sqref="M107"/>
      <selection pane="topRight" activeCell="M107" sqref="M107"/>
      <selection pane="bottomLeft" activeCell="M107" sqref="M107"/>
      <selection pane="bottomRight" activeCell="E90" sqref="E90:AC110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360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296</v>
      </c>
      <c r="E6" s="28"/>
      <c r="F6" s="29">
        <v>690126</v>
      </c>
      <c r="G6" s="30">
        <v>951</v>
      </c>
      <c r="H6" s="31">
        <v>992</v>
      </c>
      <c r="I6" s="32">
        <v>750</v>
      </c>
      <c r="J6" s="32">
        <v>750</v>
      </c>
      <c r="K6" s="33">
        <f>G6*8/100</f>
        <v>76.08</v>
      </c>
      <c r="L6" s="34">
        <f>H6*8/100</f>
        <v>79.36</v>
      </c>
      <c r="M6" s="303">
        <v>1310</v>
      </c>
      <c r="N6" s="303">
        <v>261</v>
      </c>
      <c r="O6" s="303">
        <v>261</v>
      </c>
      <c r="P6" s="303">
        <v>1253</v>
      </c>
      <c r="Q6" s="35"/>
      <c r="R6" s="36"/>
      <c r="S6" s="36"/>
      <c r="T6" s="37"/>
      <c r="U6" s="38"/>
      <c r="V6" s="39"/>
      <c r="W6" s="39"/>
      <c r="X6" s="40"/>
      <c r="Y6" s="40"/>
      <c r="Z6" s="41"/>
      <c r="AA6" s="42"/>
      <c r="AB6" s="43"/>
      <c r="AC6" s="43"/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241</v>
      </c>
      <c r="E7" s="28">
        <v>69011817</v>
      </c>
      <c r="F7" s="29">
        <v>690126</v>
      </c>
      <c r="G7" s="45">
        <v>1000</v>
      </c>
      <c r="H7" s="31">
        <v>882</v>
      </c>
      <c r="I7" s="46">
        <v>750</v>
      </c>
      <c r="J7" s="32">
        <v>750</v>
      </c>
      <c r="K7" s="33">
        <f t="shared" ref="K7:L38" si="0">G7*8/100</f>
        <v>80</v>
      </c>
      <c r="L7" s="47">
        <f t="shared" si="0"/>
        <v>70.56</v>
      </c>
      <c r="M7" s="303">
        <v>750</v>
      </c>
      <c r="N7" s="303">
        <v>1750</v>
      </c>
      <c r="O7" s="303">
        <v>1750</v>
      </c>
      <c r="P7" s="303">
        <v>632</v>
      </c>
      <c r="Q7" s="35">
        <v>2000</v>
      </c>
      <c r="R7" s="48"/>
      <c r="S7" s="36">
        <v>192.3</v>
      </c>
      <c r="T7" s="36"/>
      <c r="U7" s="37"/>
      <c r="V7" s="38"/>
      <c r="W7" s="39">
        <f>S7*1000/39.37/Q7*44.5</f>
        <v>108.67856235712472</v>
      </c>
      <c r="X7" s="39"/>
      <c r="Y7" s="40">
        <f t="shared" ref="Y7:Y9" si="1">(AC7+W7)/2</f>
        <v>110.34928117856236</v>
      </c>
      <c r="Z7" s="40"/>
      <c r="AA7" s="41"/>
      <c r="AB7" s="42"/>
      <c r="AC7" s="43">
        <v>112.02</v>
      </c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/>
      <c r="F8" s="29">
        <v>690111</v>
      </c>
      <c r="G8" s="45">
        <v>950</v>
      </c>
      <c r="H8" s="31">
        <v>1060</v>
      </c>
      <c r="I8" s="46">
        <v>750</v>
      </c>
      <c r="J8" s="32">
        <v>750</v>
      </c>
      <c r="K8" s="33">
        <f t="shared" si="0"/>
        <v>76</v>
      </c>
      <c r="L8" s="47">
        <f t="shared" si="0"/>
        <v>84.8</v>
      </c>
      <c r="M8" s="303">
        <v>1586</v>
      </c>
      <c r="N8" s="303">
        <v>36</v>
      </c>
      <c r="O8" s="303">
        <v>36</v>
      </c>
      <c r="P8" s="303">
        <v>1096</v>
      </c>
      <c r="Q8" s="35"/>
      <c r="R8" s="48"/>
      <c r="S8" s="36"/>
      <c r="T8" s="36"/>
      <c r="U8" s="37"/>
      <c r="V8" s="38"/>
      <c r="W8" s="39"/>
      <c r="X8" s="39"/>
      <c r="Y8" s="40"/>
      <c r="Z8" s="40"/>
      <c r="AA8" s="41"/>
      <c r="AB8" s="42"/>
      <c r="AC8" s="43"/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>
        <v>69011818</v>
      </c>
      <c r="F9" s="29">
        <v>690119</v>
      </c>
      <c r="G9" s="45">
        <v>764</v>
      </c>
      <c r="H9" s="31">
        <v>930</v>
      </c>
      <c r="I9" s="46">
        <v>110</v>
      </c>
      <c r="J9" s="32">
        <v>110</v>
      </c>
      <c r="K9" s="33">
        <f t="shared" si="0"/>
        <v>61.12</v>
      </c>
      <c r="L9" s="47">
        <f t="shared" si="0"/>
        <v>74.400000000000006</v>
      </c>
      <c r="M9" s="303">
        <v>246</v>
      </c>
      <c r="N9" s="303">
        <v>0</v>
      </c>
      <c r="O9" s="303">
        <v>0</v>
      </c>
      <c r="P9" s="303">
        <v>0</v>
      </c>
      <c r="Q9" s="35">
        <v>2480</v>
      </c>
      <c r="R9" s="48"/>
      <c r="S9" s="36">
        <v>203.9</v>
      </c>
      <c r="T9" s="36"/>
      <c r="U9" s="37">
        <v>25</v>
      </c>
      <c r="V9" s="38"/>
      <c r="W9" s="39">
        <f>S9*1000/39.37/Q9*38.5</f>
        <v>80.400890640490957</v>
      </c>
      <c r="X9" s="39"/>
      <c r="Y9" s="40">
        <f t="shared" si="1"/>
        <v>81.290445320245482</v>
      </c>
      <c r="Z9" s="40"/>
      <c r="AA9" s="41"/>
      <c r="AB9" s="42"/>
      <c r="AC9" s="43">
        <v>82.18</v>
      </c>
      <c r="AD9" s="43"/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314</v>
      </c>
      <c r="E10" s="28"/>
      <c r="F10" s="29">
        <v>690136</v>
      </c>
      <c r="G10" s="51">
        <v>580</v>
      </c>
      <c r="H10" s="31">
        <v>900</v>
      </c>
      <c r="I10" s="46">
        <v>110</v>
      </c>
      <c r="J10" s="32">
        <v>110</v>
      </c>
      <c r="K10" s="33">
        <f t="shared" si="0"/>
        <v>46.4</v>
      </c>
      <c r="L10" s="47">
        <f t="shared" si="0"/>
        <v>72</v>
      </c>
      <c r="M10" s="303">
        <v>1250</v>
      </c>
      <c r="N10" s="303">
        <v>1830</v>
      </c>
      <c r="O10" s="303">
        <v>1830</v>
      </c>
      <c r="P10" s="303">
        <v>230</v>
      </c>
      <c r="Q10" s="35"/>
      <c r="R10" s="48"/>
      <c r="S10" s="36"/>
      <c r="T10" s="36"/>
      <c r="U10" s="37"/>
      <c r="V10" s="38"/>
      <c r="W10" s="39"/>
      <c r="X10" s="39"/>
      <c r="Y10" s="40"/>
      <c r="Z10" s="40"/>
      <c r="AA10" s="41"/>
      <c r="AB10" s="42"/>
      <c r="AC10" s="43"/>
      <c r="AD10" s="43"/>
      <c r="AE10" s="260"/>
    </row>
    <row r="11" spans="1:31" ht="23.25" hidden="1" customHeight="1" x14ac:dyDescent="0.4">
      <c r="A11" s="249" t="s">
        <v>48</v>
      </c>
      <c r="B11" s="246" t="s">
        <v>49</v>
      </c>
      <c r="C11" s="253" t="s">
        <v>233</v>
      </c>
      <c r="D11" s="256" t="s">
        <v>296</v>
      </c>
      <c r="E11" s="28">
        <v>69011822</v>
      </c>
      <c r="F11" s="29">
        <v>690126</v>
      </c>
      <c r="G11" s="45">
        <v>716</v>
      </c>
      <c r="H11" s="31">
        <v>0</v>
      </c>
      <c r="I11" s="46">
        <v>800</v>
      </c>
      <c r="J11" s="32">
        <v>800</v>
      </c>
      <c r="K11" s="33">
        <f t="shared" si="0"/>
        <v>57.28</v>
      </c>
      <c r="L11" s="47">
        <f>H11*8/100</f>
        <v>0</v>
      </c>
      <c r="M11" s="304">
        <v>1817</v>
      </c>
      <c r="N11" s="304">
        <v>533</v>
      </c>
      <c r="O11" s="304">
        <v>533</v>
      </c>
      <c r="P11" s="304">
        <v>533</v>
      </c>
      <c r="Q11" s="35"/>
      <c r="R11" s="48">
        <v>910</v>
      </c>
      <c r="S11" s="36"/>
      <c r="T11" s="36">
        <v>84.7</v>
      </c>
      <c r="U11" s="37"/>
      <c r="V11" s="38"/>
      <c r="W11" s="39"/>
      <c r="X11" s="39">
        <f>T11*1000/39.37/R11*44.5</f>
        <v>105.2050565639593</v>
      </c>
      <c r="Y11" s="40"/>
      <c r="Z11" s="40"/>
      <c r="AA11" s="41"/>
      <c r="AB11" s="42">
        <v>106.74</v>
      </c>
      <c r="AC11" s="43"/>
      <c r="AD11" s="43">
        <v>108.28</v>
      </c>
      <c r="AE11" s="54"/>
    </row>
    <row r="12" spans="1:31" ht="27" hidden="1" customHeight="1" x14ac:dyDescent="0.4">
      <c r="A12" s="249" t="s">
        <v>50</v>
      </c>
      <c r="B12" s="246" t="s">
        <v>51</v>
      </c>
      <c r="C12" s="253" t="s">
        <v>233</v>
      </c>
      <c r="D12" s="256" t="s">
        <v>285</v>
      </c>
      <c r="E12" s="28"/>
      <c r="F12" s="29">
        <v>690143</v>
      </c>
      <c r="G12" s="45">
        <v>713</v>
      </c>
      <c r="H12" s="31">
        <v>0</v>
      </c>
      <c r="I12" s="46">
        <v>800</v>
      </c>
      <c r="J12" s="32">
        <v>800</v>
      </c>
      <c r="K12" s="33">
        <f t="shared" si="0"/>
        <v>57.04</v>
      </c>
      <c r="L12" s="47">
        <f t="shared" si="0"/>
        <v>0</v>
      </c>
      <c r="M12" s="303">
        <v>535</v>
      </c>
      <c r="N12" s="303">
        <v>1248</v>
      </c>
      <c r="O12" s="303">
        <v>1248</v>
      </c>
      <c r="P12" s="303">
        <v>1248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hidden="1" customHeight="1" x14ac:dyDescent="0.4">
      <c r="A13" s="249" t="s">
        <v>53</v>
      </c>
      <c r="B13" s="246" t="s">
        <v>51</v>
      </c>
      <c r="C13" s="253" t="s">
        <v>233</v>
      </c>
      <c r="D13" s="256" t="s">
        <v>52</v>
      </c>
      <c r="E13" s="28"/>
      <c r="F13" s="29">
        <v>690113</v>
      </c>
      <c r="G13" s="45">
        <v>864</v>
      </c>
      <c r="H13" s="31">
        <v>0</v>
      </c>
      <c r="I13" s="46">
        <v>800</v>
      </c>
      <c r="J13" s="32">
        <v>800</v>
      </c>
      <c r="K13" s="33">
        <f t="shared" si="0"/>
        <v>69.12</v>
      </c>
      <c r="L13" s="47">
        <f t="shared" si="0"/>
        <v>0</v>
      </c>
      <c r="M13" s="303">
        <v>1467</v>
      </c>
      <c r="N13" s="303">
        <v>2331</v>
      </c>
      <c r="O13" s="303">
        <v>2331</v>
      </c>
      <c r="P13" s="303">
        <v>2331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hidden="1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882</v>
      </c>
      <c r="H14" s="31">
        <v>0</v>
      </c>
      <c r="I14" s="46">
        <v>800</v>
      </c>
      <c r="J14" s="32">
        <v>800</v>
      </c>
      <c r="K14" s="33">
        <f t="shared" si="0"/>
        <v>70.56</v>
      </c>
      <c r="L14" s="47">
        <f t="shared" si="0"/>
        <v>0</v>
      </c>
      <c r="M14" s="303">
        <v>253</v>
      </c>
      <c r="N14" s="303">
        <v>1135</v>
      </c>
      <c r="O14" s="303">
        <v>1135</v>
      </c>
      <c r="P14" s="303">
        <v>1135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314</v>
      </c>
      <c r="E15" s="28"/>
      <c r="F15" s="29">
        <v>690119</v>
      </c>
      <c r="G15" s="55">
        <v>932</v>
      </c>
      <c r="H15" s="31">
        <v>970</v>
      </c>
      <c r="I15" s="46">
        <v>800</v>
      </c>
      <c r="J15" s="32">
        <v>800</v>
      </c>
      <c r="K15" s="33">
        <f t="shared" si="0"/>
        <v>74.56</v>
      </c>
      <c r="L15" s="47">
        <f t="shared" si="0"/>
        <v>77.599999999999994</v>
      </c>
      <c r="M15" s="303">
        <v>1115</v>
      </c>
      <c r="N15" s="303">
        <v>2047</v>
      </c>
      <c r="O15" s="303">
        <v>2047</v>
      </c>
      <c r="P15" s="303">
        <v>517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>
        <v>69011801</v>
      </c>
      <c r="F16" s="29">
        <v>690106</v>
      </c>
      <c r="G16" s="55">
        <v>1000</v>
      </c>
      <c r="H16" s="31">
        <v>945</v>
      </c>
      <c r="I16" s="46">
        <v>800</v>
      </c>
      <c r="J16" s="32">
        <v>800</v>
      </c>
      <c r="K16" s="33">
        <f t="shared" si="0"/>
        <v>80</v>
      </c>
      <c r="L16" s="47">
        <f t="shared" si="0"/>
        <v>75.599999999999994</v>
      </c>
      <c r="M16" s="303">
        <v>740</v>
      </c>
      <c r="N16" s="303">
        <v>1740</v>
      </c>
      <c r="O16" s="303">
        <v>1740</v>
      </c>
      <c r="P16" s="303">
        <v>185</v>
      </c>
      <c r="Q16" s="35">
        <v>1610</v>
      </c>
      <c r="R16" s="48"/>
      <c r="S16" s="36">
        <v>127.2</v>
      </c>
      <c r="T16" s="36"/>
      <c r="U16" s="37">
        <v>15</v>
      </c>
      <c r="V16" s="38"/>
      <c r="W16" s="39">
        <f>S16*1000/39.37/Q16*31.5</f>
        <v>63.212995991209375</v>
      </c>
      <c r="X16" s="39"/>
      <c r="Y16" s="40">
        <f t="shared" ref="Y16" si="2">(AC16+W16)/2</f>
        <v>63.701497995604683</v>
      </c>
      <c r="Z16" s="40"/>
      <c r="AA16" s="41"/>
      <c r="AB16" s="42"/>
      <c r="AC16" s="43">
        <v>64.19</v>
      </c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/>
      <c r="F17" s="29">
        <v>690106</v>
      </c>
      <c r="G17" s="55">
        <v>944</v>
      </c>
      <c r="H17" s="31">
        <v>993</v>
      </c>
      <c r="I17" s="46">
        <v>800</v>
      </c>
      <c r="J17" s="32">
        <v>800</v>
      </c>
      <c r="K17" s="33">
        <f t="shared" si="0"/>
        <v>75.52</v>
      </c>
      <c r="L17" s="47">
        <f t="shared" si="0"/>
        <v>79.44</v>
      </c>
      <c r="M17" s="303">
        <v>1384</v>
      </c>
      <c r="N17" s="303">
        <v>328</v>
      </c>
      <c r="O17" s="303">
        <v>328</v>
      </c>
      <c r="P17" s="303">
        <v>1321</v>
      </c>
      <c r="Q17" s="35"/>
      <c r="R17" s="48"/>
      <c r="S17" s="36"/>
      <c r="T17" s="36"/>
      <c r="U17" s="37"/>
      <c r="V17" s="38"/>
      <c r="W17" s="39"/>
      <c r="X17" s="39"/>
      <c r="Y17" s="40"/>
      <c r="Z17" s="40"/>
      <c r="AA17" s="41"/>
      <c r="AB17" s="42"/>
      <c r="AC17" s="43"/>
      <c r="AD17" s="43"/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/>
      <c r="F18" s="29">
        <v>690106</v>
      </c>
      <c r="G18" s="55">
        <v>628</v>
      </c>
      <c r="H18" s="31">
        <v>917</v>
      </c>
      <c r="I18" s="46">
        <v>800</v>
      </c>
      <c r="J18" s="32">
        <v>800</v>
      </c>
      <c r="K18" s="33">
        <f t="shared" si="0"/>
        <v>50.24</v>
      </c>
      <c r="L18" s="47">
        <f t="shared" si="0"/>
        <v>73.36</v>
      </c>
      <c r="M18" s="303">
        <v>1181</v>
      </c>
      <c r="N18" s="303">
        <v>1809</v>
      </c>
      <c r="O18" s="303">
        <v>1809</v>
      </c>
      <c r="P18" s="303">
        <v>726</v>
      </c>
      <c r="Q18" s="35"/>
      <c r="R18" s="48"/>
      <c r="S18" s="36"/>
      <c r="T18" s="36"/>
      <c r="U18" s="37"/>
      <c r="V18" s="38"/>
      <c r="W18" s="39"/>
      <c r="X18" s="39"/>
      <c r="Y18" s="40"/>
      <c r="Z18" s="40"/>
      <c r="AA18" s="41"/>
      <c r="AB18" s="42"/>
      <c r="AC18" s="43"/>
      <c r="AD18" s="43"/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61</v>
      </c>
      <c r="E19" s="28">
        <v>69011816</v>
      </c>
      <c r="F19" s="29">
        <v>690112</v>
      </c>
      <c r="G19" s="45">
        <v>1000</v>
      </c>
      <c r="H19" s="31">
        <v>1052</v>
      </c>
      <c r="I19" s="46">
        <v>750</v>
      </c>
      <c r="J19" s="32">
        <v>750</v>
      </c>
      <c r="K19" s="33">
        <f t="shared" si="0"/>
        <v>80</v>
      </c>
      <c r="L19" s="47">
        <f t="shared" si="0"/>
        <v>84.16</v>
      </c>
      <c r="M19" s="303">
        <v>86</v>
      </c>
      <c r="N19" s="303">
        <v>1086</v>
      </c>
      <c r="O19" s="303">
        <v>1086</v>
      </c>
      <c r="P19" s="303">
        <v>138</v>
      </c>
      <c r="Q19" s="35">
        <v>2000</v>
      </c>
      <c r="R19" s="48"/>
      <c r="S19" s="36">
        <v>153.9</v>
      </c>
      <c r="T19" s="36"/>
      <c r="U19" s="37"/>
      <c r="V19" s="38"/>
      <c r="W19" s="39">
        <f>S19*1000/39.37/Q19*38.5</f>
        <v>75.249555499110997</v>
      </c>
      <c r="X19" s="39"/>
      <c r="Y19" s="40">
        <f t="shared" ref="Y19:Z20" si="3">(AC19+W19)/2</f>
        <v>76.419777749555493</v>
      </c>
      <c r="Z19" s="40"/>
      <c r="AA19" s="41"/>
      <c r="AB19" s="42"/>
      <c r="AC19" s="43">
        <v>77.59</v>
      </c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140</v>
      </c>
      <c r="E20" s="28">
        <v>69011824</v>
      </c>
      <c r="F20" s="29">
        <v>690119</v>
      </c>
      <c r="G20" s="45">
        <v>1000</v>
      </c>
      <c r="H20" s="31">
        <v>904</v>
      </c>
      <c r="I20" s="46">
        <v>750</v>
      </c>
      <c r="J20" s="32">
        <v>750</v>
      </c>
      <c r="K20" s="33">
        <f t="shared" si="0"/>
        <v>80</v>
      </c>
      <c r="L20" s="47">
        <f t="shared" si="0"/>
        <v>72.319999999999993</v>
      </c>
      <c r="M20" s="303">
        <v>1636</v>
      </c>
      <c r="N20" s="303">
        <v>636</v>
      </c>
      <c r="O20" s="303">
        <v>636</v>
      </c>
      <c r="P20" s="303">
        <v>1540</v>
      </c>
      <c r="Q20" s="48"/>
      <c r="R20" s="35">
        <v>2000</v>
      </c>
      <c r="S20" s="36"/>
      <c r="T20" s="37">
        <v>149.4</v>
      </c>
      <c r="U20" s="38"/>
      <c r="V20" s="39"/>
      <c r="W20" s="39"/>
      <c r="X20" s="39">
        <f>T20*1000/39.37/R20*38.5</f>
        <v>73.049276098552212</v>
      </c>
      <c r="Y20" s="40"/>
      <c r="Z20" s="40">
        <f t="shared" si="3"/>
        <v>73.554638049276107</v>
      </c>
      <c r="AA20" s="42"/>
      <c r="AB20" s="43"/>
      <c r="AC20" s="43"/>
      <c r="AD20" s="43">
        <v>74.06</v>
      </c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140</v>
      </c>
      <c r="E21" s="28">
        <v>69011815</v>
      </c>
      <c r="F21" s="29">
        <v>690119</v>
      </c>
      <c r="G21" s="45">
        <v>900</v>
      </c>
      <c r="H21" s="31">
        <v>980</v>
      </c>
      <c r="I21" s="46">
        <v>750</v>
      </c>
      <c r="J21" s="32">
        <v>750</v>
      </c>
      <c r="K21" s="33">
        <f t="shared" si="0"/>
        <v>72</v>
      </c>
      <c r="L21" s="47">
        <f t="shared" si="0"/>
        <v>78.400000000000006</v>
      </c>
      <c r="M21" s="303">
        <v>145</v>
      </c>
      <c r="N21" s="303">
        <v>1045</v>
      </c>
      <c r="O21" s="303">
        <v>1045</v>
      </c>
      <c r="P21" s="303">
        <v>25</v>
      </c>
      <c r="Q21" s="48">
        <v>2000</v>
      </c>
      <c r="R21" s="36"/>
      <c r="S21" s="36">
        <v>149.30000000000001</v>
      </c>
      <c r="T21" s="37"/>
      <c r="U21" s="38"/>
      <c r="V21" s="39"/>
      <c r="W21" s="39">
        <f>S21*1000/39.37/Q21*38.5</f>
        <v>73.000381000762005</v>
      </c>
      <c r="X21" s="40"/>
      <c r="Y21" s="40">
        <f t="shared" ref="Y21:Z23" si="4">(AC21+W21)/2</f>
        <v>73.020190500381005</v>
      </c>
      <c r="Z21" s="41"/>
      <c r="AA21" s="42"/>
      <c r="AB21" s="43"/>
      <c r="AC21" s="43">
        <v>73.040000000000006</v>
      </c>
      <c r="AD21" s="43"/>
    </row>
    <row r="22" spans="1:35" ht="24" customHeight="1" x14ac:dyDescent="0.4">
      <c r="A22" s="249" t="s">
        <v>68</v>
      </c>
      <c r="B22" s="246" t="s">
        <v>42</v>
      </c>
      <c r="C22" s="253" t="s">
        <v>41</v>
      </c>
      <c r="D22" s="256" t="s">
        <v>59</v>
      </c>
      <c r="E22" s="28">
        <v>69011812</v>
      </c>
      <c r="F22" s="29">
        <v>690104</v>
      </c>
      <c r="G22" s="45">
        <v>800</v>
      </c>
      <c r="H22" s="31">
        <v>1000</v>
      </c>
      <c r="I22" s="46">
        <v>750</v>
      </c>
      <c r="J22" s="32">
        <v>750</v>
      </c>
      <c r="K22" s="33">
        <f t="shared" si="0"/>
        <v>64</v>
      </c>
      <c r="L22" s="47">
        <f t="shared" si="0"/>
        <v>80</v>
      </c>
      <c r="M22" s="305">
        <v>812</v>
      </c>
      <c r="N22" s="305">
        <v>1612</v>
      </c>
      <c r="O22" s="305">
        <v>1612</v>
      </c>
      <c r="P22" s="305">
        <v>612</v>
      </c>
      <c r="Q22" s="35">
        <v>2000</v>
      </c>
      <c r="R22" s="48"/>
      <c r="S22" s="36">
        <v>158.1</v>
      </c>
      <c r="T22" s="36"/>
      <c r="U22" s="37"/>
      <c r="V22" s="38"/>
      <c r="W22" s="39">
        <f>S22*1000/39.37/Q22*38.5</f>
        <v>77.303149606299215</v>
      </c>
      <c r="X22" s="39"/>
      <c r="Y22" s="40">
        <f t="shared" si="4"/>
        <v>77.941574803149607</v>
      </c>
      <c r="Z22" s="40"/>
      <c r="AA22" s="41"/>
      <c r="AB22" s="42"/>
      <c r="AC22" s="43">
        <v>78.58</v>
      </c>
      <c r="AD22" s="43"/>
    </row>
    <row r="23" spans="1:35" ht="24" customHeight="1" x14ac:dyDescent="0.5">
      <c r="A23" s="249" t="s">
        <v>72</v>
      </c>
      <c r="B23" s="246" t="s">
        <v>42</v>
      </c>
      <c r="C23" s="253" t="s">
        <v>41</v>
      </c>
      <c r="D23" s="258" t="s">
        <v>316</v>
      </c>
      <c r="E23" s="28">
        <v>69011821</v>
      </c>
      <c r="F23" s="29">
        <v>690133</v>
      </c>
      <c r="G23" s="45">
        <v>731</v>
      </c>
      <c r="H23" s="31">
        <v>831</v>
      </c>
      <c r="I23" s="46">
        <v>750</v>
      </c>
      <c r="J23" s="32">
        <v>750</v>
      </c>
      <c r="K23" s="33">
        <f t="shared" si="0"/>
        <v>58.48</v>
      </c>
      <c r="L23" s="47">
        <f t="shared" si="0"/>
        <v>66.48</v>
      </c>
      <c r="M23" s="303">
        <v>1162</v>
      </c>
      <c r="N23" s="303">
        <v>1893</v>
      </c>
      <c r="O23" s="303">
        <v>1893</v>
      </c>
      <c r="P23" s="303">
        <v>224</v>
      </c>
      <c r="Q23" s="35"/>
      <c r="R23" s="48">
        <v>2000</v>
      </c>
      <c r="S23" s="36"/>
      <c r="T23" s="36">
        <v>174.6</v>
      </c>
      <c r="U23" s="37"/>
      <c r="V23" s="38"/>
      <c r="W23" s="39"/>
      <c r="X23" s="39">
        <f>T23*1000/39.37/R23*38.5</f>
        <v>85.370840741681477</v>
      </c>
      <c r="Y23" s="40"/>
      <c r="Z23" s="40">
        <f t="shared" si="4"/>
        <v>85.600420370840737</v>
      </c>
      <c r="AA23" s="41"/>
      <c r="AB23" s="42"/>
      <c r="AC23" s="43"/>
      <c r="AD23" s="43">
        <v>85.83</v>
      </c>
    </row>
    <row r="24" spans="1:35" ht="24" customHeight="1" x14ac:dyDescent="0.4">
      <c r="A24" s="249" t="s">
        <v>70</v>
      </c>
      <c r="B24" s="246" t="s">
        <v>42</v>
      </c>
      <c r="C24" s="253" t="s">
        <v>41</v>
      </c>
      <c r="D24" s="256" t="s">
        <v>57</v>
      </c>
      <c r="E24" s="28"/>
      <c r="F24" s="29">
        <v>690104</v>
      </c>
      <c r="G24" s="45">
        <v>745</v>
      </c>
      <c r="H24" s="31">
        <v>860</v>
      </c>
      <c r="I24" s="46">
        <v>750</v>
      </c>
      <c r="J24" s="32">
        <v>750</v>
      </c>
      <c r="K24" s="33">
        <f t="shared" si="0"/>
        <v>59.6</v>
      </c>
      <c r="L24" s="47">
        <f t="shared" si="0"/>
        <v>68.8</v>
      </c>
      <c r="M24" s="303">
        <v>1864</v>
      </c>
      <c r="N24" s="303">
        <v>609</v>
      </c>
      <c r="O24" s="303">
        <v>609</v>
      </c>
      <c r="P24" s="303">
        <v>1469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36</v>
      </c>
      <c r="E25" s="28">
        <v>69011811</v>
      </c>
      <c r="F25" s="29">
        <v>690126</v>
      </c>
      <c r="G25" s="45">
        <v>672</v>
      </c>
      <c r="H25" s="31">
        <v>817</v>
      </c>
      <c r="I25" s="46">
        <v>750</v>
      </c>
      <c r="J25" s="32">
        <v>750</v>
      </c>
      <c r="K25" s="33">
        <f t="shared" si="0"/>
        <v>53.76</v>
      </c>
      <c r="L25" s="47">
        <f t="shared" si="0"/>
        <v>65.36</v>
      </c>
      <c r="M25" s="306">
        <v>443</v>
      </c>
      <c r="N25" s="306">
        <v>1115</v>
      </c>
      <c r="O25" s="306">
        <v>1115</v>
      </c>
      <c r="P25" s="306">
        <v>1932</v>
      </c>
      <c r="Q25" s="35">
        <v>2000</v>
      </c>
      <c r="R25" s="48"/>
      <c r="S25" s="36">
        <v>191.9</v>
      </c>
      <c r="T25" s="36"/>
      <c r="U25" s="37"/>
      <c r="V25" s="38"/>
      <c r="W25" s="39">
        <f>S25*1000/39.37/Q25*44.5</f>
        <v>108.45250190500381</v>
      </c>
      <c r="X25" s="39"/>
      <c r="Y25" s="40">
        <f t="shared" ref="Y25:Z26" si="5">(AC25+W25)/2</f>
        <v>110.3462509525019</v>
      </c>
      <c r="Z25" s="40"/>
      <c r="AA25" s="41"/>
      <c r="AB25" s="42"/>
      <c r="AC25" s="239">
        <v>112.24</v>
      </c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57</v>
      </c>
      <c r="E26" s="28">
        <v>69011826</v>
      </c>
      <c r="F26" s="29">
        <v>690119</v>
      </c>
      <c r="G26" s="55">
        <v>1028</v>
      </c>
      <c r="H26" s="31">
        <v>461</v>
      </c>
      <c r="I26" s="46">
        <v>800</v>
      </c>
      <c r="J26" s="32">
        <v>800</v>
      </c>
      <c r="K26" s="33">
        <f t="shared" si="0"/>
        <v>82.24</v>
      </c>
      <c r="L26" s="47">
        <f t="shared" si="0"/>
        <v>36.880000000000003</v>
      </c>
      <c r="M26" s="303">
        <v>2318</v>
      </c>
      <c r="N26" s="303">
        <v>846</v>
      </c>
      <c r="O26" s="303">
        <v>846</v>
      </c>
      <c r="P26" s="303">
        <v>1307</v>
      </c>
      <c r="Q26" s="35"/>
      <c r="R26" s="35">
        <v>2480</v>
      </c>
      <c r="S26" s="36"/>
      <c r="T26" s="36">
        <v>196.8</v>
      </c>
      <c r="U26" s="37"/>
      <c r="V26" s="35">
        <v>25</v>
      </c>
      <c r="W26" s="39"/>
      <c r="X26" s="39">
        <f>T26*1000/39.37/R26*31.5</f>
        <v>63.49193343547978</v>
      </c>
      <c r="Y26" s="40"/>
      <c r="Z26" s="40">
        <f t="shared" si="5"/>
        <v>64.820966717739893</v>
      </c>
      <c r="AA26" s="41"/>
      <c r="AB26" s="42"/>
      <c r="AC26" s="43"/>
      <c r="AD26" s="43">
        <v>66.150000000000006</v>
      </c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59</v>
      </c>
      <c r="E27" s="28">
        <v>69011814</v>
      </c>
      <c r="F27" s="29">
        <v>690112</v>
      </c>
      <c r="G27" s="55">
        <v>1126</v>
      </c>
      <c r="H27" s="31">
        <v>671</v>
      </c>
      <c r="I27" s="46">
        <v>800</v>
      </c>
      <c r="J27" s="32">
        <v>800</v>
      </c>
      <c r="K27" s="33">
        <f t="shared" si="0"/>
        <v>90.08</v>
      </c>
      <c r="L27" s="47">
        <f t="shared" si="0"/>
        <v>53.68</v>
      </c>
      <c r="M27" s="303">
        <v>399</v>
      </c>
      <c r="N27" s="303">
        <v>1525</v>
      </c>
      <c r="O27" s="303">
        <v>1525</v>
      </c>
      <c r="P27" s="303">
        <v>196</v>
      </c>
      <c r="Q27" s="35">
        <v>2000</v>
      </c>
      <c r="R27" s="35"/>
      <c r="S27" s="57">
        <v>153.9</v>
      </c>
      <c r="T27" s="57"/>
      <c r="U27" s="58"/>
      <c r="V27" s="59"/>
      <c r="W27" s="39">
        <f>S27*1000/39.37/Q27*38.5</f>
        <v>75.249555499110997</v>
      </c>
      <c r="X27" s="39"/>
      <c r="Y27" s="40">
        <f t="shared" ref="Y27:Y28" si="6">(AC27+W27)/2</f>
        <v>76.684777749555508</v>
      </c>
      <c r="Z27" s="40"/>
      <c r="AA27" s="41"/>
      <c r="AB27" s="42"/>
      <c r="AC27" s="43">
        <v>78.12</v>
      </c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59</v>
      </c>
      <c r="E28" s="28">
        <v>69011813</v>
      </c>
      <c r="F28" s="29">
        <v>690112</v>
      </c>
      <c r="G28" s="45">
        <v>1103</v>
      </c>
      <c r="H28" s="31">
        <v>643</v>
      </c>
      <c r="I28" s="46">
        <v>800</v>
      </c>
      <c r="J28" s="32">
        <v>800</v>
      </c>
      <c r="K28" s="33">
        <f t="shared" si="0"/>
        <v>88.24</v>
      </c>
      <c r="L28" s="47">
        <f t="shared" si="0"/>
        <v>51.44</v>
      </c>
      <c r="M28" s="303">
        <v>283</v>
      </c>
      <c r="N28" s="303">
        <v>1386</v>
      </c>
      <c r="O28" s="303">
        <v>1386</v>
      </c>
      <c r="P28" s="303">
        <v>29</v>
      </c>
      <c r="Q28" s="35">
        <v>2000</v>
      </c>
      <c r="R28" s="35"/>
      <c r="S28" s="57">
        <v>157.1</v>
      </c>
      <c r="T28" s="57"/>
      <c r="U28" s="58"/>
      <c r="V28" s="59"/>
      <c r="W28" s="39">
        <f>S28*1000/39.37/Q28*38.5</f>
        <v>76.814198628397264</v>
      </c>
      <c r="X28" s="39"/>
      <c r="Y28" s="40">
        <f t="shared" si="6"/>
        <v>77.747099314198636</v>
      </c>
      <c r="Z28" s="40"/>
      <c r="AA28" s="41"/>
      <c r="AB28" s="42"/>
      <c r="AC28" s="43">
        <v>78.680000000000007</v>
      </c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140</v>
      </c>
      <c r="E29" s="28"/>
      <c r="F29" s="29">
        <v>690119</v>
      </c>
      <c r="G29" s="45">
        <v>1100</v>
      </c>
      <c r="H29" s="31">
        <v>729</v>
      </c>
      <c r="I29" s="46">
        <v>800</v>
      </c>
      <c r="J29" s="32">
        <v>800</v>
      </c>
      <c r="K29" s="33">
        <f t="shared" si="0"/>
        <v>88</v>
      </c>
      <c r="L29" s="47">
        <f t="shared" si="0"/>
        <v>58.32</v>
      </c>
      <c r="M29" s="303">
        <v>1353</v>
      </c>
      <c r="N29" s="303">
        <v>488</v>
      </c>
      <c r="O29" s="303">
        <v>488</v>
      </c>
      <c r="P29" s="303">
        <v>1217</v>
      </c>
      <c r="Q29" s="48"/>
      <c r="R29" s="36"/>
      <c r="S29" s="36"/>
      <c r="T29" s="37"/>
      <c r="U29" s="38"/>
      <c r="V29" s="39"/>
      <c r="W29" s="39"/>
      <c r="X29" s="40"/>
      <c r="Y29" s="40"/>
      <c r="Z29" s="41"/>
      <c r="AA29" s="42"/>
      <c r="AB29" s="43"/>
      <c r="AC29" s="43"/>
      <c r="AD29" s="43"/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140</v>
      </c>
      <c r="E30" s="28"/>
      <c r="F30" s="29">
        <v>690108</v>
      </c>
      <c r="G30" s="45">
        <v>1100</v>
      </c>
      <c r="H30" s="31">
        <v>709</v>
      </c>
      <c r="I30" s="46">
        <v>800</v>
      </c>
      <c r="J30" s="32">
        <v>800</v>
      </c>
      <c r="K30" s="33">
        <f t="shared" si="0"/>
        <v>88</v>
      </c>
      <c r="L30" s="47">
        <f t="shared" si="0"/>
        <v>56.72</v>
      </c>
      <c r="M30" s="303">
        <v>1308</v>
      </c>
      <c r="N30" s="303">
        <v>408</v>
      </c>
      <c r="O30" s="303">
        <v>408</v>
      </c>
      <c r="P30" s="303">
        <v>1117</v>
      </c>
      <c r="Q30" s="35"/>
      <c r="R30" s="36"/>
      <c r="S30" s="36"/>
      <c r="T30" s="37"/>
      <c r="U30" s="38"/>
      <c r="V30" s="39"/>
      <c r="W30" s="39"/>
      <c r="X30" s="40"/>
      <c r="Y30" s="40"/>
      <c r="Z30" s="41"/>
      <c r="AA30" s="42"/>
      <c r="AB30" s="43"/>
      <c r="AC30" s="43"/>
      <c r="AD30" s="43"/>
    </row>
    <row r="31" spans="1:35" ht="24" hidden="1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03"/>
      <c r="N31" s="303"/>
      <c r="O31" s="303"/>
      <c r="P31" s="303"/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hidden="1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03"/>
      <c r="N32" s="303"/>
      <c r="O32" s="303"/>
      <c r="P32" s="303"/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hidden="1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03"/>
      <c r="N33" s="303"/>
      <c r="O33" s="303"/>
      <c r="P33" s="303"/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/>
      <c r="F34" s="29">
        <v>690119</v>
      </c>
      <c r="G34" s="60">
        <v>642</v>
      </c>
      <c r="H34" s="31">
        <v>596</v>
      </c>
      <c r="I34" s="46">
        <v>110</v>
      </c>
      <c r="J34" s="32">
        <v>110</v>
      </c>
      <c r="K34" s="33">
        <f t="shared" si="0"/>
        <v>51.36</v>
      </c>
      <c r="L34" s="47">
        <f t="shared" si="0"/>
        <v>47.68</v>
      </c>
      <c r="M34" s="303">
        <v>1568</v>
      </c>
      <c r="N34" s="303">
        <v>2210</v>
      </c>
      <c r="O34" s="303">
        <v>2210</v>
      </c>
      <c r="P34" s="303">
        <v>206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833</v>
      </c>
      <c r="H35" s="31">
        <v>758</v>
      </c>
      <c r="I35" s="46">
        <v>110</v>
      </c>
      <c r="J35" s="32">
        <v>110</v>
      </c>
      <c r="K35" s="33">
        <f t="shared" si="0"/>
        <v>66.64</v>
      </c>
      <c r="L35" s="47">
        <f t="shared" si="0"/>
        <v>60.64</v>
      </c>
      <c r="M35" s="303">
        <v>1578</v>
      </c>
      <c r="N35" s="303">
        <v>833</v>
      </c>
      <c r="O35" s="303">
        <v>833</v>
      </c>
      <c r="P35" s="303">
        <v>47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57</v>
      </c>
      <c r="E36" s="28">
        <v>69011830</v>
      </c>
      <c r="F36" s="29">
        <v>690106</v>
      </c>
      <c r="G36" s="45">
        <v>751</v>
      </c>
      <c r="H36" s="31">
        <v>805</v>
      </c>
      <c r="I36" s="46">
        <v>115</v>
      </c>
      <c r="J36" s="32">
        <v>115</v>
      </c>
      <c r="K36" s="33">
        <f t="shared" si="0"/>
        <v>60.08</v>
      </c>
      <c r="L36" s="47">
        <f t="shared" si="0"/>
        <v>64.400000000000006</v>
      </c>
      <c r="M36" s="303">
        <v>1744</v>
      </c>
      <c r="N36" s="303">
        <v>265</v>
      </c>
      <c r="O36" s="303">
        <v>265</v>
      </c>
      <c r="P36" s="303">
        <v>1070</v>
      </c>
      <c r="Q36" s="35"/>
      <c r="R36" s="48">
        <v>2230</v>
      </c>
      <c r="S36" s="36"/>
      <c r="T36" s="36">
        <v>178.2</v>
      </c>
      <c r="U36" s="37"/>
      <c r="V36" s="38">
        <v>20</v>
      </c>
      <c r="W36" s="39"/>
      <c r="X36" s="39">
        <f>T36*1000/39.37/R36*31.5</f>
        <v>63.936370025206422</v>
      </c>
      <c r="Y36" s="40"/>
      <c r="Z36" s="40">
        <f t="shared" ref="Z36:Z38" si="7">(AD36+X36)/2</f>
        <v>65.563185012603213</v>
      </c>
      <c r="AA36" s="41"/>
      <c r="AB36" s="42"/>
      <c r="AC36" s="43"/>
      <c r="AD36" s="43">
        <v>67.19</v>
      </c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57</v>
      </c>
      <c r="E37" s="28">
        <v>69011831</v>
      </c>
      <c r="F37" s="29">
        <v>690106</v>
      </c>
      <c r="G37" s="45">
        <v>648</v>
      </c>
      <c r="H37" s="31">
        <v>807</v>
      </c>
      <c r="I37" s="46">
        <v>115</v>
      </c>
      <c r="J37" s="32">
        <v>115</v>
      </c>
      <c r="K37" s="33">
        <f t="shared" si="0"/>
        <v>51.84</v>
      </c>
      <c r="L37" s="47">
        <f t="shared" si="0"/>
        <v>64.56</v>
      </c>
      <c r="M37" s="303">
        <v>1803</v>
      </c>
      <c r="N37" s="303">
        <v>236</v>
      </c>
      <c r="O37" s="303">
        <v>236</v>
      </c>
      <c r="P37" s="303">
        <v>1043</v>
      </c>
      <c r="Q37" s="35"/>
      <c r="R37" s="67">
        <v>2213</v>
      </c>
      <c r="S37" s="36"/>
      <c r="T37" s="36">
        <v>176.1</v>
      </c>
      <c r="U37" s="37"/>
      <c r="V37" s="37">
        <v>20</v>
      </c>
      <c r="W37" s="39"/>
      <c r="X37" s="39">
        <f>T37*1000/39.37/R37*31.5</f>
        <v>63.668274647891373</v>
      </c>
      <c r="Y37" s="40"/>
      <c r="Z37" s="40">
        <f t="shared" si="7"/>
        <v>65.13913732394569</v>
      </c>
      <c r="AA37" s="41"/>
      <c r="AB37" s="42"/>
      <c r="AC37" s="43"/>
      <c r="AD37" s="43">
        <v>66.61</v>
      </c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57</v>
      </c>
      <c r="E38" s="28">
        <v>69011832</v>
      </c>
      <c r="F38" s="29">
        <v>690106</v>
      </c>
      <c r="G38" s="45">
        <v>670</v>
      </c>
      <c r="H38" s="31">
        <v>759</v>
      </c>
      <c r="I38" s="46">
        <v>115</v>
      </c>
      <c r="J38" s="32">
        <v>115</v>
      </c>
      <c r="K38" s="33">
        <f t="shared" si="0"/>
        <v>53.6</v>
      </c>
      <c r="L38" s="47">
        <f t="shared" si="0"/>
        <v>60.72</v>
      </c>
      <c r="M38" s="303">
        <v>1798</v>
      </c>
      <c r="N38" s="303">
        <v>243</v>
      </c>
      <c r="O38" s="303">
        <v>243</v>
      </c>
      <c r="P38" s="303">
        <v>1002</v>
      </c>
      <c r="Q38" s="35"/>
      <c r="R38" s="35">
        <v>2225</v>
      </c>
      <c r="S38" s="316"/>
      <c r="T38" s="36">
        <v>179.4</v>
      </c>
      <c r="U38" s="37"/>
      <c r="V38" s="37">
        <v>20</v>
      </c>
      <c r="W38" s="39"/>
      <c r="X38" s="39">
        <f>T38*1000/39.37/R38*31.5</f>
        <v>64.511562730990633</v>
      </c>
      <c r="Y38" s="40"/>
      <c r="Z38" s="40">
        <f t="shared" si="7"/>
        <v>65.625781365495314</v>
      </c>
      <c r="AA38" s="41"/>
      <c r="AB38" s="42"/>
      <c r="AC38" s="43"/>
      <c r="AD38" s="43">
        <v>66.739999999999995</v>
      </c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>
        <v>69011804</v>
      </c>
      <c r="F39" s="29">
        <v>690107</v>
      </c>
      <c r="G39" s="45">
        <v>369</v>
      </c>
      <c r="H39" s="31">
        <v>740</v>
      </c>
      <c r="I39" s="63">
        <v>115</v>
      </c>
      <c r="J39" s="64">
        <v>115</v>
      </c>
      <c r="K39" s="65">
        <f t="shared" ref="K39:L55" si="8">G39*8/100</f>
        <v>29.52</v>
      </c>
      <c r="L39" s="68">
        <f t="shared" si="8"/>
        <v>59.2</v>
      </c>
      <c r="M39" s="303">
        <v>1238</v>
      </c>
      <c r="N39" s="303">
        <v>1607</v>
      </c>
      <c r="O39" s="303">
        <v>1607</v>
      </c>
      <c r="P39" s="303">
        <v>2347</v>
      </c>
      <c r="Q39" s="35">
        <v>1920</v>
      </c>
      <c r="R39" s="67"/>
      <c r="S39" s="36">
        <v>137.30000000000001</v>
      </c>
      <c r="T39" s="36"/>
      <c r="U39" s="37">
        <v>15</v>
      </c>
      <c r="V39" s="37"/>
      <c r="W39" s="39">
        <f>S39*1000/39.37/Q39*38.5</f>
        <v>69.93017631868598</v>
      </c>
      <c r="X39" s="39"/>
      <c r="Y39" s="40">
        <f t="shared" ref="Y39" si="9">(AC39+W39)/2</f>
        <v>70.060088159342996</v>
      </c>
      <c r="Z39" s="40"/>
      <c r="AA39" s="41"/>
      <c r="AB39" s="42"/>
      <c r="AC39" s="43">
        <v>70.19</v>
      </c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314</v>
      </c>
      <c r="E40" s="28"/>
      <c r="F40" s="29">
        <v>690106</v>
      </c>
      <c r="G40" s="45">
        <v>213</v>
      </c>
      <c r="H40" s="31">
        <v>807</v>
      </c>
      <c r="I40" s="63">
        <v>115</v>
      </c>
      <c r="J40" s="64">
        <v>115</v>
      </c>
      <c r="K40" s="65">
        <f t="shared" si="8"/>
        <v>17.04</v>
      </c>
      <c r="L40" s="68">
        <f t="shared" si="8"/>
        <v>64.56</v>
      </c>
      <c r="M40" s="303">
        <v>992</v>
      </c>
      <c r="N40" s="303">
        <v>1205</v>
      </c>
      <c r="O40" s="303">
        <v>1205</v>
      </c>
      <c r="P40" s="303">
        <v>2012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thickBot="1" x14ac:dyDescent="0.45">
      <c r="A41" s="250" t="s">
        <v>96</v>
      </c>
      <c r="B41" s="246" t="s">
        <v>97</v>
      </c>
      <c r="C41" s="253" t="s">
        <v>69</v>
      </c>
      <c r="D41" s="256" t="s">
        <v>47</v>
      </c>
      <c r="E41" s="28"/>
      <c r="F41" s="29">
        <v>690119</v>
      </c>
      <c r="G41" s="45">
        <v>201</v>
      </c>
      <c r="H41" s="31">
        <v>756</v>
      </c>
      <c r="I41" s="46">
        <v>120</v>
      </c>
      <c r="J41" s="32">
        <v>120</v>
      </c>
      <c r="K41" s="33">
        <f t="shared" si="8"/>
        <v>16.079999999999998</v>
      </c>
      <c r="L41" s="47">
        <f t="shared" si="8"/>
        <v>60.48</v>
      </c>
      <c r="M41" s="303">
        <v>524</v>
      </c>
      <c r="N41" s="303">
        <v>725</v>
      </c>
      <c r="O41" s="303">
        <v>725</v>
      </c>
      <c r="P41" s="303">
        <v>1481</v>
      </c>
      <c r="Q41" s="48"/>
      <c r="R41" s="36"/>
      <c r="S41" s="36"/>
      <c r="T41" s="37"/>
      <c r="U41" s="38"/>
      <c r="V41" s="39"/>
      <c r="W41" s="39"/>
      <c r="X41" s="40"/>
      <c r="Y41" s="40"/>
      <c r="Z41" s="41"/>
      <c r="AA41" s="42"/>
      <c r="AB41" s="43"/>
      <c r="AC41" s="43"/>
      <c r="AD41" s="43"/>
    </row>
    <row r="42" spans="1:38" ht="23.25" hidden="1" customHeight="1" x14ac:dyDescent="0.45">
      <c r="A42" s="250" t="s">
        <v>98</v>
      </c>
      <c r="B42" s="246" t="s">
        <v>97</v>
      </c>
      <c r="C42" s="253" t="s">
        <v>69</v>
      </c>
      <c r="D42" s="256" t="s">
        <v>314</v>
      </c>
      <c r="E42" s="28"/>
      <c r="F42" s="29">
        <v>690119</v>
      </c>
      <c r="G42" s="45">
        <v>0</v>
      </c>
      <c r="H42" s="31">
        <v>0</v>
      </c>
      <c r="I42" s="46">
        <v>120</v>
      </c>
      <c r="J42" s="32">
        <v>120</v>
      </c>
      <c r="K42" s="33">
        <f t="shared" si="8"/>
        <v>0</v>
      </c>
      <c r="L42" s="47">
        <f t="shared" si="8"/>
        <v>0</v>
      </c>
      <c r="M42" s="303">
        <v>725</v>
      </c>
      <c r="N42" s="303">
        <v>725</v>
      </c>
      <c r="O42" s="303">
        <v>725</v>
      </c>
      <c r="P42" s="303">
        <v>725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hidden="1" customHeight="1" x14ac:dyDescent="0.45">
      <c r="A43" s="250" t="s">
        <v>99</v>
      </c>
      <c r="B43" s="246" t="s">
        <v>97</v>
      </c>
      <c r="C43" s="253" t="s">
        <v>69</v>
      </c>
      <c r="D43" s="256" t="s">
        <v>314</v>
      </c>
      <c r="E43" s="28"/>
      <c r="F43" s="29">
        <v>690136</v>
      </c>
      <c r="G43" s="45">
        <v>0</v>
      </c>
      <c r="H43" s="31">
        <v>0</v>
      </c>
      <c r="I43" s="46">
        <v>120</v>
      </c>
      <c r="J43" s="32">
        <v>120</v>
      </c>
      <c r="K43" s="33">
        <f t="shared" si="8"/>
        <v>0</v>
      </c>
      <c r="L43" s="47">
        <f t="shared" si="8"/>
        <v>0</v>
      </c>
      <c r="M43" s="303">
        <v>719</v>
      </c>
      <c r="N43" s="303">
        <v>719</v>
      </c>
      <c r="O43" s="303">
        <v>719</v>
      </c>
      <c r="P43" s="303">
        <v>719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hidden="1" customHeight="1" x14ac:dyDescent="0.45">
      <c r="A44" s="250" t="s">
        <v>100</v>
      </c>
      <c r="B44" s="246" t="s">
        <v>97</v>
      </c>
      <c r="C44" s="253" t="s">
        <v>69</v>
      </c>
      <c r="D44" s="256" t="s">
        <v>104</v>
      </c>
      <c r="E44" s="28"/>
      <c r="F44" s="29">
        <v>690128</v>
      </c>
      <c r="G44" s="69">
        <v>0</v>
      </c>
      <c r="H44" s="31">
        <v>0</v>
      </c>
      <c r="I44" s="46">
        <v>120</v>
      </c>
      <c r="J44" s="32">
        <v>120</v>
      </c>
      <c r="K44" s="33">
        <f t="shared" si="8"/>
        <v>0</v>
      </c>
      <c r="L44" s="47">
        <f t="shared" si="8"/>
        <v>0</v>
      </c>
      <c r="M44" s="303">
        <v>620</v>
      </c>
      <c r="N44" s="303">
        <v>620</v>
      </c>
      <c r="O44" s="303">
        <v>620</v>
      </c>
      <c r="P44" s="303">
        <v>620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hidden="1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314</v>
      </c>
      <c r="E45" s="28"/>
      <c r="F45" s="29">
        <v>690136</v>
      </c>
      <c r="G45" s="45">
        <v>0</v>
      </c>
      <c r="H45" s="31">
        <v>0</v>
      </c>
      <c r="I45" s="63">
        <v>120</v>
      </c>
      <c r="J45" s="64">
        <v>120</v>
      </c>
      <c r="K45" s="65">
        <f t="shared" si="8"/>
        <v>0</v>
      </c>
      <c r="L45" s="68">
        <f t="shared" si="8"/>
        <v>0</v>
      </c>
      <c r="M45" s="308">
        <v>716</v>
      </c>
      <c r="N45" s="308">
        <v>716</v>
      </c>
      <c r="O45" s="308">
        <v>716</v>
      </c>
      <c r="P45" s="308">
        <v>716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hidden="1" customHeight="1" x14ac:dyDescent="0.45">
      <c r="A46" s="251" t="s">
        <v>103</v>
      </c>
      <c r="B46" s="246" t="s">
        <v>90</v>
      </c>
      <c r="C46" s="253" t="s">
        <v>89</v>
      </c>
      <c r="D46" s="256" t="s">
        <v>104</v>
      </c>
      <c r="E46" s="28"/>
      <c r="F46" s="29">
        <v>690128</v>
      </c>
      <c r="G46" s="45">
        <v>0</v>
      </c>
      <c r="H46" s="31">
        <v>0</v>
      </c>
      <c r="I46" s="46">
        <v>650</v>
      </c>
      <c r="J46" s="32">
        <v>650</v>
      </c>
      <c r="K46" s="33">
        <f t="shared" si="8"/>
        <v>0</v>
      </c>
      <c r="L46" s="47">
        <f t="shared" si="8"/>
        <v>0</v>
      </c>
      <c r="M46" s="305">
        <v>1265</v>
      </c>
      <c r="N46" s="305">
        <v>1265</v>
      </c>
      <c r="O46" s="305">
        <v>1265</v>
      </c>
      <c r="P46" s="305">
        <v>1265</v>
      </c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239"/>
      <c r="AD46" s="43"/>
      <c r="AE46" s="72"/>
    </row>
    <row r="47" spans="1:38" ht="20.25" hidden="1" customHeight="1" x14ac:dyDescent="0.45">
      <c r="A47" s="251" t="s">
        <v>105</v>
      </c>
      <c r="B47" s="246" t="s">
        <v>90</v>
      </c>
      <c r="C47" s="253" t="s">
        <v>89</v>
      </c>
      <c r="D47" s="256" t="s">
        <v>104</v>
      </c>
      <c r="E47" s="259"/>
      <c r="F47" s="29">
        <v>690128</v>
      </c>
      <c r="G47" s="45">
        <v>0</v>
      </c>
      <c r="H47" s="31">
        <v>0</v>
      </c>
      <c r="I47" s="63">
        <v>650</v>
      </c>
      <c r="J47" s="64">
        <v>650</v>
      </c>
      <c r="K47" s="65">
        <f t="shared" si="8"/>
        <v>0</v>
      </c>
      <c r="L47" s="68">
        <f t="shared" si="8"/>
        <v>0</v>
      </c>
      <c r="M47" s="303">
        <v>1062</v>
      </c>
      <c r="N47" s="303">
        <v>1062</v>
      </c>
      <c r="O47" s="303">
        <v>1062</v>
      </c>
      <c r="P47" s="303">
        <v>1062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hidden="1" customHeight="1" x14ac:dyDescent="0.45">
      <c r="A48" s="251" t="s">
        <v>106</v>
      </c>
      <c r="B48" s="246" t="s">
        <v>90</v>
      </c>
      <c r="C48" s="253" t="s">
        <v>89</v>
      </c>
      <c r="D48" s="256" t="s">
        <v>104</v>
      </c>
      <c r="E48" s="28"/>
      <c r="F48" s="29">
        <v>690128</v>
      </c>
      <c r="G48" s="69">
        <v>0</v>
      </c>
      <c r="H48" s="31">
        <v>0</v>
      </c>
      <c r="I48" s="63">
        <v>650</v>
      </c>
      <c r="J48" s="64">
        <v>650</v>
      </c>
      <c r="K48" s="65">
        <f t="shared" si="8"/>
        <v>0</v>
      </c>
      <c r="L48" s="68">
        <f t="shared" si="8"/>
        <v>0</v>
      </c>
      <c r="M48" s="303">
        <v>845</v>
      </c>
      <c r="N48" s="303">
        <v>845</v>
      </c>
      <c r="O48" s="303">
        <v>845</v>
      </c>
      <c r="P48" s="303">
        <v>845</v>
      </c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239"/>
      <c r="AD48" s="43"/>
    </row>
    <row r="49" spans="1:35" ht="24" hidden="1" customHeight="1" x14ac:dyDescent="0.45">
      <c r="A49" s="251" t="s">
        <v>107</v>
      </c>
      <c r="B49" s="246" t="s">
        <v>90</v>
      </c>
      <c r="C49" s="253" t="s">
        <v>89</v>
      </c>
      <c r="D49" s="256" t="s">
        <v>314</v>
      </c>
      <c r="E49" s="28"/>
      <c r="F49" s="29">
        <v>690136</v>
      </c>
      <c r="G49" s="73">
        <v>0</v>
      </c>
      <c r="H49" s="31">
        <v>0</v>
      </c>
      <c r="I49" s="46">
        <v>650</v>
      </c>
      <c r="J49" s="32">
        <v>650</v>
      </c>
      <c r="K49" s="33">
        <f t="shared" si="8"/>
        <v>0</v>
      </c>
      <c r="L49" s="47">
        <f t="shared" si="8"/>
        <v>0</v>
      </c>
      <c r="M49" s="303">
        <v>1180</v>
      </c>
      <c r="N49" s="303">
        <v>1180</v>
      </c>
      <c r="O49" s="303">
        <v>1180</v>
      </c>
      <c r="P49" s="303">
        <v>1180</v>
      </c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hidden="1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314</v>
      </c>
      <c r="E50" s="28"/>
      <c r="F50" s="29">
        <v>690136</v>
      </c>
      <c r="G50" s="74">
        <v>0</v>
      </c>
      <c r="H50" s="31">
        <v>0</v>
      </c>
      <c r="I50" s="46">
        <v>650</v>
      </c>
      <c r="J50" s="32">
        <v>650</v>
      </c>
      <c r="K50" s="33">
        <f t="shared" si="8"/>
        <v>0</v>
      </c>
      <c r="L50" s="47">
        <f t="shared" si="8"/>
        <v>0</v>
      </c>
      <c r="M50" s="309">
        <v>1593</v>
      </c>
      <c r="N50" s="309">
        <v>1593</v>
      </c>
      <c r="O50" s="309">
        <v>1593</v>
      </c>
      <c r="P50" s="309">
        <v>1593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52</v>
      </c>
      <c r="E51" s="28"/>
      <c r="F51" s="29">
        <v>690113</v>
      </c>
      <c r="G51" s="45">
        <v>615</v>
      </c>
      <c r="H51" s="31">
        <v>900</v>
      </c>
      <c r="I51" s="46">
        <v>650</v>
      </c>
      <c r="J51" s="32">
        <v>650</v>
      </c>
      <c r="K51" s="33">
        <f t="shared" si="8"/>
        <v>49.2</v>
      </c>
      <c r="L51" s="47">
        <f t="shared" si="8"/>
        <v>72</v>
      </c>
      <c r="M51" s="310">
        <v>700</v>
      </c>
      <c r="N51" s="310">
        <v>1315</v>
      </c>
      <c r="O51" s="310">
        <v>1315</v>
      </c>
      <c r="P51" s="310">
        <v>2215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" customHeight="1" x14ac:dyDescent="0.4">
      <c r="A52" s="251" t="s">
        <v>110</v>
      </c>
      <c r="B52" s="246" t="s">
        <v>46</v>
      </c>
      <c r="C52" s="253" t="s">
        <v>45</v>
      </c>
      <c r="D52" s="256" t="s">
        <v>314</v>
      </c>
      <c r="E52" s="28"/>
      <c r="F52" s="29">
        <v>690136</v>
      </c>
      <c r="G52" s="45">
        <v>695</v>
      </c>
      <c r="H52" s="31">
        <v>995</v>
      </c>
      <c r="I52" s="46">
        <v>125</v>
      </c>
      <c r="J52" s="32">
        <v>125</v>
      </c>
      <c r="K52" s="33">
        <f t="shared" si="8"/>
        <v>55.6</v>
      </c>
      <c r="L52" s="47">
        <f t="shared" si="8"/>
        <v>79.599999999999994</v>
      </c>
      <c r="M52" s="307">
        <v>760</v>
      </c>
      <c r="N52" s="307">
        <v>1455</v>
      </c>
      <c r="O52" s="307">
        <v>1455</v>
      </c>
      <c r="P52" s="307">
        <v>2450</v>
      </c>
      <c r="Q52" s="35"/>
      <c r="R52" s="48"/>
      <c r="S52" s="36"/>
      <c r="T52" s="36"/>
      <c r="U52" s="37"/>
      <c r="V52" s="38"/>
      <c r="W52" s="39"/>
      <c r="X52" s="39"/>
      <c r="Y52" s="40"/>
      <c r="Z52" s="40"/>
      <c r="AA52" s="41"/>
      <c r="AB52" s="42"/>
      <c r="AC52" s="43"/>
      <c r="AD52" s="43"/>
    </row>
    <row r="53" spans="1:35" ht="24" customHeight="1" x14ac:dyDescent="0.4">
      <c r="A53" s="251" t="s">
        <v>111</v>
      </c>
      <c r="B53" s="246" t="s">
        <v>46</v>
      </c>
      <c r="C53" s="253" t="s">
        <v>45</v>
      </c>
      <c r="D53" s="256" t="s">
        <v>52</v>
      </c>
      <c r="E53" s="28"/>
      <c r="F53" s="29">
        <v>690113</v>
      </c>
      <c r="G53" s="69">
        <v>835</v>
      </c>
      <c r="H53" s="31">
        <v>945</v>
      </c>
      <c r="I53" s="46">
        <v>125</v>
      </c>
      <c r="J53" s="32">
        <v>125</v>
      </c>
      <c r="K53" s="33">
        <f t="shared" si="8"/>
        <v>66.8</v>
      </c>
      <c r="L53" s="47">
        <f t="shared" si="8"/>
        <v>75.599999999999994</v>
      </c>
      <c r="M53" s="303">
        <v>1300</v>
      </c>
      <c r="N53" s="303">
        <v>2135</v>
      </c>
      <c r="O53" s="303">
        <v>2135</v>
      </c>
      <c r="P53" s="303">
        <v>540</v>
      </c>
      <c r="Q53" s="35"/>
      <c r="R53" s="48"/>
      <c r="S53" s="36"/>
      <c r="T53" s="36"/>
      <c r="U53" s="37"/>
      <c r="V53" s="38"/>
      <c r="W53" s="39"/>
      <c r="X53" s="39"/>
      <c r="Y53" s="40"/>
      <c r="Z53" s="40"/>
      <c r="AA53" s="41"/>
      <c r="AB53" s="42"/>
      <c r="AC53" s="43"/>
      <c r="AD53" s="43"/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314</v>
      </c>
      <c r="E54" s="28"/>
      <c r="F54" s="29">
        <v>690106</v>
      </c>
      <c r="G54" s="69">
        <v>860</v>
      </c>
      <c r="H54" s="31">
        <v>935</v>
      </c>
      <c r="I54" s="63">
        <v>125</v>
      </c>
      <c r="J54" s="64">
        <v>125</v>
      </c>
      <c r="K54" s="65">
        <f t="shared" si="8"/>
        <v>68.8</v>
      </c>
      <c r="L54" s="68">
        <f t="shared" si="8"/>
        <v>74.8</v>
      </c>
      <c r="M54" s="303">
        <v>10</v>
      </c>
      <c r="N54" s="303">
        <v>870</v>
      </c>
      <c r="O54" s="303">
        <v>870</v>
      </c>
      <c r="P54" s="303">
        <v>1805</v>
      </c>
      <c r="Q54" s="35"/>
      <c r="R54" s="48"/>
      <c r="S54" s="36"/>
      <c r="T54" s="36"/>
      <c r="U54" s="37"/>
      <c r="V54" s="38"/>
      <c r="W54" s="39"/>
      <c r="X54" s="39"/>
      <c r="Y54" s="40"/>
      <c r="Z54" s="40"/>
      <c r="AA54" s="41"/>
      <c r="AB54" s="42"/>
      <c r="AC54" s="43"/>
      <c r="AD54" s="43"/>
    </row>
    <row r="55" spans="1:35" ht="24" customHeight="1" x14ac:dyDescent="0.4">
      <c r="A55" s="251" t="s">
        <v>113</v>
      </c>
      <c r="B55" s="246" t="s">
        <v>46</v>
      </c>
      <c r="C55" s="253" t="s">
        <v>45</v>
      </c>
      <c r="D55" s="256" t="s">
        <v>314</v>
      </c>
      <c r="E55" s="28"/>
      <c r="F55" s="29">
        <v>690136</v>
      </c>
      <c r="G55" s="45">
        <v>795</v>
      </c>
      <c r="H55" s="31">
        <v>1000</v>
      </c>
      <c r="I55" s="46">
        <v>125</v>
      </c>
      <c r="J55" s="32">
        <v>125</v>
      </c>
      <c r="K55" s="33">
        <f t="shared" si="8"/>
        <v>63.6</v>
      </c>
      <c r="L55" s="47">
        <f t="shared" si="8"/>
        <v>80</v>
      </c>
      <c r="M55" s="303">
        <v>550</v>
      </c>
      <c r="N55" s="303">
        <v>1345</v>
      </c>
      <c r="O55" s="303">
        <v>1345</v>
      </c>
      <c r="P55" s="303">
        <v>2345</v>
      </c>
      <c r="Q55" s="48"/>
      <c r="R55" s="36"/>
      <c r="S55" s="36"/>
      <c r="T55" s="37"/>
      <c r="U55" s="38"/>
      <c r="V55" s="39"/>
      <c r="W55" s="39"/>
      <c r="X55" s="40"/>
      <c r="Y55" s="40"/>
      <c r="Z55" s="41"/>
      <c r="AA55" s="42"/>
      <c r="AB55" s="43"/>
      <c r="AC55" s="43"/>
      <c r="AD55" s="43"/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/>
      <c r="F56" s="29">
        <v>690106</v>
      </c>
      <c r="G56" s="45">
        <v>908</v>
      </c>
      <c r="H56" s="31">
        <v>804</v>
      </c>
      <c r="I56" s="63">
        <v>115</v>
      </c>
      <c r="J56" s="64">
        <v>115</v>
      </c>
      <c r="K56" s="65">
        <v>0</v>
      </c>
      <c r="L56" s="68">
        <v>0</v>
      </c>
      <c r="M56" s="303">
        <v>1016</v>
      </c>
      <c r="N56" s="303">
        <v>1924</v>
      </c>
      <c r="O56" s="303">
        <v>1924</v>
      </c>
      <c r="P56" s="303">
        <v>228</v>
      </c>
      <c r="Q56" s="35"/>
      <c r="R56" s="48"/>
      <c r="S56" s="36"/>
      <c r="T56" s="36"/>
      <c r="U56" s="37"/>
      <c r="V56" s="38"/>
      <c r="W56" s="39"/>
      <c r="X56" s="39"/>
      <c r="Y56" s="40"/>
      <c r="Z56" s="40"/>
      <c r="AA56" s="41"/>
      <c r="AB56" s="41"/>
      <c r="AC56" s="43"/>
      <c r="AD56" s="43"/>
    </row>
    <row r="57" spans="1:35" ht="24" customHeight="1" x14ac:dyDescent="0.5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910</v>
      </c>
      <c r="H57" s="31">
        <v>762</v>
      </c>
      <c r="I57" s="46">
        <v>115</v>
      </c>
      <c r="J57" s="32">
        <v>115</v>
      </c>
      <c r="K57" s="33">
        <f t="shared" ref="K57:L82" si="10">G57*8/100</f>
        <v>72.8</v>
      </c>
      <c r="L57" s="47">
        <f t="shared" si="10"/>
        <v>60.96</v>
      </c>
      <c r="M57" s="308">
        <v>80</v>
      </c>
      <c r="N57" s="308">
        <v>990</v>
      </c>
      <c r="O57" s="308">
        <v>990</v>
      </c>
      <c r="P57" s="308">
        <v>252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hidden="1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/>
      <c r="F58" s="29">
        <v>690107</v>
      </c>
      <c r="G58" s="45">
        <v>905</v>
      </c>
      <c r="H58" s="31">
        <v>0</v>
      </c>
      <c r="I58" s="46">
        <v>135</v>
      </c>
      <c r="J58" s="32">
        <v>135</v>
      </c>
      <c r="K58" s="33">
        <f t="shared" si="10"/>
        <v>72.400000000000006</v>
      </c>
      <c r="L58" s="47">
        <f t="shared" si="10"/>
        <v>0</v>
      </c>
      <c r="M58" s="305">
        <v>1330</v>
      </c>
      <c r="N58" s="305">
        <v>2235</v>
      </c>
      <c r="O58" s="305">
        <v>2235</v>
      </c>
      <c r="P58" s="305">
        <v>2235</v>
      </c>
      <c r="Q58" s="35"/>
      <c r="R58" s="48"/>
      <c r="S58" s="36"/>
      <c r="T58" s="36"/>
      <c r="U58" s="37"/>
      <c r="V58" s="38"/>
      <c r="W58" s="39"/>
      <c r="X58" s="39"/>
      <c r="Y58" s="40"/>
      <c r="Z58" s="40"/>
      <c r="AA58" s="41"/>
      <c r="AB58" s="41"/>
      <c r="AC58" s="43"/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>
        <v>69011819</v>
      </c>
      <c r="F59" s="29">
        <v>690106</v>
      </c>
      <c r="G59" s="45">
        <v>976</v>
      </c>
      <c r="H59" s="31">
        <v>724</v>
      </c>
      <c r="I59" s="46">
        <v>135</v>
      </c>
      <c r="J59" s="32">
        <v>135</v>
      </c>
      <c r="K59" s="33">
        <f t="shared" si="10"/>
        <v>78.08</v>
      </c>
      <c r="L59" s="47">
        <f t="shared" si="10"/>
        <v>57.92</v>
      </c>
      <c r="M59" s="303">
        <v>2475</v>
      </c>
      <c r="N59" s="303">
        <v>976</v>
      </c>
      <c r="O59" s="303">
        <v>976</v>
      </c>
      <c r="P59" s="303">
        <v>1700</v>
      </c>
      <c r="Q59" s="35">
        <v>2285</v>
      </c>
      <c r="R59" s="48"/>
      <c r="S59" s="36">
        <v>180</v>
      </c>
      <c r="T59" s="36"/>
      <c r="U59" s="37">
        <v>20</v>
      </c>
      <c r="V59" s="38"/>
      <c r="W59" s="39">
        <f>S59*1000/39.37/Q59*31.5</f>
        <v>63.027697171368089</v>
      </c>
      <c r="X59" s="39"/>
      <c r="Y59" s="40">
        <f t="shared" ref="Y59:Z60" si="11">(AC59+W59)/2</f>
        <v>64.62884858568404</v>
      </c>
      <c r="Z59" s="40"/>
      <c r="AA59" s="41"/>
      <c r="AB59" s="42"/>
      <c r="AC59" s="43">
        <v>66.23</v>
      </c>
      <c r="AD59" s="43"/>
      <c r="AI59" s="75"/>
    </row>
    <row r="60" spans="1:35" ht="24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8">
        <v>69011829</v>
      </c>
      <c r="F60" s="29">
        <v>690106</v>
      </c>
      <c r="G60" s="45">
        <v>1000</v>
      </c>
      <c r="H60" s="31">
        <v>600</v>
      </c>
      <c r="I60" s="46">
        <v>135</v>
      </c>
      <c r="J60" s="64">
        <v>135</v>
      </c>
      <c r="K60" s="65">
        <f t="shared" si="10"/>
        <v>80</v>
      </c>
      <c r="L60" s="68">
        <f t="shared" si="10"/>
        <v>48</v>
      </c>
      <c r="M60" s="303">
        <v>2250</v>
      </c>
      <c r="N60" s="303">
        <v>450</v>
      </c>
      <c r="O60" s="303">
        <v>450</v>
      </c>
      <c r="P60" s="303">
        <v>1050</v>
      </c>
      <c r="Q60" s="35"/>
      <c r="R60" s="48">
        <v>2755</v>
      </c>
      <c r="S60" s="36"/>
      <c r="T60" s="36">
        <v>217.3</v>
      </c>
      <c r="U60" s="37"/>
      <c r="V60" s="38">
        <v>25</v>
      </c>
      <c r="W60" s="39"/>
      <c r="X60" s="39">
        <f>T60*1000/39.37/R60*31.5</f>
        <v>63.107832204775121</v>
      </c>
      <c r="Y60" s="40"/>
      <c r="Z60" s="40">
        <f t="shared" si="11"/>
        <v>64.123916102387568</v>
      </c>
      <c r="AA60" s="41"/>
      <c r="AB60" s="42"/>
      <c r="AC60" s="43"/>
      <c r="AD60" s="43">
        <v>65.14</v>
      </c>
    </row>
    <row r="61" spans="1:35" ht="24.75" hidden="1" customHeight="1" x14ac:dyDescent="0.4">
      <c r="A61" s="251" t="s">
        <v>124</v>
      </c>
      <c r="B61" s="246" t="s">
        <v>121</v>
      </c>
      <c r="C61" s="253" t="s">
        <v>120</v>
      </c>
      <c r="D61" s="256" t="s">
        <v>314</v>
      </c>
      <c r="E61" s="28"/>
      <c r="F61" s="29">
        <v>690136</v>
      </c>
      <c r="G61" s="45">
        <v>985</v>
      </c>
      <c r="H61" s="31">
        <v>0</v>
      </c>
      <c r="I61" s="46">
        <v>135</v>
      </c>
      <c r="J61" s="64">
        <v>135</v>
      </c>
      <c r="K61" s="65">
        <f t="shared" si="10"/>
        <v>78.8</v>
      </c>
      <c r="L61" s="68">
        <f t="shared" si="10"/>
        <v>0</v>
      </c>
      <c r="M61" s="303">
        <v>555</v>
      </c>
      <c r="N61" s="303">
        <v>1540</v>
      </c>
      <c r="O61" s="303">
        <v>1540</v>
      </c>
      <c r="P61" s="303">
        <v>1540</v>
      </c>
      <c r="Q61" s="48"/>
      <c r="R61" s="36"/>
      <c r="S61" s="36"/>
      <c r="T61" s="37"/>
      <c r="U61" s="38"/>
      <c r="V61" s="39"/>
      <c r="W61" s="39"/>
      <c r="X61" s="40"/>
      <c r="Y61" s="40"/>
      <c r="Z61" s="41"/>
      <c r="AA61" s="42"/>
      <c r="AB61" s="43"/>
      <c r="AC61" s="43"/>
      <c r="AD61" s="43"/>
    </row>
    <row r="62" spans="1:35" ht="24" hidden="1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314</v>
      </c>
      <c r="E62" s="28"/>
      <c r="F62" s="29">
        <v>690108</v>
      </c>
      <c r="G62" s="45">
        <v>1085</v>
      </c>
      <c r="H62" s="31">
        <v>0</v>
      </c>
      <c r="I62" s="46">
        <v>135</v>
      </c>
      <c r="J62" s="32">
        <v>135</v>
      </c>
      <c r="K62" s="33">
        <f t="shared" si="10"/>
        <v>86.8</v>
      </c>
      <c r="L62" s="47">
        <f t="shared" si="10"/>
        <v>0</v>
      </c>
      <c r="M62" s="306">
        <v>575</v>
      </c>
      <c r="N62" s="306">
        <v>1660</v>
      </c>
      <c r="O62" s="306">
        <v>1660</v>
      </c>
      <c r="P62" s="306">
        <v>1660</v>
      </c>
      <c r="Q62" s="48"/>
      <c r="R62" s="36"/>
      <c r="S62" s="36"/>
      <c r="T62" s="37"/>
      <c r="U62" s="38"/>
      <c r="V62" s="39"/>
      <c r="W62" s="39"/>
      <c r="X62" s="40"/>
      <c r="Y62" s="40"/>
      <c r="Z62" s="41"/>
      <c r="AA62" s="42"/>
      <c r="AB62" s="43"/>
      <c r="AC62" s="43"/>
      <c r="AD62" s="43"/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57</v>
      </c>
      <c r="E63" s="28"/>
      <c r="F63" s="29">
        <v>690106</v>
      </c>
      <c r="G63" s="45">
        <v>750</v>
      </c>
      <c r="H63" s="31">
        <v>750</v>
      </c>
      <c r="I63" s="46">
        <v>135</v>
      </c>
      <c r="J63" s="64">
        <v>135</v>
      </c>
      <c r="K63" s="65">
        <f t="shared" si="10"/>
        <v>60</v>
      </c>
      <c r="L63" s="68">
        <f t="shared" si="10"/>
        <v>60</v>
      </c>
      <c r="M63" s="303">
        <v>1000</v>
      </c>
      <c r="N63" s="303">
        <v>1750</v>
      </c>
      <c r="O63" s="303">
        <v>1750</v>
      </c>
      <c r="P63" s="303">
        <v>50</v>
      </c>
      <c r="Q63" s="35"/>
      <c r="R63" s="48"/>
      <c r="S63" s="36"/>
      <c r="T63" s="36"/>
      <c r="U63" s="37"/>
      <c r="V63" s="38"/>
      <c r="W63" s="39"/>
      <c r="X63" s="39"/>
      <c r="Y63" s="40"/>
      <c r="Z63" s="40"/>
      <c r="AA63" s="41"/>
      <c r="AB63" s="42"/>
      <c r="AC63" s="43"/>
      <c r="AD63" s="43"/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/>
      <c r="F64" s="29">
        <v>690106</v>
      </c>
      <c r="G64" s="45">
        <v>920</v>
      </c>
      <c r="H64" s="31">
        <v>930</v>
      </c>
      <c r="I64" s="46">
        <v>135</v>
      </c>
      <c r="J64" s="64">
        <v>135</v>
      </c>
      <c r="K64" s="65">
        <f t="shared" si="10"/>
        <v>73.599999999999994</v>
      </c>
      <c r="L64" s="76">
        <f t="shared" si="10"/>
        <v>74.400000000000006</v>
      </c>
      <c r="M64" s="303">
        <v>1380</v>
      </c>
      <c r="N64" s="303">
        <v>2300</v>
      </c>
      <c r="O64" s="303">
        <v>2300</v>
      </c>
      <c r="P64" s="303">
        <v>220</v>
      </c>
      <c r="Q64" s="48"/>
      <c r="R64" s="36"/>
      <c r="S64" s="36"/>
      <c r="T64" s="37"/>
      <c r="U64" s="38"/>
      <c r="V64" s="39"/>
      <c r="W64" s="39"/>
      <c r="X64" s="40"/>
      <c r="Y64" s="40"/>
      <c r="Z64" s="41"/>
      <c r="AA64" s="42"/>
      <c r="AB64" s="43"/>
      <c r="AC64" s="43"/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/>
      <c r="F65" s="29">
        <v>690106</v>
      </c>
      <c r="G65" s="69">
        <v>900</v>
      </c>
      <c r="H65" s="31">
        <v>870</v>
      </c>
      <c r="I65" s="46">
        <v>135</v>
      </c>
      <c r="J65" s="32">
        <v>135</v>
      </c>
      <c r="K65" s="33">
        <f t="shared" si="10"/>
        <v>72</v>
      </c>
      <c r="L65" s="47">
        <f t="shared" si="10"/>
        <v>69.599999999999994</v>
      </c>
      <c r="M65" s="303">
        <v>1050</v>
      </c>
      <c r="N65" s="303">
        <v>1950</v>
      </c>
      <c r="O65" s="303">
        <v>1950</v>
      </c>
      <c r="P65" s="303">
        <v>200</v>
      </c>
      <c r="Q65" s="35"/>
      <c r="R65" s="48"/>
      <c r="S65" s="36"/>
      <c r="T65" s="36"/>
      <c r="U65" s="37"/>
      <c r="V65" s="38"/>
      <c r="W65" s="39"/>
      <c r="X65" s="39"/>
      <c r="Y65" s="40"/>
      <c r="Z65" s="40"/>
      <c r="AA65" s="41"/>
      <c r="AB65" s="42"/>
      <c r="AC65" s="43"/>
      <c r="AD65" s="43"/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950</v>
      </c>
      <c r="H66" s="31">
        <v>730</v>
      </c>
      <c r="I66" s="46">
        <v>135</v>
      </c>
      <c r="J66" s="32">
        <v>135</v>
      </c>
      <c r="K66" s="33">
        <f t="shared" si="10"/>
        <v>76</v>
      </c>
      <c r="L66" s="47">
        <f t="shared" si="10"/>
        <v>58.4</v>
      </c>
      <c r="M66" s="303">
        <v>1120</v>
      </c>
      <c r="N66" s="303">
        <v>470</v>
      </c>
      <c r="O66" s="303">
        <v>470</v>
      </c>
      <c r="P66" s="303">
        <v>1200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/>
      <c r="F67" s="29">
        <v>690128</v>
      </c>
      <c r="G67" s="45">
        <v>700</v>
      </c>
      <c r="H67" s="31">
        <v>418</v>
      </c>
      <c r="I67" s="46">
        <v>135</v>
      </c>
      <c r="J67" s="32">
        <v>135</v>
      </c>
      <c r="K67" s="33">
        <f t="shared" si="10"/>
        <v>56</v>
      </c>
      <c r="L67" s="47">
        <f t="shared" si="10"/>
        <v>33.44</v>
      </c>
      <c r="M67" s="303">
        <v>425</v>
      </c>
      <c r="N67" s="303">
        <v>1125</v>
      </c>
      <c r="O67" s="303">
        <v>1125</v>
      </c>
      <c r="P67" s="303">
        <v>0</v>
      </c>
      <c r="Q67" s="35"/>
      <c r="R67" s="48"/>
      <c r="S67" s="36"/>
      <c r="T67" s="36"/>
      <c r="U67" s="37"/>
      <c r="V67" s="38"/>
      <c r="W67" s="39"/>
      <c r="X67" s="39"/>
      <c r="Y67" s="40"/>
      <c r="Z67" s="40"/>
      <c r="AA67" s="41"/>
      <c r="AB67" s="235"/>
      <c r="AC67" s="239"/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47</v>
      </c>
      <c r="E68" s="28"/>
      <c r="F68" s="29">
        <v>690119</v>
      </c>
      <c r="G68" s="69">
        <v>912</v>
      </c>
      <c r="H68" s="31">
        <v>866</v>
      </c>
      <c r="I68" s="46">
        <v>130</v>
      </c>
      <c r="J68" s="32">
        <v>130</v>
      </c>
      <c r="K68" s="33">
        <f t="shared" si="10"/>
        <v>72.959999999999994</v>
      </c>
      <c r="L68" s="47">
        <f t="shared" si="10"/>
        <v>69.28</v>
      </c>
      <c r="M68" s="303">
        <v>1109</v>
      </c>
      <c r="N68" s="303">
        <v>2021</v>
      </c>
      <c r="O68" s="303">
        <v>2021</v>
      </c>
      <c r="P68" s="303">
        <v>387</v>
      </c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140</v>
      </c>
      <c r="E69" s="28"/>
      <c r="F69" s="29">
        <v>690119</v>
      </c>
      <c r="G69" s="69">
        <v>845</v>
      </c>
      <c r="H69" s="31">
        <v>940</v>
      </c>
      <c r="I69" s="46">
        <v>780</v>
      </c>
      <c r="J69" s="32">
        <v>780</v>
      </c>
      <c r="K69" s="33">
        <f t="shared" si="10"/>
        <v>67.599999999999994</v>
      </c>
      <c r="L69" s="47">
        <f t="shared" si="10"/>
        <v>75.2</v>
      </c>
      <c r="M69" s="303">
        <v>1956</v>
      </c>
      <c r="N69" s="303">
        <v>301</v>
      </c>
      <c r="O69" s="303">
        <v>301</v>
      </c>
      <c r="P69" s="303">
        <v>1241</v>
      </c>
      <c r="Q69" s="35"/>
      <c r="R69" s="48"/>
      <c r="S69" s="36"/>
      <c r="T69" s="36"/>
      <c r="U69" s="37"/>
      <c r="V69" s="38"/>
      <c r="W69" s="39"/>
      <c r="X69" s="39"/>
      <c r="Y69" s="40"/>
      <c r="Z69" s="40"/>
      <c r="AA69" s="41"/>
      <c r="AB69" s="42"/>
      <c r="AC69" s="43"/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57</v>
      </c>
      <c r="E70" s="28">
        <v>69011827</v>
      </c>
      <c r="F70" s="29">
        <v>690119</v>
      </c>
      <c r="G70" s="45">
        <v>850</v>
      </c>
      <c r="H70" s="31">
        <v>925</v>
      </c>
      <c r="I70" s="46">
        <v>780</v>
      </c>
      <c r="J70" s="32">
        <v>780</v>
      </c>
      <c r="K70" s="33">
        <f t="shared" si="10"/>
        <v>68</v>
      </c>
      <c r="L70" s="47">
        <f t="shared" si="10"/>
        <v>74</v>
      </c>
      <c r="M70" s="308">
        <v>2108</v>
      </c>
      <c r="N70" s="308">
        <v>458</v>
      </c>
      <c r="O70" s="308">
        <v>458</v>
      </c>
      <c r="P70" s="308">
        <v>1383</v>
      </c>
      <c r="Q70" s="35"/>
      <c r="R70" s="48">
        <v>2500</v>
      </c>
      <c r="S70" s="36"/>
      <c r="T70" s="36">
        <v>200.1</v>
      </c>
      <c r="U70" s="37"/>
      <c r="V70" s="38">
        <v>25</v>
      </c>
      <c r="W70" s="39"/>
      <c r="X70" s="39">
        <f>T70*1000/39.37/R70*31.5</f>
        <v>64.040132080264158</v>
      </c>
      <c r="Y70" s="40"/>
      <c r="Z70" s="40">
        <f t="shared" ref="Z70" si="12">(AD70+X70)/2</f>
        <v>65.505066040132078</v>
      </c>
      <c r="AA70" s="41"/>
      <c r="AB70" s="42"/>
      <c r="AC70" s="43"/>
      <c r="AD70" s="43">
        <v>66.97</v>
      </c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57</v>
      </c>
      <c r="E71" s="28"/>
      <c r="F71" s="29">
        <v>690106</v>
      </c>
      <c r="G71" s="45">
        <v>850</v>
      </c>
      <c r="H71" s="31">
        <v>925</v>
      </c>
      <c r="I71" s="46">
        <v>780</v>
      </c>
      <c r="J71" s="32">
        <v>780</v>
      </c>
      <c r="K71" s="33">
        <f t="shared" si="10"/>
        <v>68</v>
      </c>
      <c r="L71" s="47">
        <f t="shared" si="10"/>
        <v>74</v>
      </c>
      <c r="M71" s="305">
        <v>1243</v>
      </c>
      <c r="N71" s="305">
        <v>2093</v>
      </c>
      <c r="O71" s="305">
        <v>2093</v>
      </c>
      <c r="P71" s="305">
        <v>518</v>
      </c>
      <c r="Q71" s="35"/>
      <c r="R71" s="48"/>
      <c r="S71" s="36"/>
      <c r="T71" s="36"/>
      <c r="U71" s="37"/>
      <c r="V71" s="38"/>
      <c r="W71" s="39"/>
      <c r="X71" s="39"/>
      <c r="Y71" s="40"/>
      <c r="Z71" s="40"/>
      <c r="AA71" s="41"/>
      <c r="AB71" s="42"/>
      <c r="AC71" s="43"/>
      <c r="AD71" s="43"/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57</v>
      </c>
      <c r="E72" s="28">
        <v>69011828</v>
      </c>
      <c r="F72" s="29">
        <v>690104</v>
      </c>
      <c r="G72" s="77">
        <v>811</v>
      </c>
      <c r="H72" s="31">
        <v>940</v>
      </c>
      <c r="I72" s="63">
        <v>780</v>
      </c>
      <c r="J72" s="64">
        <v>780</v>
      </c>
      <c r="K72" s="65">
        <f t="shared" si="10"/>
        <v>64.88</v>
      </c>
      <c r="L72" s="47">
        <f t="shared" si="10"/>
        <v>75.2</v>
      </c>
      <c r="M72" s="303">
        <v>2093</v>
      </c>
      <c r="N72" s="303">
        <v>404</v>
      </c>
      <c r="O72" s="303">
        <v>404</v>
      </c>
      <c r="P72" s="303">
        <v>1344</v>
      </c>
      <c r="Q72" s="35"/>
      <c r="R72" s="48">
        <v>2480</v>
      </c>
      <c r="S72" s="36"/>
      <c r="T72" s="36">
        <v>195.4</v>
      </c>
      <c r="U72" s="37"/>
      <c r="V72" s="38">
        <v>25</v>
      </c>
      <c r="W72" s="39"/>
      <c r="X72" s="39">
        <f>T72*1000/39.37/R72*31.5</f>
        <v>63.04026317730056</v>
      </c>
      <c r="Y72" s="40"/>
      <c r="Z72" s="40">
        <f t="shared" ref="Z72:Z73" si="13">(AD72+X72)/2</f>
        <v>64.700131588650279</v>
      </c>
      <c r="AA72" s="41"/>
      <c r="AB72" s="42"/>
      <c r="AC72" s="43"/>
      <c r="AD72" s="43">
        <v>66.36</v>
      </c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314</v>
      </c>
      <c r="E73" s="28">
        <v>69011823</v>
      </c>
      <c r="F73" s="29">
        <v>690136</v>
      </c>
      <c r="G73" s="78">
        <v>619</v>
      </c>
      <c r="H73" s="31">
        <v>947</v>
      </c>
      <c r="I73" s="63">
        <v>780</v>
      </c>
      <c r="J73" s="64">
        <v>780</v>
      </c>
      <c r="K73" s="65">
        <f t="shared" si="10"/>
        <v>49.52</v>
      </c>
      <c r="L73" s="47">
        <f t="shared" si="10"/>
        <v>75.760000000000005</v>
      </c>
      <c r="M73" s="303">
        <v>2242</v>
      </c>
      <c r="N73" s="303">
        <v>361</v>
      </c>
      <c r="O73" s="303">
        <v>361</v>
      </c>
      <c r="P73" s="303">
        <v>1308</v>
      </c>
      <c r="Q73" s="35"/>
      <c r="R73" s="48">
        <v>2480</v>
      </c>
      <c r="S73" s="36"/>
      <c r="T73" s="36">
        <v>202.9</v>
      </c>
      <c r="U73" s="37"/>
      <c r="V73" s="38">
        <v>25</v>
      </c>
      <c r="W73" s="39"/>
      <c r="X73" s="39">
        <f>T73*1000/39.37/R73*38.5</f>
        <v>80.006575335731327</v>
      </c>
      <c r="Y73" s="40"/>
      <c r="Z73" s="40">
        <f t="shared" si="13"/>
        <v>80.243287667865673</v>
      </c>
      <c r="AA73" s="41"/>
      <c r="AB73" s="42"/>
      <c r="AC73" s="43"/>
      <c r="AD73" s="43">
        <v>80.48</v>
      </c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47</v>
      </c>
      <c r="E74" s="28"/>
      <c r="F74" s="29">
        <v>690107</v>
      </c>
      <c r="G74" s="79">
        <v>780</v>
      </c>
      <c r="H74" s="31">
        <v>865</v>
      </c>
      <c r="I74" s="63">
        <v>780</v>
      </c>
      <c r="J74" s="64">
        <v>780</v>
      </c>
      <c r="K74" s="65">
        <f t="shared" si="10"/>
        <v>62.4</v>
      </c>
      <c r="L74" s="68">
        <f t="shared" si="10"/>
        <v>69.2</v>
      </c>
      <c r="M74" s="303">
        <v>1895</v>
      </c>
      <c r="N74" s="303">
        <v>175</v>
      </c>
      <c r="O74" s="303">
        <v>175</v>
      </c>
      <c r="P74" s="303">
        <v>1040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59</v>
      </c>
      <c r="E75" s="28">
        <v>69011810</v>
      </c>
      <c r="F75" s="29">
        <v>690109</v>
      </c>
      <c r="G75" s="80">
        <v>922</v>
      </c>
      <c r="H75" s="31">
        <v>731</v>
      </c>
      <c r="I75" s="46">
        <v>800</v>
      </c>
      <c r="J75" s="32">
        <v>800</v>
      </c>
      <c r="K75" s="33">
        <f t="shared" si="10"/>
        <v>73.760000000000005</v>
      </c>
      <c r="L75" s="47">
        <f t="shared" si="10"/>
        <v>58.48</v>
      </c>
      <c r="M75" s="303">
        <v>565</v>
      </c>
      <c r="N75" s="303">
        <v>1487</v>
      </c>
      <c r="O75" s="303">
        <v>1487</v>
      </c>
      <c r="P75" s="303">
        <v>218</v>
      </c>
      <c r="Q75" s="48">
        <v>2000</v>
      </c>
      <c r="R75" s="48"/>
      <c r="S75" s="317">
        <v>158.1</v>
      </c>
      <c r="T75" s="36"/>
      <c r="U75" s="37"/>
      <c r="V75" s="38"/>
      <c r="W75" s="39">
        <f>S75*1000/39.37/Q75*38.5</f>
        <v>77.303149606299215</v>
      </c>
      <c r="X75" s="39"/>
      <c r="Y75" s="40">
        <f t="shared" ref="Y75:Z76" si="14">(AC75+W75)/2</f>
        <v>77.981574803149613</v>
      </c>
      <c r="Z75" s="40"/>
      <c r="AA75" s="41"/>
      <c r="AB75" s="42"/>
      <c r="AC75" s="43">
        <v>78.66</v>
      </c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146</v>
      </c>
      <c r="E76" s="28">
        <v>69011825</v>
      </c>
      <c r="F76" s="29">
        <v>690109</v>
      </c>
      <c r="G76" s="45">
        <v>940</v>
      </c>
      <c r="H76" s="31">
        <v>777</v>
      </c>
      <c r="I76" s="46">
        <v>800</v>
      </c>
      <c r="J76" s="32">
        <v>800</v>
      </c>
      <c r="K76" s="33">
        <f t="shared" si="10"/>
        <v>75.2</v>
      </c>
      <c r="L76" s="47">
        <f t="shared" si="10"/>
        <v>62.16</v>
      </c>
      <c r="M76" s="303">
        <v>1575</v>
      </c>
      <c r="N76" s="303">
        <v>515</v>
      </c>
      <c r="O76" s="303">
        <v>515</v>
      </c>
      <c r="P76" s="303">
        <v>1292</v>
      </c>
      <c r="Q76" s="48"/>
      <c r="R76" s="48">
        <v>2000</v>
      </c>
      <c r="S76" s="36"/>
      <c r="T76" s="36">
        <v>153.9</v>
      </c>
      <c r="U76" s="37"/>
      <c r="V76" s="38"/>
      <c r="W76" s="39"/>
      <c r="X76" s="39">
        <f>T76*1000/39.37/R76*38.5</f>
        <v>75.249555499110997</v>
      </c>
      <c r="Y76" s="40"/>
      <c r="Z76" s="40">
        <f t="shared" si="14"/>
        <v>75.394777749555502</v>
      </c>
      <c r="AA76" s="41"/>
      <c r="AB76" s="42"/>
      <c r="AC76" s="43"/>
      <c r="AD76" s="43">
        <v>75.540000000000006</v>
      </c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146</v>
      </c>
      <c r="E77" s="28"/>
      <c r="F77" s="29">
        <v>690109</v>
      </c>
      <c r="G77" s="45">
        <v>1030</v>
      </c>
      <c r="H77" s="31">
        <v>811</v>
      </c>
      <c r="I77" s="46">
        <v>800</v>
      </c>
      <c r="J77" s="32">
        <v>800</v>
      </c>
      <c r="K77" s="33">
        <f t="shared" si="10"/>
        <v>82.4</v>
      </c>
      <c r="L77" s="47">
        <f t="shared" si="10"/>
        <v>64.88</v>
      </c>
      <c r="M77" s="303">
        <v>1341</v>
      </c>
      <c r="N77" s="303">
        <v>371</v>
      </c>
      <c r="O77" s="303">
        <v>371</v>
      </c>
      <c r="P77" s="303">
        <v>1182</v>
      </c>
      <c r="Q77" s="48"/>
      <c r="R77" s="36"/>
      <c r="S77" s="36"/>
      <c r="T77" s="37"/>
      <c r="U77" s="38"/>
      <c r="V77" s="39"/>
      <c r="W77" s="39"/>
      <c r="X77" s="40"/>
      <c r="Y77" s="40"/>
      <c r="Z77" s="41"/>
      <c r="AA77" s="42"/>
      <c r="AB77" s="43"/>
      <c r="AC77" s="43"/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146</v>
      </c>
      <c r="E78" s="28"/>
      <c r="F78" s="29">
        <v>690106</v>
      </c>
      <c r="G78" s="45">
        <v>1045</v>
      </c>
      <c r="H78" s="31">
        <v>933</v>
      </c>
      <c r="I78" s="46">
        <v>800</v>
      </c>
      <c r="J78" s="32">
        <v>800</v>
      </c>
      <c r="K78" s="33">
        <f t="shared" si="10"/>
        <v>83.6</v>
      </c>
      <c r="L78" s="47">
        <f t="shared" si="10"/>
        <v>74.64</v>
      </c>
      <c r="M78" s="303">
        <v>1394</v>
      </c>
      <c r="N78" s="303">
        <v>439</v>
      </c>
      <c r="O78" s="303">
        <v>439</v>
      </c>
      <c r="P78" s="303">
        <v>1372</v>
      </c>
      <c r="Q78" s="48"/>
      <c r="R78" s="36"/>
      <c r="S78" s="36"/>
      <c r="T78" s="37"/>
      <c r="U78" s="38"/>
      <c r="V78" s="39"/>
      <c r="W78" s="39"/>
      <c r="X78" s="40"/>
      <c r="Y78" s="40"/>
      <c r="Z78" s="41"/>
      <c r="AA78" s="42"/>
      <c r="AB78" s="43"/>
      <c r="AC78" s="43"/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146</v>
      </c>
      <c r="E79" s="28">
        <v>69011809</v>
      </c>
      <c r="F79" s="29">
        <v>690109</v>
      </c>
      <c r="G79" s="45">
        <v>1102</v>
      </c>
      <c r="H79" s="31">
        <v>808</v>
      </c>
      <c r="I79" s="46">
        <v>800</v>
      </c>
      <c r="J79" s="32">
        <v>800</v>
      </c>
      <c r="K79" s="33"/>
      <c r="L79" s="47">
        <f t="shared" si="10"/>
        <v>64.64</v>
      </c>
      <c r="M79" s="303">
        <v>583</v>
      </c>
      <c r="N79" s="303">
        <v>1685</v>
      </c>
      <c r="O79" s="303">
        <v>1685</v>
      </c>
      <c r="P79" s="303">
        <v>493</v>
      </c>
      <c r="Q79" s="48">
        <v>2000</v>
      </c>
      <c r="R79" s="48"/>
      <c r="S79" s="36">
        <v>151</v>
      </c>
      <c r="T79" s="36"/>
      <c r="U79" s="37"/>
      <c r="V79" s="38"/>
      <c r="W79" s="39">
        <f>S79*1000/39.37/Q79*38.5</f>
        <v>73.831597663195339</v>
      </c>
      <c r="X79" s="39"/>
      <c r="Y79" s="40">
        <f t="shared" ref="Y79:Z82" si="15">(AC79+W79)/2</f>
        <v>74.960798831597671</v>
      </c>
      <c r="Z79" s="40"/>
      <c r="AA79" s="41"/>
      <c r="AB79" s="42"/>
      <c r="AC79" s="43">
        <v>76.09</v>
      </c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146</v>
      </c>
      <c r="E80" s="259" t="s">
        <v>359</v>
      </c>
      <c r="F80" s="29">
        <v>690109</v>
      </c>
      <c r="G80" s="45">
        <v>1100</v>
      </c>
      <c r="H80" s="31">
        <v>874</v>
      </c>
      <c r="I80" s="46">
        <v>800</v>
      </c>
      <c r="J80" s="32">
        <v>800</v>
      </c>
      <c r="K80" s="33">
        <f t="shared" si="10"/>
        <v>88</v>
      </c>
      <c r="L80" s="47">
        <f t="shared" si="10"/>
        <v>69.92</v>
      </c>
      <c r="M80" s="303">
        <v>0</v>
      </c>
      <c r="N80" s="303">
        <v>1100</v>
      </c>
      <c r="O80" s="303">
        <v>1100</v>
      </c>
      <c r="P80" s="303">
        <v>1974</v>
      </c>
      <c r="Q80" s="35">
        <v>606</v>
      </c>
      <c r="R80" s="48">
        <v>2000</v>
      </c>
      <c r="S80" s="36">
        <v>44.1</v>
      </c>
      <c r="T80" s="36">
        <v>146.9</v>
      </c>
      <c r="U80" s="37"/>
      <c r="V80" s="38"/>
      <c r="W80" s="39">
        <f>S80*1000/39.37/Q80*38.5</f>
        <v>71.164152229294572</v>
      </c>
      <c r="X80" s="39">
        <f>T80*1000/39.37/R80*38.5</f>
        <v>71.826898653797315</v>
      </c>
      <c r="Y80" s="40">
        <f t="shared" si="15"/>
        <v>72.452076114647284</v>
      </c>
      <c r="Z80" s="40">
        <f t="shared" si="15"/>
        <v>73.133449326898656</v>
      </c>
      <c r="AA80" s="41"/>
      <c r="AB80" s="42"/>
      <c r="AC80" s="43">
        <v>73.739999999999995</v>
      </c>
      <c r="AD80" s="43">
        <v>74.44</v>
      </c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146</v>
      </c>
      <c r="E81" s="28">
        <v>69011806</v>
      </c>
      <c r="F81" s="29">
        <v>690109</v>
      </c>
      <c r="G81" s="45">
        <v>1090</v>
      </c>
      <c r="H81" s="31">
        <v>866</v>
      </c>
      <c r="I81" s="46">
        <v>800</v>
      </c>
      <c r="J81" s="32">
        <v>800</v>
      </c>
      <c r="K81" s="33">
        <f t="shared" si="10"/>
        <v>87.2</v>
      </c>
      <c r="L81" s="47">
        <f t="shared" si="10"/>
        <v>69.28</v>
      </c>
      <c r="M81" s="303">
        <v>2</v>
      </c>
      <c r="N81" s="303">
        <v>1092</v>
      </c>
      <c r="O81" s="303">
        <v>1092</v>
      </c>
      <c r="P81" s="303">
        <v>1958</v>
      </c>
      <c r="Q81" s="35">
        <v>2000</v>
      </c>
      <c r="R81" s="48"/>
      <c r="S81" s="36">
        <v>151.1</v>
      </c>
      <c r="T81" s="36"/>
      <c r="U81" s="37"/>
      <c r="V81" s="38"/>
      <c r="W81" s="39">
        <f>S81*1000/39.37/Q81*38.5</f>
        <v>73.880492760985518</v>
      </c>
      <c r="X81" s="39"/>
      <c r="Y81" s="40">
        <f t="shared" si="15"/>
        <v>75.670246380492756</v>
      </c>
      <c r="Z81" s="40"/>
      <c r="AA81" s="41"/>
      <c r="AB81" s="42"/>
      <c r="AC81" s="43">
        <v>77.459999999999994</v>
      </c>
      <c r="AD81" s="43"/>
    </row>
    <row r="82" spans="1:34" ht="24" customHeight="1" thickBot="1" x14ac:dyDescent="0.45">
      <c r="A82" s="249" t="s">
        <v>148</v>
      </c>
      <c r="B82" s="246" t="s">
        <v>116</v>
      </c>
      <c r="C82" s="253" t="s">
        <v>63</v>
      </c>
      <c r="D82" s="256" t="s">
        <v>146</v>
      </c>
      <c r="E82" s="28">
        <v>69011805</v>
      </c>
      <c r="F82" s="29">
        <v>690109</v>
      </c>
      <c r="G82" s="45">
        <v>1060</v>
      </c>
      <c r="H82" s="31">
        <v>856</v>
      </c>
      <c r="I82" s="46">
        <v>800</v>
      </c>
      <c r="J82" s="32">
        <v>800</v>
      </c>
      <c r="K82" s="33">
        <f t="shared" si="10"/>
        <v>84.8</v>
      </c>
      <c r="L82" s="47">
        <f t="shared" si="10"/>
        <v>68.48</v>
      </c>
      <c r="M82" s="303">
        <v>685</v>
      </c>
      <c r="N82" s="303">
        <v>1745</v>
      </c>
      <c r="O82" s="303">
        <v>1745</v>
      </c>
      <c r="P82" s="303">
        <v>601</v>
      </c>
      <c r="Q82" s="35">
        <v>2000</v>
      </c>
      <c r="R82" s="48"/>
      <c r="S82" s="36">
        <v>147.5</v>
      </c>
      <c r="T82" s="36"/>
      <c r="U82" s="37"/>
      <c r="V82" s="38"/>
      <c r="W82" s="39">
        <f>S82*1000/39.37/Q82*38.5</f>
        <v>72.120269240538491</v>
      </c>
      <c r="X82" s="39"/>
      <c r="Y82" s="40">
        <f t="shared" si="15"/>
        <v>73.235134620269235</v>
      </c>
      <c r="Z82" s="40"/>
      <c r="AA82" s="41"/>
      <c r="AB82" s="42"/>
      <c r="AC82" s="43">
        <v>74.349999999999994</v>
      </c>
      <c r="AD82" s="43"/>
    </row>
    <row r="83" spans="1:34" ht="24" hidden="1" customHeight="1" x14ac:dyDescent="0.45">
      <c r="A83" s="71" t="s">
        <v>214</v>
      </c>
      <c r="B83" s="26"/>
      <c r="C83" s="254"/>
      <c r="D83" s="49" t="s">
        <v>104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16">G83*8/100</f>
        <v>0</v>
      </c>
      <c r="L83" s="47">
        <f t="shared" si="16"/>
        <v>0</v>
      </c>
      <c r="M83" s="303">
        <v>230</v>
      </c>
      <c r="N83" s="31"/>
      <c r="O83" s="31"/>
      <c r="P83" s="31"/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hidden="1" customHeight="1" x14ac:dyDescent="0.45">
      <c r="A84" s="71" t="s">
        <v>215</v>
      </c>
      <c r="B84" s="26"/>
      <c r="C84" s="26"/>
      <c r="D84" s="49" t="s">
        <v>104</v>
      </c>
      <c r="E84" s="28"/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1"/>
      <c r="O84" s="31"/>
      <c r="P84" s="31"/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hidden="1" customHeight="1" x14ac:dyDescent="0.45">
      <c r="A85" s="71" t="s">
        <v>149</v>
      </c>
      <c r="B85" s="26"/>
      <c r="C85" s="26"/>
      <c r="D85" s="49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17">G85*8/100</f>
        <v>0</v>
      </c>
      <c r="L85" s="47">
        <f t="shared" si="17"/>
        <v>0</v>
      </c>
      <c r="M85" s="311">
        <v>62</v>
      </c>
      <c r="N85" s="81"/>
      <c r="O85" s="81"/>
      <c r="P85" s="81"/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hidden="1" customHeight="1" x14ac:dyDescent="0.45">
      <c r="A86" s="71" t="s">
        <v>88</v>
      </c>
      <c r="B86" s="26"/>
      <c r="C86" s="26"/>
      <c r="D86" s="49" t="s">
        <v>57</v>
      </c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17"/>
        <v>0</v>
      </c>
      <c r="L86" s="47">
        <f t="shared" si="17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55301</v>
      </c>
      <c r="H87" s="86">
        <f>SUM(H6:H82)</f>
        <v>48701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30901</v>
      </c>
      <c r="R87" s="89">
        <f>SUM(R6:R86)</f>
        <v>28273</v>
      </c>
      <c r="S87" s="90">
        <f>SUM(S6:S86)</f>
        <v>2456.6999999999998</v>
      </c>
      <c r="T87" s="91">
        <f>SUM(T6:T86)</f>
        <v>2255.7000000000003</v>
      </c>
      <c r="U87" s="89">
        <f>SUM(U6:U86)</f>
        <v>75</v>
      </c>
      <c r="V87" s="89">
        <f>SUM(V6:V84)</f>
        <v>185</v>
      </c>
      <c r="W87" s="92">
        <f>SUM(W6:W86)</f>
        <v>1239.6193261178767</v>
      </c>
      <c r="X87" s="93">
        <f>SUM(X6:X86)</f>
        <v>936.50457119474072</v>
      </c>
      <c r="Y87" s="94">
        <f>SUM(Y6:Y86)</f>
        <v>1256.4896630589383</v>
      </c>
      <c r="Z87" s="95">
        <f>SUM(Z6:Z86)</f>
        <v>843.40475731539073</v>
      </c>
      <c r="AA87" s="96">
        <f>SUM(AA6:AA82)</f>
        <v>0</v>
      </c>
      <c r="AB87" s="97">
        <f>SUM(AB6:AB82)</f>
        <v>106.74</v>
      </c>
      <c r="AC87" s="98">
        <f>SUM(AC6:AC86)</f>
        <v>1273.3600000000001</v>
      </c>
      <c r="AD87" s="98">
        <f>SUM(AD6:AD86)</f>
        <v>963.79</v>
      </c>
    </row>
    <row r="88" spans="1:34" ht="24" customHeight="1" thickBot="1" x14ac:dyDescent="0.45">
      <c r="A88" s="334"/>
      <c r="B88" s="83">
        <v>65</v>
      </c>
      <c r="C88" s="83">
        <v>58</v>
      </c>
      <c r="D88" s="84"/>
      <c r="E88" s="84"/>
      <c r="F88" s="84"/>
      <c r="G88" s="341">
        <f>G87+H87</f>
        <v>104002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Q87+R87+Q134</f>
        <v>63749</v>
      </c>
      <c r="R88" s="342"/>
      <c r="S88" s="375">
        <f>S87+T87+S134</f>
        <v>5335.4</v>
      </c>
      <c r="T88" s="376"/>
      <c r="U88" s="341">
        <f>U87+V87+U134</f>
        <v>305</v>
      </c>
      <c r="V88" s="342"/>
      <c r="W88" s="375">
        <f>W87+X87+W134</f>
        <v>2575.6144077705608</v>
      </c>
      <c r="X88" s="376"/>
      <c r="Y88" s="375">
        <f>Y87+Z87+Y134</f>
        <v>2501.1996756033009</v>
      </c>
      <c r="Z88" s="376"/>
      <c r="AA88" s="375">
        <f>AA87+AB87</f>
        <v>106.74</v>
      </c>
      <c r="AB88" s="376"/>
      <c r="AC88" s="375">
        <f>AC87+AD87+AC134</f>
        <v>2640.27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361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63749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260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55301</v>
      </c>
      <c r="O91" s="108" t="s">
        <v>158</v>
      </c>
      <c r="P91" s="108"/>
      <c r="Q91" s="108" t="s">
        <v>159</v>
      </c>
      <c r="R91" s="109"/>
      <c r="S91" s="120">
        <f>H87</f>
        <v>48701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75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1.192172</v>
      </c>
      <c r="F92" s="124"/>
      <c r="G92" s="108" t="s">
        <v>162</v>
      </c>
      <c r="H92" s="125"/>
      <c r="I92" s="125">
        <v>20778</v>
      </c>
      <c r="J92" s="117" t="s">
        <v>154</v>
      </c>
      <c r="K92" s="108"/>
      <c r="L92" s="108" t="s">
        <v>163</v>
      </c>
      <c r="M92" s="108"/>
      <c r="N92" s="126">
        <f>G87/B88</f>
        <v>850.78461538461534</v>
      </c>
      <c r="O92" s="108" t="s">
        <v>158</v>
      </c>
      <c r="P92" s="108"/>
      <c r="Q92" s="108" t="s">
        <v>164</v>
      </c>
      <c r="S92" s="126">
        <f>H87/C88</f>
        <v>839.67241379310349</v>
      </c>
      <c r="T92" s="108"/>
      <c r="U92" s="108" t="s">
        <v>158</v>
      </c>
      <c r="W92" s="110"/>
      <c r="X92" s="108"/>
      <c r="Y92" s="127" t="s">
        <v>165</v>
      </c>
      <c r="AA92" s="122">
        <f>V87</f>
        <v>185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357</v>
      </c>
      <c r="F93" s="129"/>
      <c r="G93" s="108" t="s">
        <v>162</v>
      </c>
      <c r="H93" s="125"/>
      <c r="I93" s="125">
        <v>910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356</v>
      </c>
      <c r="F94" s="129"/>
      <c r="G94" s="108" t="s">
        <v>162</v>
      </c>
      <c r="H94" s="125"/>
      <c r="I94" s="125">
        <v>2000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221</v>
      </c>
      <c r="F95" s="116"/>
      <c r="G95" s="108" t="s">
        <v>162</v>
      </c>
      <c r="H95" s="125"/>
      <c r="I95" s="125">
        <v>1920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362</v>
      </c>
      <c r="F96" s="136"/>
      <c r="G96" s="108" t="s">
        <v>162</v>
      </c>
      <c r="H96" s="125"/>
      <c r="I96" s="125">
        <v>2000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341</v>
      </c>
      <c r="F97" s="129"/>
      <c r="G97" s="108" t="s">
        <v>162</v>
      </c>
      <c r="H97" s="125"/>
      <c r="I97" s="125">
        <v>2480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65</v>
      </c>
      <c r="P97" s="108" t="s">
        <v>25</v>
      </c>
      <c r="Q97" s="108"/>
      <c r="R97" s="108"/>
      <c r="S97" s="130" t="s">
        <v>177</v>
      </c>
      <c r="T97" s="138">
        <f>C88</f>
        <v>58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342</v>
      </c>
      <c r="F98" s="139"/>
      <c r="G98" s="108" t="s">
        <v>162</v>
      </c>
      <c r="H98" s="125"/>
      <c r="I98" s="125">
        <v>2480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4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1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355</v>
      </c>
      <c r="F99" s="142"/>
      <c r="G99" s="108" t="s">
        <v>162</v>
      </c>
      <c r="H99" s="125"/>
      <c r="I99" s="125">
        <v>8000</v>
      </c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184</v>
      </c>
      <c r="F100" s="148"/>
      <c r="G100" s="108" t="s">
        <v>162</v>
      </c>
      <c r="H100" s="125"/>
      <c r="I100" s="125">
        <v>2000</v>
      </c>
      <c r="J100" s="117" t="s">
        <v>154</v>
      </c>
      <c r="K100" s="8"/>
      <c r="L100" s="149" t="s">
        <v>188</v>
      </c>
      <c r="M100" s="150"/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201</v>
      </c>
      <c r="AB100" s="149" t="s">
        <v>368</v>
      </c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344</v>
      </c>
      <c r="F101" s="155"/>
      <c r="G101" s="108" t="s">
        <v>162</v>
      </c>
      <c r="H101" s="125"/>
      <c r="I101" s="125"/>
      <c r="J101" s="117" t="s">
        <v>154</v>
      </c>
      <c r="K101" s="108"/>
      <c r="L101" s="149"/>
      <c r="M101" s="150"/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345</v>
      </c>
      <c r="F102" s="262"/>
      <c r="G102" s="108" t="s">
        <v>162</v>
      </c>
      <c r="H102" s="125"/>
      <c r="I102" s="125">
        <v>4575</v>
      </c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346</v>
      </c>
      <c r="F103" s="148"/>
      <c r="G103" s="108" t="s">
        <v>162</v>
      </c>
      <c r="H103" s="125"/>
      <c r="I103" s="125">
        <v>2000</v>
      </c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/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58" t="s">
        <v>347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348</v>
      </c>
      <c r="F105" s="155"/>
      <c r="G105" s="108" t="s">
        <v>162</v>
      </c>
      <c r="H105" s="125"/>
      <c r="I105" s="125">
        <v>4000</v>
      </c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 t="s">
        <v>369</v>
      </c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353</v>
      </c>
      <c r="F106" s="155"/>
      <c r="G106" s="108" t="s">
        <v>162</v>
      </c>
      <c r="H106" s="125"/>
      <c r="I106" s="125">
        <v>10606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/>
      <c r="F107" s="155"/>
      <c r="G107" s="108"/>
      <c r="H107" s="125"/>
      <c r="I107" s="125"/>
      <c r="J107" s="117"/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s="109" customFormat="1" ht="24" customHeight="1" x14ac:dyDescent="0.55000000000000004">
      <c r="A108" s="1"/>
      <c r="B108" s="161"/>
      <c r="C108" s="1"/>
      <c r="D108" s="1"/>
      <c r="E108" s="136"/>
      <c r="F108" s="155"/>
      <c r="G108" s="108"/>
      <c r="H108" s="125"/>
      <c r="I108" s="125"/>
      <c r="J108" s="117"/>
      <c r="K108" s="117"/>
      <c r="L108" s="149"/>
      <c r="M108" s="173"/>
      <c r="N108" s="165"/>
      <c r="O108" s="165"/>
      <c r="P108" s="165"/>
      <c r="Q108" s="165"/>
      <c r="R108" s="165"/>
      <c r="S108" s="166"/>
      <c r="T108" s="165"/>
      <c r="U108" s="167"/>
      <c r="V108" s="168"/>
      <c r="W108" s="169"/>
      <c r="X108" s="170"/>
      <c r="Y108" s="149"/>
      <c r="Z108" s="149"/>
      <c r="AA108" s="149"/>
      <c r="AB108" s="149"/>
      <c r="AC108" s="171"/>
      <c r="AD108" s="163"/>
      <c r="AK108" s="172"/>
    </row>
    <row r="109" spans="1:37" ht="24" customHeight="1" x14ac:dyDescent="0.55000000000000004">
      <c r="B109" s="161"/>
      <c r="F109" s="174"/>
      <c r="G109" s="175" t="s">
        <v>288</v>
      </c>
      <c r="H109" s="108"/>
      <c r="I109" s="176"/>
      <c r="J109" s="117"/>
      <c r="K109" s="8"/>
      <c r="L109" s="173"/>
      <c r="M109" s="173"/>
      <c r="N109" s="149"/>
      <c r="O109" s="149"/>
      <c r="P109" s="177"/>
      <c r="Q109" s="165"/>
      <c r="R109" s="165"/>
      <c r="S109" s="165"/>
      <c r="T109" s="167"/>
      <c r="U109" s="167"/>
      <c r="V109" s="168"/>
      <c r="W109" s="169"/>
      <c r="X109" s="149"/>
      <c r="Y109" s="149"/>
      <c r="Z109" s="149"/>
      <c r="AA109" s="149" t="s">
        <v>228</v>
      </c>
      <c r="AB109" s="149" t="s">
        <v>229</v>
      </c>
      <c r="AC109" s="149"/>
      <c r="AD109" s="163"/>
      <c r="AF109" s="109"/>
    </row>
    <row r="110" spans="1:37" ht="24" customHeight="1" x14ac:dyDescent="0.55000000000000004">
      <c r="B110" s="161"/>
      <c r="F110" s="133"/>
      <c r="G110" s="129"/>
      <c r="H110" s="108"/>
      <c r="I110" s="176"/>
      <c r="J110" s="117"/>
      <c r="K110" s="8"/>
      <c r="M110" s="173"/>
      <c r="N110" s="149"/>
      <c r="O110" s="149"/>
      <c r="P110" s="165"/>
      <c r="Q110" s="165"/>
      <c r="R110" s="165"/>
      <c r="S110" s="165"/>
      <c r="T110" s="167"/>
      <c r="U110" s="167"/>
      <c r="V110" s="168"/>
      <c r="W110" s="169"/>
      <c r="X110" s="169"/>
      <c r="Y110" s="149"/>
      <c r="Z110" s="149"/>
      <c r="AA110" s="149" t="s">
        <v>228</v>
      </c>
      <c r="AB110" s="149" t="s">
        <v>351</v>
      </c>
      <c r="AC110" s="149"/>
      <c r="AD110" s="163"/>
      <c r="AF110" s="109"/>
    </row>
    <row r="111" spans="1:37" ht="24" customHeight="1" x14ac:dyDescent="0.55000000000000004">
      <c r="A111" s="109"/>
      <c r="B111" s="109"/>
      <c r="C111" s="109"/>
      <c r="D111" s="109"/>
      <c r="E111" s="109"/>
      <c r="F111" s="136"/>
      <c r="G111" s="136"/>
      <c r="H111" s="108"/>
      <c r="I111" s="176"/>
      <c r="J111" s="117"/>
      <c r="K111" s="109"/>
      <c r="L111" s="167"/>
      <c r="M111" s="173"/>
      <c r="N111" s="149"/>
      <c r="O111" s="149"/>
      <c r="P111" s="165"/>
      <c r="Q111" s="177"/>
      <c r="R111" s="165"/>
      <c r="S111" s="165"/>
      <c r="T111" s="167"/>
      <c r="U111" s="167"/>
      <c r="V111" s="168"/>
      <c r="W111" s="169"/>
      <c r="X111" s="149"/>
      <c r="Y111" s="149"/>
      <c r="Z111" s="149"/>
      <c r="AA111" s="149"/>
      <c r="AB111" s="178"/>
      <c r="AC111" s="149" t="s">
        <v>0</v>
      </c>
      <c r="AD111" s="113"/>
      <c r="AF111" s="109"/>
    </row>
    <row r="112" spans="1:37" ht="24" customHeight="1" x14ac:dyDescent="0.5">
      <c r="A112" s="109"/>
      <c r="B112" s="109"/>
      <c r="C112" s="109"/>
      <c r="D112" s="109"/>
      <c r="E112" s="179"/>
      <c r="F112" s="180"/>
      <c r="G112" s="139"/>
      <c r="H112" s="174"/>
      <c r="I112" s="181"/>
      <c r="J112" s="182"/>
      <c r="K112" s="174"/>
      <c r="L112" s="109"/>
      <c r="M112" s="109"/>
      <c r="N112" s="109"/>
      <c r="O112" s="109"/>
      <c r="P112" s="109"/>
      <c r="Q112" s="109"/>
      <c r="R112" s="109"/>
      <c r="S112" s="183"/>
      <c r="T112" s="109"/>
      <c r="U112" s="109"/>
      <c r="V112" s="109"/>
      <c r="W112" s="184"/>
      <c r="X112" s="185"/>
      <c r="Y112" s="186"/>
      <c r="Z112" s="108"/>
      <c r="AA112" s="109"/>
      <c r="AB112" s="109"/>
      <c r="AC112" s="109"/>
      <c r="AD112" s="113"/>
      <c r="AF112" s="109"/>
    </row>
    <row r="113" spans="1:38" s="109" customFormat="1" ht="24" customHeight="1" x14ac:dyDescent="0.5">
      <c r="A113" s="187"/>
      <c r="B113" s="187"/>
      <c r="C113" s="187" t="s">
        <v>204</v>
      </c>
      <c r="D113" s="187"/>
      <c r="E113" s="187"/>
      <c r="F113" s="180"/>
      <c r="G113" s="139"/>
      <c r="H113" s="174"/>
      <c r="I113" s="175"/>
      <c r="J113" s="108"/>
      <c r="M113" s="373" t="s">
        <v>205</v>
      </c>
      <c r="N113" s="373"/>
      <c r="O113" s="373"/>
      <c r="P113" s="373"/>
      <c r="Q113" s="373"/>
      <c r="S113" s="183"/>
      <c r="W113" s="188"/>
      <c r="X113" s="373" t="s">
        <v>205</v>
      </c>
      <c r="Y113" s="373"/>
      <c r="Z113" s="373"/>
      <c r="AA113" s="373"/>
      <c r="AB113" s="373"/>
      <c r="AC113" s="373"/>
      <c r="AD113" s="373"/>
    </row>
    <row r="114" spans="1:38" s="109" customFormat="1" ht="24" customHeight="1" x14ac:dyDescent="0.5">
      <c r="A114" s="187"/>
      <c r="B114" s="187"/>
      <c r="C114" s="187" t="s">
        <v>206</v>
      </c>
      <c r="D114" s="187"/>
      <c r="E114" s="187"/>
      <c r="F114" s="189"/>
      <c r="G114" s="108"/>
      <c r="H114" s="108"/>
      <c r="I114" s="190"/>
      <c r="J114" s="117"/>
      <c r="K114" s="118"/>
      <c r="L114" s="118"/>
      <c r="M114" s="373" t="s">
        <v>151</v>
      </c>
      <c r="N114" s="373"/>
      <c r="O114" s="373"/>
      <c r="P114" s="373"/>
      <c r="Q114" s="373"/>
      <c r="R114" s="118"/>
      <c r="S114" s="191"/>
      <c r="T114" s="118"/>
      <c r="U114" s="118"/>
      <c r="V114" s="118"/>
      <c r="W114" s="192"/>
      <c r="X114" s="373" t="s">
        <v>206</v>
      </c>
      <c r="Y114" s="373"/>
      <c r="Z114" s="373"/>
      <c r="AA114" s="373"/>
      <c r="AB114" s="373"/>
      <c r="AC114" s="373"/>
      <c r="AD114" s="373"/>
    </row>
    <row r="115" spans="1:38" s="118" customFormat="1" ht="24" customHeight="1" x14ac:dyDescent="0.5">
      <c r="A115" s="187"/>
      <c r="B115" s="187"/>
      <c r="C115" s="187"/>
      <c r="D115" s="187"/>
      <c r="E115" s="187"/>
      <c r="F115" s="374"/>
      <c r="G115" s="374"/>
      <c r="H115" s="108"/>
      <c r="I115" s="190"/>
      <c r="J115" s="117"/>
      <c r="M115" s="187"/>
      <c r="N115" s="187"/>
      <c r="O115" s="187"/>
      <c r="P115" s="187"/>
      <c r="Q115" s="187"/>
      <c r="S115" s="191"/>
      <c r="W115" s="192"/>
      <c r="X115" s="187"/>
      <c r="Y115" s="187"/>
      <c r="Z115" s="187"/>
      <c r="AA115" s="187"/>
      <c r="AB115" s="187"/>
      <c r="AC115" s="187"/>
      <c r="AD115" s="187"/>
      <c r="AL115" s="193"/>
    </row>
    <row r="116" spans="1:38" s="118" customFormat="1" ht="24" customHeight="1" x14ac:dyDescent="0.5">
      <c r="A116" s="101"/>
      <c r="B116" s="194"/>
      <c r="C116" s="194"/>
      <c r="D116" s="195"/>
      <c r="E116" s="195"/>
      <c r="F116" s="195"/>
      <c r="G116" s="196"/>
      <c r="H116" s="196"/>
      <c r="I116" s="196"/>
      <c r="J116" s="196"/>
      <c r="K116" s="196"/>
      <c r="L116" s="196"/>
      <c r="M116" s="197"/>
      <c r="N116" s="197"/>
      <c r="O116" s="197"/>
      <c r="P116" s="197"/>
      <c r="Q116" s="198"/>
      <c r="R116" s="198"/>
      <c r="S116" s="199"/>
      <c r="T116" s="199"/>
      <c r="U116" s="198"/>
      <c r="V116" s="198"/>
      <c r="W116" s="199"/>
      <c r="X116" s="199"/>
      <c r="Y116" s="200"/>
      <c r="Z116" s="200"/>
      <c r="AA116" s="201"/>
      <c r="AB116" s="201"/>
      <c r="AC116" s="202"/>
      <c r="AD116" s="202"/>
      <c r="AL116" s="193"/>
    </row>
    <row r="119" spans="1:38" ht="18.75" thickBot="1" x14ac:dyDescent="0.45"/>
    <row r="120" spans="1:38" x14ac:dyDescent="0.4">
      <c r="A120" s="368" t="s">
        <v>1</v>
      </c>
      <c r="B120" s="349" t="s">
        <v>2</v>
      </c>
      <c r="C120" s="350"/>
      <c r="D120" s="5" t="s">
        <v>3</v>
      </c>
      <c r="E120" s="7"/>
      <c r="F120" s="7"/>
      <c r="G120" s="349" t="s">
        <v>4</v>
      </c>
      <c r="H120" s="350"/>
      <c r="I120" s="349" t="s">
        <v>5</v>
      </c>
      <c r="J120" s="350"/>
      <c r="K120" s="349" t="s">
        <v>6</v>
      </c>
      <c r="L120" s="350"/>
      <c r="M120" s="370" t="s">
        <v>7</v>
      </c>
      <c r="N120" s="371"/>
      <c r="O120" s="362" t="s">
        <v>7</v>
      </c>
      <c r="P120" s="363"/>
      <c r="Q120" s="364" t="s">
        <v>8</v>
      </c>
      <c r="R120" s="365"/>
      <c r="S120" s="349" t="s">
        <v>9</v>
      </c>
      <c r="T120" s="350"/>
      <c r="U120" s="366" t="s">
        <v>10</v>
      </c>
      <c r="V120" s="367"/>
      <c r="W120" s="349" t="s">
        <v>11</v>
      </c>
      <c r="X120" s="350"/>
      <c r="Y120" s="349" t="s">
        <v>12</v>
      </c>
      <c r="Z120" s="350"/>
      <c r="AA120" s="349" t="s">
        <v>13</v>
      </c>
      <c r="AB120" s="350"/>
      <c r="AC120" s="349" t="s">
        <v>14</v>
      </c>
      <c r="AD120" s="353"/>
    </row>
    <row r="121" spans="1:38" ht="21" x14ac:dyDescent="0.4">
      <c r="A121" s="369"/>
      <c r="B121" s="351"/>
      <c r="C121" s="352"/>
      <c r="D121" s="8" t="s">
        <v>15</v>
      </c>
      <c r="E121" s="205" t="s">
        <v>16</v>
      </c>
      <c r="F121" s="9" t="s">
        <v>17</v>
      </c>
      <c r="G121" s="351"/>
      <c r="H121" s="352"/>
      <c r="I121" s="351"/>
      <c r="J121" s="352"/>
      <c r="K121" s="351"/>
      <c r="L121" s="352"/>
      <c r="M121" s="354" t="s">
        <v>18</v>
      </c>
      <c r="N121" s="355"/>
      <c r="O121" s="356" t="s">
        <v>19</v>
      </c>
      <c r="P121" s="357"/>
      <c r="Q121" s="358" t="s">
        <v>20</v>
      </c>
      <c r="R121" s="359"/>
      <c r="S121" s="351" t="s">
        <v>21</v>
      </c>
      <c r="T121" s="352"/>
      <c r="U121" s="360" t="s">
        <v>22</v>
      </c>
      <c r="V121" s="359"/>
      <c r="W121" s="351" t="s">
        <v>23</v>
      </c>
      <c r="X121" s="352"/>
      <c r="Y121" s="351"/>
      <c r="Z121" s="352"/>
      <c r="AA121" s="351"/>
      <c r="AB121" s="352"/>
      <c r="AC121" s="351" t="s">
        <v>24</v>
      </c>
      <c r="AD121" s="361"/>
    </row>
    <row r="122" spans="1:38" ht="18.75" thickBot="1" x14ac:dyDescent="0.45">
      <c r="A122" s="10" t="s">
        <v>25</v>
      </c>
      <c r="B122" s="206" t="s">
        <v>207</v>
      </c>
      <c r="C122" s="12" t="s">
        <v>208</v>
      </c>
      <c r="D122" s="13" t="s">
        <v>28</v>
      </c>
      <c r="E122" s="207"/>
      <c r="F122" s="207"/>
      <c r="G122" s="12" t="s">
        <v>26</v>
      </c>
      <c r="H122" s="12" t="s">
        <v>27</v>
      </c>
      <c r="I122" s="11" t="s">
        <v>26</v>
      </c>
      <c r="J122" s="12" t="s">
        <v>27</v>
      </c>
      <c r="K122" s="11" t="s">
        <v>29</v>
      </c>
      <c r="L122" s="14" t="s">
        <v>30</v>
      </c>
      <c r="M122" s="208" t="s">
        <v>31</v>
      </c>
      <c r="N122" s="209" t="s">
        <v>32</v>
      </c>
      <c r="O122" s="210" t="s">
        <v>31</v>
      </c>
      <c r="P122" s="211" t="s">
        <v>32</v>
      </c>
      <c r="Q122" s="19" t="s">
        <v>26</v>
      </c>
      <c r="R122" s="12" t="s">
        <v>27</v>
      </c>
      <c r="S122" s="20" t="s">
        <v>26</v>
      </c>
      <c r="T122" s="12" t="s">
        <v>27</v>
      </c>
      <c r="U122" s="19" t="s">
        <v>26</v>
      </c>
      <c r="V122" s="12" t="s">
        <v>27</v>
      </c>
      <c r="W122" s="21" t="s">
        <v>26</v>
      </c>
      <c r="X122" s="12" t="s">
        <v>27</v>
      </c>
      <c r="Y122" s="22" t="s">
        <v>26</v>
      </c>
      <c r="Z122" s="23" t="s">
        <v>27</v>
      </c>
      <c r="AA122" s="19" t="s">
        <v>26</v>
      </c>
      <c r="AB122" s="12" t="s">
        <v>27</v>
      </c>
      <c r="AC122" s="11" t="s">
        <v>26</v>
      </c>
      <c r="AD122" s="24" t="s">
        <v>27</v>
      </c>
    </row>
    <row r="123" spans="1:38" ht="30" thickBot="1" x14ac:dyDescent="0.55000000000000004">
      <c r="A123" s="212" t="s">
        <v>130</v>
      </c>
      <c r="B123" s="213" t="s">
        <v>209</v>
      </c>
      <c r="C123" s="213" t="s">
        <v>210</v>
      </c>
      <c r="D123" s="258" t="s">
        <v>237</v>
      </c>
      <c r="E123" s="326">
        <v>69011820</v>
      </c>
      <c r="F123" s="73">
        <v>690133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>
        <v>1570</v>
      </c>
      <c r="R123" s="223"/>
      <c r="S123" s="224">
        <v>213.9</v>
      </c>
      <c r="T123" s="57"/>
      <c r="U123" s="59">
        <v>15</v>
      </c>
      <c r="V123" s="59"/>
      <c r="W123" s="39">
        <f>S123*1000/39.37/Q123*38.5</f>
        <v>133.2313556346858</v>
      </c>
      <c r="X123" s="39"/>
      <c r="Y123" s="40">
        <f t="shared" ref="Y123:Y126" si="18">(AC123+W123)/2</f>
        <v>133.77067781734291</v>
      </c>
      <c r="Z123" s="40"/>
      <c r="AA123" s="225"/>
      <c r="AB123" s="226"/>
      <c r="AC123" s="227">
        <v>134.31</v>
      </c>
      <c r="AD123" s="228"/>
    </row>
    <row r="124" spans="1:38" ht="32.25" thickBot="1" x14ac:dyDescent="0.55000000000000004">
      <c r="A124" s="212" t="s">
        <v>72</v>
      </c>
      <c r="B124" s="213" t="s">
        <v>209</v>
      </c>
      <c r="C124" s="213" t="s">
        <v>210</v>
      </c>
      <c r="D124" s="258" t="s">
        <v>237</v>
      </c>
      <c r="E124" s="215"/>
      <c r="F124" s="73">
        <v>690133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22"/>
      <c r="R124" s="67"/>
      <c r="S124" s="229"/>
      <c r="T124" s="57"/>
      <c r="U124" s="58"/>
      <c r="V124" s="59"/>
      <c r="W124" s="39"/>
      <c r="X124" s="39"/>
      <c r="Y124" s="40"/>
      <c r="Z124" s="40"/>
      <c r="AA124" s="225"/>
      <c r="AB124" s="226"/>
      <c r="AC124" s="227"/>
      <c r="AD124" s="228"/>
    </row>
    <row r="125" spans="1:38" ht="32.25" thickBot="1" x14ac:dyDescent="0.55000000000000004">
      <c r="A125" s="212" t="s">
        <v>117</v>
      </c>
      <c r="B125" s="213" t="s">
        <v>209</v>
      </c>
      <c r="C125" s="213" t="s">
        <v>210</v>
      </c>
      <c r="D125" s="258" t="s">
        <v>237</v>
      </c>
      <c r="E125" s="215">
        <v>69011802</v>
      </c>
      <c r="F125" s="73">
        <v>690133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56">
        <v>1470</v>
      </c>
      <c r="R125" s="231"/>
      <c r="S125" s="57">
        <v>200</v>
      </c>
      <c r="T125" s="58"/>
      <c r="U125" s="59">
        <v>15</v>
      </c>
      <c r="V125" s="39"/>
      <c r="W125" s="39">
        <f>S125*1000/39.37/Q125*38.5</f>
        <v>133.04788514338935</v>
      </c>
      <c r="X125" s="40"/>
      <c r="Y125" s="40">
        <f t="shared" si="18"/>
        <v>134.13394257169466</v>
      </c>
      <c r="Z125" s="232"/>
      <c r="AA125" s="226"/>
      <c r="AB125" s="233"/>
      <c r="AC125" s="234">
        <v>135.22</v>
      </c>
      <c r="AD125" s="234"/>
    </row>
    <row r="126" spans="1:38" ht="30" thickBot="1" x14ac:dyDescent="0.55000000000000004">
      <c r="A126" s="212" t="s">
        <v>86</v>
      </c>
      <c r="B126" s="213" t="s">
        <v>209</v>
      </c>
      <c r="C126" s="213" t="s">
        <v>210</v>
      </c>
      <c r="D126" s="258" t="s">
        <v>237</v>
      </c>
      <c r="E126" s="326">
        <v>69011803</v>
      </c>
      <c r="F126" s="73">
        <v>690133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56">
        <v>1535</v>
      </c>
      <c r="R126" s="231"/>
      <c r="S126" s="57">
        <v>209.1</v>
      </c>
      <c r="T126" s="58"/>
      <c r="U126" s="59">
        <v>15</v>
      </c>
      <c r="V126" s="39"/>
      <c r="W126" s="39">
        <f>S126*1000/39.37/Q126*38.5</f>
        <v>133.21126967986834</v>
      </c>
      <c r="X126" s="40"/>
      <c r="Y126" s="40">
        <f t="shared" si="18"/>
        <v>133.40063483993418</v>
      </c>
      <c r="Z126" s="232"/>
      <c r="AA126" s="226"/>
      <c r="AB126" s="233"/>
      <c r="AC126" s="234">
        <v>133.59</v>
      </c>
      <c r="AD126" s="234"/>
    </row>
    <row r="127" spans="1:38" ht="32.25" thickBot="1" x14ac:dyDescent="0.55000000000000004">
      <c r="A127" s="212" t="s">
        <v>54</v>
      </c>
      <c r="B127" s="213" t="s">
        <v>209</v>
      </c>
      <c r="C127" s="213" t="s">
        <v>210</v>
      </c>
      <c r="D127" s="258" t="s">
        <v>237</v>
      </c>
      <c r="E127" s="215"/>
      <c r="F127" s="73">
        <v>690133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30"/>
      <c r="R127" s="56"/>
      <c r="S127" s="231"/>
      <c r="T127" s="57"/>
      <c r="U127" s="58"/>
      <c r="V127" s="59"/>
      <c r="W127" s="39"/>
      <c r="X127" s="39"/>
      <c r="Y127" s="40"/>
      <c r="Z127" s="40"/>
      <c r="AA127" s="232"/>
      <c r="AB127" s="226"/>
      <c r="AC127" s="233"/>
      <c r="AD127" s="234"/>
    </row>
    <row r="128" spans="1:38" ht="32.25" thickBot="1" x14ac:dyDescent="0.55000000000000004">
      <c r="A128" s="212" t="s">
        <v>40</v>
      </c>
      <c r="B128" s="213" t="s">
        <v>209</v>
      </c>
      <c r="C128" s="213" t="s">
        <v>210</v>
      </c>
      <c r="D128" s="258" t="s">
        <v>237</v>
      </c>
      <c r="E128" s="215"/>
      <c r="F128" s="73">
        <v>690133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22"/>
      <c r="R128" s="67"/>
      <c r="S128" s="229"/>
      <c r="T128" s="57"/>
      <c r="U128" s="58"/>
      <c r="V128" s="59"/>
      <c r="W128" s="39"/>
      <c r="X128" s="39"/>
      <c r="Y128" s="40"/>
      <c r="Z128" s="40"/>
      <c r="AA128" s="225"/>
      <c r="AB128" s="226"/>
      <c r="AC128" s="227"/>
      <c r="AD128" s="228"/>
    </row>
    <row r="129" spans="1:30" ht="32.25" thickBot="1" x14ac:dyDescent="0.55000000000000004">
      <c r="A129" s="212" t="s">
        <v>125</v>
      </c>
      <c r="B129" s="213" t="s">
        <v>209</v>
      </c>
      <c r="C129" s="213" t="s">
        <v>210</v>
      </c>
      <c r="D129" s="258" t="s">
        <v>237</v>
      </c>
      <c r="E129" s="215"/>
      <c r="F129" s="73">
        <v>690133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30"/>
      <c r="R129" s="56"/>
      <c r="S129" s="231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86</v>
      </c>
      <c r="B130" s="213" t="s">
        <v>209</v>
      </c>
      <c r="C130" s="213" t="s">
        <v>210</v>
      </c>
      <c r="D130" s="258" t="s">
        <v>237</v>
      </c>
      <c r="E130" s="215"/>
      <c r="F130" s="73">
        <v>690133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22"/>
      <c r="R130" s="67"/>
      <c r="S130" s="229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74</v>
      </c>
      <c r="B131" s="213" t="s">
        <v>209</v>
      </c>
      <c r="C131" s="213" t="s">
        <v>210</v>
      </c>
      <c r="D131" s="258" t="s">
        <v>237</v>
      </c>
      <c r="E131" s="215"/>
      <c r="F131" s="73">
        <v>690133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30"/>
      <c r="R131" s="56"/>
      <c r="S131" s="231"/>
      <c r="T131" s="57"/>
      <c r="U131" s="58"/>
      <c r="V131" s="59"/>
      <c r="W131" s="39"/>
      <c r="X131" s="39"/>
      <c r="Y131" s="40"/>
      <c r="Z131" s="40"/>
      <c r="AA131" s="232"/>
      <c r="AB131" s="226"/>
      <c r="AC131" s="233"/>
      <c r="AD131" s="234"/>
    </row>
    <row r="132" spans="1:30" ht="32.25" thickBot="1" x14ac:dyDescent="0.55000000000000004">
      <c r="A132" s="212" t="s">
        <v>102</v>
      </c>
      <c r="B132" s="213" t="s">
        <v>209</v>
      </c>
      <c r="C132" s="213" t="s">
        <v>210</v>
      </c>
      <c r="D132" s="258" t="s">
        <v>211</v>
      </c>
      <c r="E132" s="215"/>
      <c r="F132" s="73">
        <v>690134</v>
      </c>
      <c r="G132" s="216"/>
      <c r="H132" s="217"/>
      <c r="I132" s="46">
        <v>800</v>
      </c>
      <c r="J132" s="32">
        <v>800</v>
      </c>
      <c r="K132" s="218"/>
      <c r="L132" s="218"/>
      <c r="M132" s="219"/>
      <c r="N132" s="220"/>
      <c r="O132" s="220"/>
      <c r="P132" s="221"/>
      <c r="Q132" s="222"/>
      <c r="R132" s="223"/>
      <c r="S132" s="224"/>
      <c r="T132" s="57"/>
      <c r="U132" s="59"/>
      <c r="V132" s="59"/>
      <c r="W132" s="39"/>
      <c r="X132" s="39"/>
      <c r="Y132" s="40"/>
      <c r="Z132" s="40"/>
      <c r="AA132" s="225"/>
      <c r="AB132" s="235"/>
      <c r="AC132" s="233"/>
      <c r="AD132" s="234"/>
    </row>
    <row r="133" spans="1:30" ht="24" thickBot="1" x14ac:dyDescent="0.45">
      <c r="A133" s="333" t="s">
        <v>150</v>
      </c>
      <c r="B133" s="83" t="s">
        <v>25</v>
      </c>
      <c r="C133" s="83" t="s">
        <v>25</v>
      </c>
      <c r="D133" s="84"/>
      <c r="E133" s="85"/>
      <c r="F133" s="84"/>
      <c r="G133" s="236">
        <f>SUM(G119:G119)</f>
        <v>0</v>
      </c>
      <c r="H133" s="236">
        <f>SUM(H119:H119)</f>
        <v>0</v>
      </c>
      <c r="I133" s="87"/>
      <c r="J133" s="87"/>
      <c r="K133" s="87"/>
      <c r="L133" s="88"/>
      <c r="M133" s="335"/>
      <c r="N133" s="336"/>
      <c r="O133" s="336"/>
      <c r="P133" s="337"/>
      <c r="Q133" s="237">
        <f t="shared" ref="Q133:AD133" si="19">SUM(Q123:Q132)</f>
        <v>4575</v>
      </c>
      <c r="R133" s="237">
        <f t="shared" si="19"/>
        <v>0</v>
      </c>
      <c r="S133" s="238">
        <f t="shared" si="19"/>
        <v>623</v>
      </c>
      <c r="T133" s="238">
        <f t="shared" si="19"/>
        <v>0</v>
      </c>
      <c r="U133" s="237">
        <f t="shared" si="19"/>
        <v>45</v>
      </c>
      <c r="V133" s="237">
        <f t="shared" si="19"/>
        <v>0</v>
      </c>
      <c r="W133" s="238">
        <f t="shared" si="19"/>
        <v>399.49051045794351</v>
      </c>
      <c r="X133" s="238">
        <f t="shared" si="19"/>
        <v>0</v>
      </c>
      <c r="Y133" s="95">
        <f t="shared" si="19"/>
        <v>401.30525522897176</v>
      </c>
      <c r="Z133" s="95">
        <f t="shared" si="19"/>
        <v>0</v>
      </c>
      <c r="AA133" s="238">
        <f t="shared" si="19"/>
        <v>0</v>
      </c>
      <c r="AB133" s="238">
        <f t="shared" si="19"/>
        <v>0</v>
      </c>
      <c r="AC133" s="98">
        <f t="shared" si="19"/>
        <v>403.12</v>
      </c>
      <c r="AD133" s="98">
        <f t="shared" si="19"/>
        <v>0</v>
      </c>
    </row>
    <row r="134" spans="1:30" ht="27" thickBot="1" x14ac:dyDescent="0.45">
      <c r="A134" s="334"/>
      <c r="B134" s="83">
        <v>2</v>
      </c>
      <c r="C134" s="83">
        <v>2</v>
      </c>
      <c r="D134" s="84"/>
      <c r="E134" s="84"/>
      <c r="F134" s="84"/>
      <c r="G134" s="99">
        <v>0</v>
      </c>
      <c r="H134" s="100"/>
      <c r="I134" s="99"/>
      <c r="J134" s="100"/>
      <c r="K134" s="341"/>
      <c r="L134" s="342"/>
      <c r="M134" s="338"/>
      <c r="N134" s="339"/>
      <c r="O134" s="339"/>
      <c r="P134" s="340"/>
      <c r="Q134" s="343">
        <f>Q133+R133</f>
        <v>4575</v>
      </c>
      <c r="R134" s="344"/>
      <c r="S134" s="345">
        <f>S133+T133</f>
        <v>623</v>
      </c>
      <c r="T134" s="346"/>
      <c r="U134" s="347">
        <f>U133+V133</f>
        <v>45</v>
      </c>
      <c r="V134" s="348"/>
      <c r="W134" s="327">
        <f>W133+X133</f>
        <v>399.49051045794351</v>
      </c>
      <c r="X134" s="328"/>
      <c r="Y134" s="329">
        <f>Y133+Z133</f>
        <v>401.30525522897176</v>
      </c>
      <c r="Z134" s="330"/>
      <c r="AA134" s="327">
        <f>AA133+AB133</f>
        <v>0</v>
      </c>
      <c r="AB134" s="328"/>
      <c r="AC134" s="331">
        <f>AC133+AD133</f>
        <v>403.12</v>
      </c>
      <c r="AD134" s="332"/>
    </row>
  </sheetData>
  <autoFilter ref="A5:AD113" xr:uid="{3D257094-AFCF-44D4-9CB6-CF8FC9C29795}">
    <filterColumn colId="7">
      <filters blank="1">
        <filter val="1000"/>
        <filter val="1052"/>
        <filter val="1060"/>
        <filter val="418"/>
        <filter val="461"/>
        <filter val="48,701"/>
        <filter val="596"/>
        <filter val="600"/>
        <filter val="643"/>
        <filter val="671"/>
        <filter val="709"/>
        <filter val="724"/>
        <filter val="729"/>
        <filter val="730"/>
        <filter val="731"/>
        <filter val="740"/>
        <filter val="750"/>
        <filter val="756"/>
        <filter val="758"/>
        <filter val="759"/>
        <filter val="762"/>
        <filter val="777"/>
        <filter val="804"/>
        <filter val="805"/>
        <filter val="807"/>
        <filter val="808"/>
        <filter val="811"/>
        <filter val="817"/>
        <filter val="831"/>
        <filter val="856"/>
        <filter val="860"/>
        <filter val="865"/>
        <filter val="866"/>
        <filter val="870"/>
        <filter val="874"/>
        <filter val="882"/>
        <filter val="900"/>
        <filter val="904"/>
        <filter val="917"/>
        <filter val="925"/>
        <filter val="930"/>
        <filter val="933"/>
        <filter val="935"/>
        <filter val="940"/>
        <filter val="945"/>
        <filter val="947"/>
        <filter val="970"/>
        <filter val="980"/>
        <filter val="992"/>
        <filter val="993"/>
        <filter val="995"/>
      </filters>
    </filterColumn>
  </autoFilter>
  <mergeCells count="73"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U4:V4"/>
    <mergeCell ref="S3:T3"/>
    <mergeCell ref="U3:V3"/>
    <mergeCell ref="W3:X3"/>
    <mergeCell ref="Y3:Z4"/>
    <mergeCell ref="E4:E5"/>
    <mergeCell ref="M4:N4"/>
    <mergeCell ref="O4:P4"/>
    <mergeCell ref="Q4:R4"/>
    <mergeCell ref="S4:T4"/>
    <mergeCell ref="AA88:AB88"/>
    <mergeCell ref="AC88:AD88"/>
    <mergeCell ref="A87:A88"/>
    <mergeCell ref="M87:P88"/>
    <mergeCell ref="G88:H88"/>
    <mergeCell ref="I88:J88"/>
    <mergeCell ref="K88:L88"/>
    <mergeCell ref="Q88:R88"/>
    <mergeCell ref="F115:G115"/>
    <mergeCell ref="S88:T88"/>
    <mergeCell ref="U88:V88"/>
    <mergeCell ref="W88:X88"/>
    <mergeCell ref="Y88:Z88"/>
    <mergeCell ref="E90:J90"/>
    <mergeCell ref="M113:Q113"/>
    <mergeCell ref="X113:AD113"/>
    <mergeCell ref="M114:Q114"/>
    <mergeCell ref="X114:AD114"/>
    <mergeCell ref="A120:A121"/>
    <mergeCell ref="B120:C121"/>
    <mergeCell ref="G120:H121"/>
    <mergeCell ref="I120:J121"/>
    <mergeCell ref="K120:L121"/>
    <mergeCell ref="AA120:AB121"/>
    <mergeCell ref="AC120:AD120"/>
    <mergeCell ref="M121:N121"/>
    <mergeCell ref="O121:P121"/>
    <mergeCell ref="Q121:R121"/>
    <mergeCell ref="S121:T121"/>
    <mergeCell ref="U121:V121"/>
    <mergeCell ref="W121:X121"/>
    <mergeCell ref="AC121:AD121"/>
    <mergeCell ref="O120:P120"/>
    <mergeCell ref="Q120:R120"/>
    <mergeCell ref="S120:T120"/>
    <mergeCell ref="U120:V120"/>
    <mergeCell ref="W120:X120"/>
    <mergeCell ref="Y120:Z121"/>
    <mergeCell ref="M120:N120"/>
    <mergeCell ref="W134:X134"/>
    <mergeCell ref="Y134:Z134"/>
    <mergeCell ref="AA134:AB134"/>
    <mergeCell ref="AC134:AD134"/>
    <mergeCell ref="A133:A134"/>
    <mergeCell ref="M133:P134"/>
    <mergeCell ref="K134:L134"/>
    <mergeCell ref="Q134:R134"/>
    <mergeCell ref="S134:T134"/>
    <mergeCell ref="U134:V134"/>
  </mergeCells>
  <dataValidations count="1">
    <dataValidation type="list" allowBlank="1" showInputMessage="1" showErrorMessage="1" sqref="B10:C10 B54:C54" xr:uid="{7F26A486-232A-464F-BB02-CC891C706AFA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2117-AC3A-4918-B353-D908756CB535}">
  <sheetPr filterMode="1">
    <tabColor rgb="FF00B050"/>
  </sheetPr>
  <dimension ref="A1:AL134"/>
  <sheetViews>
    <sheetView zoomScale="78" zoomScaleNormal="78" zoomScaleSheetLayoutView="70" workbookViewId="0">
      <pane xSplit="4" ySplit="5" topLeftCell="E87" activePane="bottomRight" state="frozen"/>
      <selection activeCell="M107" sqref="M107"/>
      <selection pane="topRight" activeCell="M107" sqref="M107"/>
      <selection pane="bottomLeft" activeCell="M107" sqref="M107"/>
      <selection pane="bottomRight" activeCell="E88" sqref="E87:AD109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352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296</v>
      </c>
      <c r="E6" s="28">
        <v>69011715</v>
      </c>
      <c r="F6" s="29">
        <v>690126</v>
      </c>
      <c r="G6" s="30">
        <v>454</v>
      </c>
      <c r="H6" s="31">
        <v>879</v>
      </c>
      <c r="I6" s="32">
        <v>750</v>
      </c>
      <c r="J6" s="32">
        <v>750</v>
      </c>
      <c r="K6" s="33">
        <f>G6*8/100</f>
        <v>36.32</v>
      </c>
      <c r="L6" s="34">
        <f>H6*8/100</f>
        <v>70.319999999999993</v>
      </c>
      <c r="M6" s="303">
        <v>827</v>
      </c>
      <c r="N6" s="303">
        <v>431</v>
      </c>
      <c r="O6" s="303">
        <v>431</v>
      </c>
      <c r="P6" s="303">
        <v>1310</v>
      </c>
      <c r="Q6" s="35">
        <v>896</v>
      </c>
      <c r="R6" s="36"/>
      <c r="S6" s="36">
        <v>84.3</v>
      </c>
      <c r="T6" s="37"/>
      <c r="U6" s="38"/>
      <c r="V6" s="39"/>
      <c r="W6" s="39">
        <f>S6*1000/39.37/Q6*44.5</f>
        <v>106.344286349287</v>
      </c>
      <c r="X6" s="40"/>
      <c r="Y6" s="40"/>
      <c r="Z6" s="41"/>
      <c r="AA6" s="42">
        <v>106.72</v>
      </c>
      <c r="AB6" s="43"/>
      <c r="AC6" s="43">
        <v>107.09</v>
      </c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36</v>
      </c>
      <c r="E7" s="28"/>
      <c r="F7" s="29">
        <v>690126</v>
      </c>
      <c r="G7" s="45">
        <v>1000</v>
      </c>
      <c r="H7" s="31">
        <v>1070</v>
      </c>
      <c r="I7" s="46">
        <v>750</v>
      </c>
      <c r="J7" s="32">
        <v>750</v>
      </c>
      <c r="K7" s="33">
        <f t="shared" ref="K7:L38" si="0">G7*8/100</f>
        <v>80</v>
      </c>
      <c r="L7" s="47">
        <f t="shared" si="0"/>
        <v>85.6</v>
      </c>
      <c r="M7" s="303">
        <v>680</v>
      </c>
      <c r="N7" s="303">
        <v>1680</v>
      </c>
      <c r="O7" s="303">
        <v>1680</v>
      </c>
      <c r="P7" s="303">
        <v>750</v>
      </c>
      <c r="Q7" s="35"/>
      <c r="R7" s="48"/>
      <c r="S7" s="36"/>
      <c r="T7" s="36"/>
      <c r="U7" s="37"/>
      <c r="V7" s="38"/>
      <c r="W7" s="39"/>
      <c r="X7" s="39"/>
      <c r="Y7" s="40"/>
      <c r="Z7" s="40"/>
      <c r="AA7" s="41"/>
      <c r="AB7" s="42"/>
      <c r="AC7" s="43"/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69011724</v>
      </c>
      <c r="F8" s="29">
        <v>690111</v>
      </c>
      <c r="G8" s="45">
        <v>1150</v>
      </c>
      <c r="H8" s="31">
        <v>1074</v>
      </c>
      <c r="I8" s="46">
        <v>750</v>
      </c>
      <c r="J8" s="32">
        <v>750</v>
      </c>
      <c r="K8" s="33">
        <f t="shared" si="0"/>
        <v>92</v>
      </c>
      <c r="L8" s="47">
        <f t="shared" si="0"/>
        <v>85.92</v>
      </c>
      <c r="M8" s="303">
        <v>1862</v>
      </c>
      <c r="N8" s="303">
        <v>512</v>
      </c>
      <c r="O8" s="303">
        <v>512</v>
      </c>
      <c r="P8" s="303">
        <v>1586</v>
      </c>
      <c r="Q8" s="35"/>
      <c r="R8" s="48">
        <v>2500</v>
      </c>
      <c r="S8" s="36"/>
      <c r="T8" s="36">
        <v>168.3</v>
      </c>
      <c r="U8" s="37"/>
      <c r="V8" s="38">
        <v>25</v>
      </c>
      <c r="W8" s="39"/>
      <c r="X8" s="39">
        <f>T8*1000/39.37/R8*38.5</f>
        <v>65.832359664719334</v>
      </c>
      <c r="Y8" s="40"/>
      <c r="Z8" s="40">
        <f t="shared" ref="Z8" si="1">(AD8+X8)/2</f>
        <v>66.261179832359659</v>
      </c>
      <c r="AA8" s="41"/>
      <c r="AB8" s="42"/>
      <c r="AC8" s="43"/>
      <c r="AD8" s="43">
        <v>66.69</v>
      </c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/>
      <c r="F9" s="29">
        <v>690119</v>
      </c>
      <c r="G9" s="45">
        <v>783</v>
      </c>
      <c r="H9" s="31">
        <v>941</v>
      </c>
      <c r="I9" s="46">
        <v>110</v>
      </c>
      <c r="J9" s="32">
        <v>110</v>
      </c>
      <c r="K9" s="33">
        <f t="shared" si="0"/>
        <v>62.64</v>
      </c>
      <c r="L9" s="47">
        <f t="shared" si="0"/>
        <v>75.28</v>
      </c>
      <c r="M9" s="303">
        <v>1015</v>
      </c>
      <c r="N9" s="303">
        <v>1798</v>
      </c>
      <c r="O9" s="303">
        <v>1798</v>
      </c>
      <c r="P9" s="303">
        <v>246</v>
      </c>
      <c r="Q9" s="35"/>
      <c r="R9" s="48"/>
      <c r="S9" s="36"/>
      <c r="T9" s="36"/>
      <c r="U9" s="37"/>
      <c r="V9" s="38"/>
      <c r="W9" s="39"/>
      <c r="X9" s="39"/>
      <c r="Y9" s="40"/>
      <c r="Z9" s="40"/>
      <c r="AA9" s="41"/>
      <c r="AB9" s="42"/>
      <c r="AC9" s="43"/>
      <c r="AD9" s="43"/>
    </row>
    <row r="10" spans="1:31" ht="24" hidden="1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314</v>
      </c>
      <c r="E10" s="28"/>
      <c r="F10" s="29">
        <v>690136</v>
      </c>
      <c r="G10" s="51">
        <v>604</v>
      </c>
      <c r="H10" s="31">
        <v>0</v>
      </c>
      <c r="I10" s="46">
        <v>110</v>
      </c>
      <c r="J10" s="32">
        <v>110</v>
      </c>
      <c r="K10" s="33">
        <f t="shared" si="0"/>
        <v>48.32</v>
      </c>
      <c r="L10" s="47">
        <f t="shared" si="0"/>
        <v>0</v>
      </c>
      <c r="M10" s="303">
        <v>646</v>
      </c>
      <c r="N10" s="303">
        <v>1250</v>
      </c>
      <c r="O10" s="303">
        <v>1250</v>
      </c>
      <c r="P10" s="303">
        <v>1250</v>
      </c>
      <c r="Q10" s="35"/>
      <c r="R10" s="48"/>
      <c r="S10" s="36"/>
      <c r="T10" s="36"/>
      <c r="U10" s="37"/>
      <c r="V10" s="38"/>
      <c r="W10" s="39"/>
      <c r="X10" s="39"/>
      <c r="Y10" s="40"/>
      <c r="Z10" s="40"/>
      <c r="AA10" s="41"/>
      <c r="AB10" s="42"/>
      <c r="AC10" s="43"/>
      <c r="AD10" s="43"/>
      <c r="AE10" s="260"/>
    </row>
    <row r="11" spans="1:31" ht="23.25" hidden="1" customHeight="1" x14ac:dyDescent="0.4">
      <c r="A11" s="249" t="s">
        <v>48</v>
      </c>
      <c r="B11" s="246" t="s">
        <v>49</v>
      </c>
      <c r="C11" s="253" t="s">
        <v>233</v>
      </c>
      <c r="D11" s="256" t="s">
        <v>101</v>
      </c>
      <c r="E11" s="28">
        <v>69011705</v>
      </c>
      <c r="F11" s="29">
        <v>690126</v>
      </c>
      <c r="G11" s="45">
        <v>758</v>
      </c>
      <c r="H11" s="31">
        <v>0</v>
      </c>
      <c r="I11" s="46">
        <v>800</v>
      </c>
      <c r="J11" s="32">
        <v>800</v>
      </c>
      <c r="K11" s="33">
        <f t="shared" si="0"/>
        <v>60.64</v>
      </c>
      <c r="L11" s="47">
        <f>H11*8/100</f>
        <v>0</v>
      </c>
      <c r="M11" s="304">
        <v>1059</v>
      </c>
      <c r="N11" s="304">
        <v>1817</v>
      </c>
      <c r="O11" s="304">
        <v>1817</v>
      </c>
      <c r="P11" s="304">
        <v>1817</v>
      </c>
      <c r="Q11" s="35">
        <v>1059</v>
      </c>
      <c r="R11" s="48"/>
      <c r="S11" s="36">
        <v>104.3</v>
      </c>
      <c r="T11" s="36"/>
      <c r="U11" s="37">
        <v>20</v>
      </c>
      <c r="V11" s="38"/>
      <c r="W11" s="39">
        <f>S11*1000/39.37/Q11*44.5</f>
        <v>111.32249837681923</v>
      </c>
      <c r="X11" s="39"/>
      <c r="Y11" s="40">
        <f t="shared" ref="Y11:Z12" si="2">(AC11+W11)/2</f>
        <v>112.56624918840961</v>
      </c>
      <c r="Z11" s="52"/>
      <c r="AA11" s="41"/>
      <c r="AB11" s="42"/>
      <c r="AC11" s="43">
        <v>113.81</v>
      </c>
      <c r="AD11" s="43"/>
      <c r="AE11" s="54"/>
    </row>
    <row r="12" spans="1:31" ht="27" hidden="1" customHeight="1" x14ac:dyDescent="0.4">
      <c r="A12" s="249" t="s">
        <v>50</v>
      </c>
      <c r="B12" s="246" t="s">
        <v>51</v>
      </c>
      <c r="C12" s="253" t="s">
        <v>233</v>
      </c>
      <c r="D12" s="256" t="s">
        <v>285</v>
      </c>
      <c r="E12" s="28">
        <v>69011723</v>
      </c>
      <c r="F12" s="29">
        <v>690143</v>
      </c>
      <c r="G12" s="45">
        <v>747</v>
      </c>
      <c r="H12" s="31">
        <v>0</v>
      </c>
      <c r="I12" s="46">
        <v>800</v>
      </c>
      <c r="J12" s="32">
        <v>800</v>
      </c>
      <c r="K12" s="33">
        <f t="shared" si="0"/>
        <v>59.76</v>
      </c>
      <c r="L12" s="47">
        <f t="shared" si="0"/>
        <v>0</v>
      </c>
      <c r="M12" s="303">
        <v>2288</v>
      </c>
      <c r="N12" s="303">
        <v>535</v>
      </c>
      <c r="O12" s="303">
        <v>535</v>
      </c>
      <c r="P12" s="303">
        <v>535</v>
      </c>
      <c r="Q12" s="35"/>
      <c r="R12" s="48">
        <v>2500</v>
      </c>
      <c r="S12" s="36"/>
      <c r="T12" s="36">
        <v>185.1</v>
      </c>
      <c r="U12" s="37"/>
      <c r="V12" s="38">
        <v>25</v>
      </c>
      <c r="W12" s="39"/>
      <c r="X12" s="39">
        <f>T12*1000/39.37/R12*35.5</f>
        <v>66.762001524003054</v>
      </c>
      <c r="Y12" s="40"/>
      <c r="Z12" s="40">
        <f t="shared" si="2"/>
        <v>68.336000762001532</v>
      </c>
      <c r="AA12" s="41"/>
      <c r="AB12" s="42"/>
      <c r="AC12" s="43"/>
      <c r="AD12" s="43">
        <v>69.91</v>
      </c>
    </row>
    <row r="13" spans="1:31" ht="24" hidden="1" customHeight="1" x14ac:dyDescent="0.4">
      <c r="A13" s="249" t="s">
        <v>53</v>
      </c>
      <c r="B13" s="246" t="s">
        <v>51</v>
      </c>
      <c r="C13" s="253" t="s">
        <v>233</v>
      </c>
      <c r="D13" s="256" t="s">
        <v>52</v>
      </c>
      <c r="E13" s="28"/>
      <c r="F13" s="29">
        <v>690113</v>
      </c>
      <c r="G13" s="45">
        <v>965</v>
      </c>
      <c r="H13" s="31">
        <v>0</v>
      </c>
      <c r="I13" s="46">
        <v>800</v>
      </c>
      <c r="J13" s="32">
        <v>800</v>
      </c>
      <c r="K13" s="33">
        <f t="shared" si="0"/>
        <v>77.2</v>
      </c>
      <c r="L13" s="47">
        <f t="shared" si="0"/>
        <v>0</v>
      </c>
      <c r="M13" s="303">
        <v>502</v>
      </c>
      <c r="N13" s="303">
        <v>1467</v>
      </c>
      <c r="O13" s="303">
        <v>1467</v>
      </c>
      <c r="P13" s="303">
        <v>1467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hidden="1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763</v>
      </c>
      <c r="H14" s="31">
        <v>0</v>
      </c>
      <c r="I14" s="46">
        <v>800</v>
      </c>
      <c r="J14" s="32">
        <v>800</v>
      </c>
      <c r="K14" s="33">
        <f t="shared" si="0"/>
        <v>61.04</v>
      </c>
      <c r="L14" s="47">
        <f t="shared" si="0"/>
        <v>0</v>
      </c>
      <c r="M14" s="303">
        <v>990</v>
      </c>
      <c r="N14" s="303">
        <v>253</v>
      </c>
      <c r="O14" s="303">
        <v>253</v>
      </c>
      <c r="P14" s="303">
        <v>253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314</v>
      </c>
      <c r="E15" s="28">
        <v>69011731</v>
      </c>
      <c r="F15" s="29">
        <v>690119</v>
      </c>
      <c r="G15" s="55">
        <v>806</v>
      </c>
      <c r="H15" s="31">
        <v>983</v>
      </c>
      <c r="I15" s="46">
        <v>800</v>
      </c>
      <c r="J15" s="32">
        <v>800</v>
      </c>
      <c r="K15" s="33">
        <f t="shared" si="0"/>
        <v>64.48</v>
      </c>
      <c r="L15" s="47">
        <f t="shared" si="0"/>
        <v>78.64</v>
      </c>
      <c r="M15" s="303">
        <v>1826</v>
      </c>
      <c r="N15" s="303">
        <v>132</v>
      </c>
      <c r="O15" s="303">
        <v>132</v>
      </c>
      <c r="P15" s="303">
        <v>1115</v>
      </c>
      <c r="Q15" s="35"/>
      <c r="R15" s="48">
        <v>2500</v>
      </c>
      <c r="S15" s="36"/>
      <c r="T15" s="36">
        <v>206.7</v>
      </c>
      <c r="U15" s="37"/>
      <c r="V15" s="38">
        <v>25</v>
      </c>
      <c r="W15" s="39"/>
      <c r="X15" s="39">
        <f>T15*1000/39.37/R15*38.5</f>
        <v>80.852933705867414</v>
      </c>
      <c r="Y15" s="40"/>
      <c r="Z15" s="40">
        <v>80.7</v>
      </c>
      <c r="AA15" s="41"/>
      <c r="AB15" s="42"/>
      <c r="AC15" s="43"/>
      <c r="AD15" s="43">
        <v>80.55</v>
      </c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/>
      <c r="F16" s="29">
        <v>690106</v>
      </c>
      <c r="G16" s="55">
        <v>975</v>
      </c>
      <c r="H16" s="31">
        <v>1001</v>
      </c>
      <c r="I16" s="46">
        <v>800</v>
      </c>
      <c r="J16" s="32">
        <v>800</v>
      </c>
      <c r="K16" s="33">
        <f t="shared" si="0"/>
        <v>78</v>
      </c>
      <c r="L16" s="47">
        <f t="shared" si="0"/>
        <v>80.08</v>
      </c>
      <c r="M16" s="303">
        <v>374</v>
      </c>
      <c r="N16" s="303">
        <v>1349</v>
      </c>
      <c r="O16" s="303">
        <v>1349</v>
      </c>
      <c r="P16" s="303">
        <v>740</v>
      </c>
      <c r="Q16" s="35"/>
      <c r="R16" s="48"/>
      <c r="S16" s="36"/>
      <c r="T16" s="36"/>
      <c r="U16" s="37"/>
      <c r="V16" s="38"/>
      <c r="W16" s="39"/>
      <c r="X16" s="39"/>
      <c r="Y16" s="40"/>
      <c r="Z16" s="40"/>
      <c r="AA16" s="41"/>
      <c r="AB16" s="42"/>
      <c r="AC16" s="43"/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>
        <v>69011727</v>
      </c>
      <c r="F17" s="29">
        <v>690106</v>
      </c>
      <c r="G17" s="55">
        <v>1000</v>
      </c>
      <c r="H17" s="31">
        <v>1040</v>
      </c>
      <c r="I17" s="46">
        <v>800</v>
      </c>
      <c r="J17" s="32">
        <v>800</v>
      </c>
      <c r="K17" s="33">
        <f t="shared" si="0"/>
        <v>80</v>
      </c>
      <c r="L17" s="47">
        <f t="shared" si="0"/>
        <v>83.2</v>
      </c>
      <c r="M17" s="303">
        <v>1344</v>
      </c>
      <c r="N17" s="303">
        <v>344</v>
      </c>
      <c r="O17" s="303">
        <v>344</v>
      </c>
      <c r="P17" s="303">
        <v>1384</v>
      </c>
      <c r="Q17" s="35"/>
      <c r="R17" s="48">
        <v>2000</v>
      </c>
      <c r="S17" s="36"/>
      <c r="T17" s="36">
        <v>154.69999999999999</v>
      </c>
      <c r="U17" s="37"/>
      <c r="V17" s="38"/>
      <c r="W17" s="39"/>
      <c r="X17" s="39">
        <f>T17*1000/39.37/R17*38.5</f>
        <v>75.640716281432574</v>
      </c>
      <c r="Y17" s="40"/>
      <c r="Z17" s="40">
        <v>76.8</v>
      </c>
      <c r="AA17" s="41"/>
      <c r="AB17" s="42"/>
      <c r="AC17" s="43"/>
      <c r="AD17" s="43">
        <v>77.95</v>
      </c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>
        <v>69011726</v>
      </c>
      <c r="F18" s="29">
        <v>690106</v>
      </c>
      <c r="G18" s="55">
        <v>932</v>
      </c>
      <c r="H18" s="31">
        <v>1015</v>
      </c>
      <c r="I18" s="46">
        <v>800</v>
      </c>
      <c r="J18" s="32">
        <v>800</v>
      </c>
      <c r="K18" s="33">
        <f t="shared" si="0"/>
        <v>74.56</v>
      </c>
      <c r="L18" s="47">
        <f t="shared" si="0"/>
        <v>81.2</v>
      </c>
      <c r="M18" s="303">
        <v>1234</v>
      </c>
      <c r="N18" s="303">
        <v>166</v>
      </c>
      <c r="O18" s="303">
        <v>166</v>
      </c>
      <c r="P18" s="303">
        <v>1181</v>
      </c>
      <c r="Q18" s="35"/>
      <c r="R18" s="48">
        <v>2000</v>
      </c>
      <c r="S18" s="36"/>
      <c r="T18" s="36">
        <v>154.80000000000001</v>
      </c>
      <c r="U18" s="37"/>
      <c r="V18" s="38"/>
      <c r="W18" s="39"/>
      <c r="X18" s="39">
        <f>T18*1000/39.37/R18*38.5</f>
        <v>75.689611379222754</v>
      </c>
      <c r="Y18" s="40"/>
      <c r="Z18" s="40">
        <v>76.23</v>
      </c>
      <c r="AA18" s="41"/>
      <c r="AB18" s="42"/>
      <c r="AC18" s="43"/>
      <c r="AD18" s="43">
        <v>76.760000000000005</v>
      </c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61</v>
      </c>
      <c r="E19" s="28">
        <v>69011704</v>
      </c>
      <c r="F19" s="29">
        <v>690112</v>
      </c>
      <c r="G19" s="45">
        <v>1075</v>
      </c>
      <c r="H19" s="31">
        <v>1140</v>
      </c>
      <c r="I19" s="46">
        <v>750</v>
      </c>
      <c r="J19" s="32">
        <v>750</v>
      </c>
      <c r="K19" s="33">
        <f t="shared" si="0"/>
        <v>86</v>
      </c>
      <c r="L19" s="47">
        <f t="shared" si="0"/>
        <v>91.2</v>
      </c>
      <c r="M19" s="303">
        <v>1871</v>
      </c>
      <c r="N19" s="303">
        <v>946</v>
      </c>
      <c r="O19" s="303">
        <v>946</v>
      </c>
      <c r="P19" s="303">
        <v>86</v>
      </c>
      <c r="Q19" s="35">
        <v>2000</v>
      </c>
      <c r="R19" s="48"/>
      <c r="S19" s="36">
        <v>155.80000000000001</v>
      </c>
      <c r="T19" s="36"/>
      <c r="U19" s="37">
        <v>20</v>
      </c>
      <c r="V19" s="38"/>
      <c r="W19" s="39">
        <f>S19*1000/39.37/Q19*38.5</f>
        <v>76.178562357124719</v>
      </c>
      <c r="X19" s="39"/>
      <c r="Y19" s="40">
        <f t="shared" ref="Y19:Y21" si="3">(AC19+W19)/2</f>
        <v>76.484281178562355</v>
      </c>
      <c r="Z19" s="40"/>
      <c r="AA19" s="41"/>
      <c r="AB19" s="42"/>
      <c r="AC19" s="43">
        <v>76.790000000000006</v>
      </c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140</v>
      </c>
      <c r="E20" s="28">
        <v>69011707</v>
      </c>
      <c r="F20" s="29">
        <v>690119</v>
      </c>
      <c r="G20" s="45">
        <v>1025</v>
      </c>
      <c r="H20" s="31">
        <v>1198</v>
      </c>
      <c r="I20" s="46">
        <v>750</v>
      </c>
      <c r="J20" s="32">
        <v>750</v>
      </c>
      <c r="K20" s="33">
        <f t="shared" si="0"/>
        <v>82</v>
      </c>
      <c r="L20" s="47">
        <f t="shared" si="0"/>
        <v>95.84</v>
      </c>
      <c r="M20" s="303">
        <v>994</v>
      </c>
      <c r="N20" s="303">
        <v>438</v>
      </c>
      <c r="O20" s="303">
        <v>438</v>
      </c>
      <c r="P20" s="303">
        <v>1636</v>
      </c>
      <c r="Q20" s="48">
        <v>1581</v>
      </c>
      <c r="R20" s="36"/>
      <c r="S20" s="36">
        <v>120.2</v>
      </c>
      <c r="T20" s="37"/>
      <c r="U20" s="38"/>
      <c r="V20" s="39"/>
      <c r="W20" s="39">
        <f>S20*1000/39.37/Q20*38.5</f>
        <v>74.347764128798346</v>
      </c>
      <c r="X20" s="40"/>
      <c r="Y20" s="40">
        <f t="shared" si="3"/>
        <v>75.27888206439917</v>
      </c>
      <c r="Z20" s="41"/>
      <c r="AA20" s="42"/>
      <c r="AB20" s="43"/>
      <c r="AC20" s="43">
        <v>76.209999999999994</v>
      </c>
      <c r="AD20" s="43"/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140</v>
      </c>
      <c r="E21" s="28">
        <v>69011708</v>
      </c>
      <c r="F21" s="29">
        <v>690119</v>
      </c>
      <c r="G21" s="45">
        <v>1200</v>
      </c>
      <c r="H21" s="31">
        <v>1202</v>
      </c>
      <c r="I21" s="46">
        <v>750</v>
      </c>
      <c r="J21" s="32">
        <v>750</v>
      </c>
      <c r="K21" s="33">
        <f t="shared" si="0"/>
        <v>96</v>
      </c>
      <c r="L21" s="47">
        <f t="shared" si="0"/>
        <v>96.16</v>
      </c>
      <c r="M21" s="303">
        <v>1743</v>
      </c>
      <c r="N21" s="303">
        <v>943</v>
      </c>
      <c r="O21" s="303">
        <v>943</v>
      </c>
      <c r="P21" s="303">
        <v>145</v>
      </c>
      <c r="Q21" s="48">
        <v>2000</v>
      </c>
      <c r="R21" s="36"/>
      <c r="S21" s="36">
        <v>149.02000000000001</v>
      </c>
      <c r="T21" s="37"/>
      <c r="U21" s="38"/>
      <c r="V21" s="39"/>
      <c r="W21" s="39">
        <f>S21*1000/39.37/Q21*38.5</f>
        <v>72.863474726949462</v>
      </c>
      <c r="X21" s="40"/>
      <c r="Y21" s="40">
        <f t="shared" si="3"/>
        <v>73.186737363474734</v>
      </c>
      <c r="Z21" s="41"/>
      <c r="AA21" s="42"/>
      <c r="AB21" s="43"/>
      <c r="AC21" s="43">
        <v>73.510000000000005</v>
      </c>
      <c r="AD21" s="43"/>
    </row>
    <row r="22" spans="1:35" ht="24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/>
      <c r="F22" s="29">
        <v>690104</v>
      </c>
      <c r="G22" s="45">
        <v>914</v>
      </c>
      <c r="H22" s="31">
        <v>1000</v>
      </c>
      <c r="I22" s="46">
        <v>750</v>
      </c>
      <c r="J22" s="32">
        <v>750</v>
      </c>
      <c r="K22" s="33">
        <f t="shared" si="0"/>
        <v>73.12</v>
      </c>
      <c r="L22" s="47">
        <f t="shared" si="0"/>
        <v>80</v>
      </c>
      <c r="M22" s="305">
        <v>898</v>
      </c>
      <c r="N22" s="305">
        <v>1812</v>
      </c>
      <c r="O22" s="305">
        <v>1812</v>
      </c>
      <c r="P22" s="305">
        <v>812</v>
      </c>
      <c r="Q22" s="35"/>
      <c r="R22" s="48"/>
      <c r="S22" s="36"/>
      <c r="T22" s="36"/>
      <c r="U22" s="37"/>
      <c r="V22" s="38"/>
      <c r="W22" s="39"/>
      <c r="X22" s="39"/>
      <c r="Y22" s="40"/>
      <c r="Z22" s="40"/>
      <c r="AA22" s="41"/>
      <c r="AB22" s="42"/>
      <c r="AC22" s="43"/>
      <c r="AD22" s="43"/>
    </row>
    <row r="23" spans="1:35" ht="24" customHeight="1" x14ac:dyDescent="0.5">
      <c r="A23" s="249" t="s">
        <v>72</v>
      </c>
      <c r="B23" s="246" t="s">
        <v>42</v>
      </c>
      <c r="C23" s="253" t="s">
        <v>41</v>
      </c>
      <c r="D23" s="258" t="s">
        <v>316</v>
      </c>
      <c r="E23" s="28">
        <v>69011722</v>
      </c>
      <c r="F23" s="29">
        <v>690133</v>
      </c>
      <c r="G23" s="45">
        <v>868</v>
      </c>
      <c r="H23" s="31">
        <v>1021</v>
      </c>
      <c r="I23" s="46">
        <v>750</v>
      </c>
      <c r="J23" s="32">
        <v>750</v>
      </c>
      <c r="K23" s="33">
        <f t="shared" si="0"/>
        <v>69.44</v>
      </c>
      <c r="L23" s="47">
        <f t="shared" si="0"/>
        <v>81.680000000000007</v>
      </c>
      <c r="M23" s="303">
        <v>840</v>
      </c>
      <c r="N23" s="303">
        <v>141</v>
      </c>
      <c r="O23" s="303">
        <v>141</v>
      </c>
      <c r="P23" s="303">
        <v>1162</v>
      </c>
      <c r="Q23" s="35"/>
      <c r="R23" s="48">
        <v>2000</v>
      </c>
      <c r="S23" s="36"/>
      <c r="T23" s="36">
        <v>172.8</v>
      </c>
      <c r="U23" s="37"/>
      <c r="V23" s="38">
        <v>20</v>
      </c>
      <c r="W23" s="39"/>
      <c r="X23" s="39">
        <f>T23*1000/39.37/R23*38.5</f>
        <v>84.490728981457963</v>
      </c>
      <c r="Y23" s="40"/>
      <c r="Z23" s="40">
        <f t="shared" ref="Z23" si="4">(AD23+X23)/2</f>
        <v>85.140364490728984</v>
      </c>
      <c r="AA23" s="41"/>
      <c r="AB23" s="42"/>
      <c r="AC23" s="43"/>
      <c r="AD23" s="43">
        <v>85.79</v>
      </c>
    </row>
    <row r="24" spans="1:35" ht="24" customHeight="1" x14ac:dyDescent="0.4">
      <c r="A24" s="249" t="s">
        <v>70</v>
      </c>
      <c r="B24" s="246" t="s">
        <v>42</v>
      </c>
      <c r="C24" s="253" t="s">
        <v>41</v>
      </c>
      <c r="D24" s="256" t="s">
        <v>57</v>
      </c>
      <c r="E24" s="28">
        <v>69011735</v>
      </c>
      <c r="F24" s="29">
        <v>690104</v>
      </c>
      <c r="G24" s="45">
        <v>567</v>
      </c>
      <c r="H24" s="31">
        <v>1306</v>
      </c>
      <c r="I24" s="46">
        <v>750</v>
      </c>
      <c r="J24" s="32">
        <v>750</v>
      </c>
      <c r="K24" s="33">
        <f t="shared" si="0"/>
        <v>45.36</v>
      </c>
      <c r="L24" s="47">
        <f t="shared" si="0"/>
        <v>104.48</v>
      </c>
      <c r="M24" s="303">
        <v>1991</v>
      </c>
      <c r="N24" s="303">
        <v>558</v>
      </c>
      <c r="O24" s="303">
        <v>558</v>
      </c>
      <c r="P24" s="303">
        <v>1864</v>
      </c>
      <c r="Q24" s="35"/>
      <c r="R24" s="48">
        <v>1540</v>
      </c>
      <c r="S24" s="36"/>
      <c r="T24" s="36">
        <v>121.8</v>
      </c>
      <c r="U24" s="37"/>
      <c r="V24" s="38">
        <v>15</v>
      </c>
      <c r="W24" s="39"/>
      <c r="X24" s="39">
        <f>T24*1000/39.37/R24*31.5</f>
        <v>63.280762925162215</v>
      </c>
      <c r="Y24" s="40"/>
      <c r="Z24" s="40">
        <v>63.91</v>
      </c>
      <c r="AA24" s="41"/>
      <c r="AB24" s="42"/>
      <c r="AC24" s="43"/>
      <c r="AD24" s="43">
        <v>64.53</v>
      </c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36</v>
      </c>
      <c r="E25" s="28"/>
      <c r="F25" s="29">
        <v>690126</v>
      </c>
      <c r="G25" s="45">
        <v>740</v>
      </c>
      <c r="H25" s="31">
        <v>820</v>
      </c>
      <c r="I25" s="46">
        <v>750</v>
      </c>
      <c r="J25" s="32">
        <v>750</v>
      </c>
      <c r="K25" s="33">
        <f t="shared" si="0"/>
        <v>59.2</v>
      </c>
      <c r="L25" s="47">
        <f t="shared" si="0"/>
        <v>65.599999999999994</v>
      </c>
      <c r="M25" s="306">
        <v>883</v>
      </c>
      <c r="N25" s="306">
        <v>1623</v>
      </c>
      <c r="O25" s="306">
        <v>1623</v>
      </c>
      <c r="P25" s="306">
        <v>443</v>
      </c>
      <c r="Q25" s="35"/>
      <c r="R25" s="48"/>
      <c r="S25" s="36"/>
      <c r="T25" s="36"/>
      <c r="U25" s="37"/>
      <c r="V25" s="38"/>
      <c r="W25" s="39"/>
      <c r="X25" s="39"/>
      <c r="Y25" s="40"/>
      <c r="Z25" s="40"/>
      <c r="AA25" s="41"/>
      <c r="AB25" s="42"/>
      <c r="AC25" s="239"/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57</v>
      </c>
      <c r="E26" s="28"/>
      <c r="F26" s="29">
        <v>690119</v>
      </c>
      <c r="G26" s="55">
        <v>1003</v>
      </c>
      <c r="H26" s="31">
        <v>727</v>
      </c>
      <c r="I26" s="46">
        <v>800</v>
      </c>
      <c r="J26" s="32">
        <v>800</v>
      </c>
      <c r="K26" s="33">
        <f t="shared" si="0"/>
        <v>80.239999999999995</v>
      </c>
      <c r="L26" s="47">
        <f t="shared" si="0"/>
        <v>58.16</v>
      </c>
      <c r="M26" s="303">
        <v>588</v>
      </c>
      <c r="N26" s="303">
        <v>1591</v>
      </c>
      <c r="O26" s="303">
        <v>1591</v>
      </c>
      <c r="P26" s="303">
        <v>2318</v>
      </c>
      <c r="Q26" s="35"/>
      <c r="R26" s="35"/>
      <c r="S26" s="36"/>
      <c r="T26" s="36"/>
      <c r="U26" s="37"/>
      <c r="V26" s="38"/>
      <c r="W26" s="39"/>
      <c r="X26" s="39"/>
      <c r="Y26" s="40"/>
      <c r="Z26" s="40"/>
      <c r="AA26" s="41"/>
      <c r="AB26" s="42"/>
      <c r="AC26" s="43"/>
      <c r="AD26" s="43"/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61</v>
      </c>
      <c r="E27" s="28"/>
      <c r="F27" s="29">
        <v>690112</v>
      </c>
      <c r="G27" s="55">
        <v>1048</v>
      </c>
      <c r="H27" s="31">
        <v>801</v>
      </c>
      <c r="I27" s="46">
        <v>800</v>
      </c>
      <c r="J27" s="32">
        <v>800</v>
      </c>
      <c r="K27" s="33">
        <f t="shared" si="0"/>
        <v>83.84</v>
      </c>
      <c r="L27" s="47">
        <f t="shared" si="0"/>
        <v>64.08</v>
      </c>
      <c r="M27" s="303">
        <v>550</v>
      </c>
      <c r="N27" s="303">
        <v>1598</v>
      </c>
      <c r="O27" s="303">
        <v>1598</v>
      </c>
      <c r="P27" s="303">
        <v>399</v>
      </c>
      <c r="Q27" s="35"/>
      <c r="R27" s="35"/>
      <c r="S27" s="57"/>
      <c r="T27" s="57"/>
      <c r="U27" s="58"/>
      <c r="V27" s="59"/>
      <c r="W27" s="39"/>
      <c r="X27" s="39"/>
      <c r="Y27" s="40"/>
      <c r="Z27" s="40"/>
      <c r="AA27" s="41"/>
      <c r="AB27" s="42"/>
      <c r="AC27" s="43"/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61</v>
      </c>
      <c r="E28" s="259"/>
      <c r="F28" s="29">
        <v>690112</v>
      </c>
      <c r="G28" s="45">
        <v>1020</v>
      </c>
      <c r="H28" s="31">
        <v>752</v>
      </c>
      <c r="I28" s="46">
        <v>800</v>
      </c>
      <c r="J28" s="32">
        <v>800</v>
      </c>
      <c r="K28" s="33">
        <f t="shared" si="0"/>
        <v>81.599999999999994</v>
      </c>
      <c r="L28" s="47">
        <f t="shared" si="0"/>
        <v>60.16</v>
      </c>
      <c r="M28" s="303">
        <v>511</v>
      </c>
      <c r="N28" s="303">
        <v>1531</v>
      </c>
      <c r="O28" s="303">
        <v>1531</v>
      </c>
      <c r="P28" s="303">
        <v>283</v>
      </c>
      <c r="Q28" s="35"/>
      <c r="R28" s="48"/>
      <c r="S28" s="36"/>
      <c r="T28" s="36"/>
      <c r="U28" s="37"/>
      <c r="V28" s="38"/>
      <c r="W28" s="39"/>
      <c r="X28" s="39"/>
      <c r="Y28" s="40"/>
      <c r="Z28" s="40"/>
      <c r="AA28" s="41"/>
      <c r="AB28" s="42"/>
      <c r="AC28" s="43"/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140</v>
      </c>
      <c r="E29" s="28">
        <v>69011711</v>
      </c>
      <c r="F29" s="29">
        <v>690119</v>
      </c>
      <c r="G29" s="45">
        <v>1048</v>
      </c>
      <c r="H29" s="31">
        <v>844</v>
      </c>
      <c r="I29" s="46">
        <v>800</v>
      </c>
      <c r="J29" s="32">
        <v>800</v>
      </c>
      <c r="K29" s="33">
        <f t="shared" si="0"/>
        <v>83.84</v>
      </c>
      <c r="L29" s="47">
        <f t="shared" si="0"/>
        <v>67.52</v>
      </c>
      <c r="M29" s="303">
        <v>1289</v>
      </c>
      <c r="N29" s="303">
        <v>509</v>
      </c>
      <c r="O29" s="303">
        <v>509</v>
      </c>
      <c r="P29" s="303">
        <v>1353</v>
      </c>
      <c r="Q29" s="48">
        <v>1980</v>
      </c>
      <c r="R29" s="36"/>
      <c r="S29" s="36">
        <v>155.69999999999999</v>
      </c>
      <c r="T29" s="37"/>
      <c r="U29" s="38"/>
      <c r="V29" s="39"/>
      <c r="W29" s="39">
        <f>S29*1000/39.37/Q29*38.5</f>
        <v>76.898653797307603</v>
      </c>
      <c r="X29" s="40"/>
      <c r="Y29" s="40">
        <f t="shared" ref="Y29:Y30" si="5">(AC29+W29)/2</f>
        <v>76.734326898653791</v>
      </c>
      <c r="Z29" s="41"/>
      <c r="AA29" s="42"/>
      <c r="AB29" s="43"/>
      <c r="AC29" s="43">
        <v>76.569999999999993</v>
      </c>
      <c r="AD29" s="43"/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140</v>
      </c>
      <c r="E30" s="28">
        <v>69011712</v>
      </c>
      <c r="F30" s="29">
        <v>690108</v>
      </c>
      <c r="G30" s="45">
        <v>1000</v>
      </c>
      <c r="H30" s="31">
        <v>765</v>
      </c>
      <c r="I30" s="46">
        <v>800</v>
      </c>
      <c r="J30" s="32">
        <v>800</v>
      </c>
      <c r="K30" s="33">
        <f t="shared" si="0"/>
        <v>80</v>
      </c>
      <c r="L30" s="47">
        <f t="shared" si="0"/>
        <v>61.2</v>
      </c>
      <c r="M30" s="303">
        <v>754</v>
      </c>
      <c r="N30" s="303">
        <v>543</v>
      </c>
      <c r="O30" s="303">
        <v>543</v>
      </c>
      <c r="P30" s="303">
        <v>1308</v>
      </c>
      <c r="Q30" s="35">
        <v>1211</v>
      </c>
      <c r="R30" s="36"/>
      <c r="S30" s="36">
        <v>90.7</v>
      </c>
      <c r="T30" s="37"/>
      <c r="U30" s="38"/>
      <c r="V30" s="39"/>
      <c r="W30" s="39">
        <f>S30*1000/39.37/Q30*38.5</f>
        <v>73.241707177055986</v>
      </c>
      <c r="X30" s="40"/>
      <c r="Y30" s="40">
        <f t="shared" si="5"/>
        <v>74.935853588527991</v>
      </c>
      <c r="Z30" s="41"/>
      <c r="AA30" s="42"/>
      <c r="AB30" s="43"/>
      <c r="AC30" s="43">
        <v>76.63</v>
      </c>
      <c r="AD30" s="43"/>
    </row>
    <row r="31" spans="1:35" ht="24" hidden="1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03"/>
      <c r="N31" s="303"/>
      <c r="O31" s="303"/>
      <c r="P31" s="303"/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hidden="1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03"/>
      <c r="N32" s="303"/>
      <c r="O32" s="303"/>
      <c r="P32" s="303"/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hidden="1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03"/>
      <c r="N33" s="303"/>
      <c r="O33" s="303"/>
      <c r="P33" s="303"/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/>
      <c r="F34" s="29">
        <v>690119</v>
      </c>
      <c r="G34" s="60">
        <v>714</v>
      </c>
      <c r="H34" s="31">
        <v>628</v>
      </c>
      <c r="I34" s="46">
        <v>110</v>
      </c>
      <c r="J34" s="32">
        <v>110</v>
      </c>
      <c r="K34" s="33">
        <f t="shared" si="0"/>
        <v>57.12</v>
      </c>
      <c r="L34" s="47">
        <f t="shared" si="0"/>
        <v>50.24</v>
      </c>
      <c r="M34" s="303">
        <v>226</v>
      </c>
      <c r="N34" s="303">
        <v>940</v>
      </c>
      <c r="O34" s="303">
        <v>940</v>
      </c>
      <c r="P34" s="303">
        <v>1568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862</v>
      </c>
      <c r="H35" s="31">
        <v>784</v>
      </c>
      <c r="I35" s="46">
        <v>110</v>
      </c>
      <c r="J35" s="32">
        <v>110</v>
      </c>
      <c r="K35" s="33">
        <f t="shared" si="0"/>
        <v>68.959999999999994</v>
      </c>
      <c r="L35" s="47">
        <f t="shared" si="0"/>
        <v>62.72</v>
      </c>
      <c r="M35" s="303">
        <v>1457</v>
      </c>
      <c r="N35" s="303">
        <v>794</v>
      </c>
      <c r="O35" s="303">
        <v>794</v>
      </c>
      <c r="P35" s="303">
        <v>1578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57</v>
      </c>
      <c r="E36" s="28"/>
      <c r="F36" s="29">
        <v>690106</v>
      </c>
      <c r="G36" s="45">
        <v>965</v>
      </c>
      <c r="H36" s="31">
        <v>779</v>
      </c>
      <c r="I36" s="46">
        <v>115</v>
      </c>
      <c r="J36" s="32">
        <v>115</v>
      </c>
      <c r="K36" s="33">
        <f t="shared" si="0"/>
        <v>77.2</v>
      </c>
      <c r="L36" s="47">
        <f t="shared" si="0"/>
        <v>62.32</v>
      </c>
      <c r="M36" s="303">
        <v>0</v>
      </c>
      <c r="N36" s="303">
        <v>965</v>
      </c>
      <c r="O36" s="303">
        <v>965</v>
      </c>
      <c r="P36" s="303">
        <v>1744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57</v>
      </c>
      <c r="E37" s="28"/>
      <c r="F37" s="29">
        <v>690106</v>
      </c>
      <c r="G37" s="45">
        <v>805</v>
      </c>
      <c r="H37" s="31">
        <v>758</v>
      </c>
      <c r="I37" s="46">
        <v>115</v>
      </c>
      <c r="J37" s="32">
        <v>115</v>
      </c>
      <c r="K37" s="33">
        <f t="shared" si="0"/>
        <v>64.400000000000006</v>
      </c>
      <c r="L37" s="47">
        <f t="shared" si="0"/>
        <v>60.64</v>
      </c>
      <c r="M37" s="303">
        <v>240</v>
      </c>
      <c r="N37" s="303">
        <v>1045</v>
      </c>
      <c r="O37" s="303">
        <v>1045</v>
      </c>
      <c r="P37" s="303">
        <v>1803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57</v>
      </c>
      <c r="E38" s="28"/>
      <c r="F38" s="29">
        <v>690106</v>
      </c>
      <c r="G38" s="45">
        <v>793</v>
      </c>
      <c r="H38" s="31">
        <v>806</v>
      </c>
      <c r="I38" s="46">
        <v>115</v>
      </c>
      <c r="J38" s="32">
        <v>115</v>
      </c>
      <c r="K38" s="33">
        <f t="shared" si="0"/>
        <v>63.44</v>
      </c>
      <c r="L38" s="47">
        <f t="shared" si="0"/>
        <v>64.48</v>
      </c>
      <c r="M38" s="303">
        <v>199</v>
      </c>
      <c r="N38" s="303">
        <v>992</v>
      </c>
      <c r="O38" s="303">
        <v>992</v>
      </c>
      <c r="P38" s="303">
        <v>1798</v>
      </c>
      <c r="Q38" s="35"/>
      <c r="R38" s="35"/>
      <c r="S38" s="31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/>
      <c r="F39" s="29">
        <v>690107</v>
      </c>
      <c r="G39" s="45">
        <v>722</v>
      </c>
      <c r="H39" s="31">
        <v>857</v>
      </c>
      <c r="I39" s="63">
        <v>115</v>
      </c>
      <c r="J39" s="64">
        <v>115</v>
      </c>
      <c r="K39" s="65">
        <f t="shared" ref="K39:L55" si="6">G39*8/100</f>
        <v>57.76</v>
      </c>
      <c r="L39" s="68">
        <f t="shared" si="6"/>
        <v>68.56</v>
      </c>
      <c r="M39" s="303">
        <v>1579</v>
      </c>
      <c r="N39" s="303">
        <v>381</v>
      </c>
      <c r="O39" s="303">
        <v>381</v>
      </c>
      <c r="P39" s="303">
        <v>1238</v>
      </c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314</v>
      </c>
      <c r="E40" s="28">
        <v>69011730</v>
      </c>
      <c r="F40" s="29">
        <v>690106</v>
      </c>
      <c r="G40" s="45">
        <v>689</v>
      </c>
      <c r="H40" s="31">
        <v>803</v>
      </c>
      <c r="I40" s="63">
        <v>115</v>
      </c>
      <c r="J40" s="64">
        <v>115</v>
      </c>
      <c r="K40" s="65">
        <f t="shared" si="6"/>
        <v>55.12</v>
      </c>
      <c r="L40" s="68">
        <f t="shared" si="6"/>
        <v>64.239999999999995</v>
      </c>
      <c r="M40" s="303">
        <v>1710</v>
      </c>
      <c r="N40" s="303">
        <v>189</v>
      </c>
      <c r="O40" s="303">
        <v>189</v>
      </c>
      <c r="P40" s="303">
        <v>992</v>
      </c>
      <c r="Q40" s="35"/>
      <c r="R40" s="67">
        <v>2180</v>
      </c>
      <c r="S40" s="36"/>
      <c r="T40" s="36">
        <v>179.1</v>
      </c>
      <c r="U40" s="37"/>
      <c r="V40" s="37">
        <v>20</v>
      </c>
      <c r="W40" s="39"/>
      <c r="X40" s="39">
        <f>T40*1000/39.37/R40*38.5</f>
        <v>80.340477194715859</v>
      </c>
      <c r="Y40" s="40"/>
      <c r="Z40" s="40">
        <v>80.739999999999995</v>
      </c>
      <c r="AA40" s="41"/>
      <c r="AB40" s="42"/>
      <c r="AC40" s="43"/>
      <c r="AD40" s="43">
        <v>81.14</v>
      </c>
      <c r="AL40" s="1">
        <v>32</v>
      </c>
    </row>
    <row r="41" spans="1:38" ht="24" hidden="1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>
        <v>69011719</v>
      </c>
      <c r="F41" s="29">
        <v>690119</v>
      </c>
      <c r="G41" s="45">
        <v>770</v>
      </c>
      <c r="H41" s="31">
        <v>0</v>
      </c>
      <c r="I41" s="46">
        <v>120</v>
      </c>
      <c r="J41" s="32">
        <v>120</v>
      </c>
      <c r="K41" s="33">
        <f t="shared" si="6"/>
        <v>61.6</v>
      </c>
      <c r="L41" s="47">
        <f t="shared" si="6"/>
        <v>0</v>
      </c>
      <c r="M41" s="303">
        <v>2254</v>
      </c>
      <c r="N41" s="303">
        <v>524</v>
      </c>
      <c r="O41" s="303">
        <v>524</v>
      </c>
      <c r="P41" s="303">
        <v>524</v>
      </c>
      <c r="Q41" s="48">
        <v>2480</v>
      </c>
      <c r="R41" s="36"/>
      <c r="S41" s="36">
        <v>204.2</v>
      </c>
      <c r="T41" s="37"/>
      <c r="U41" s="38">
        <v>25</v>
      </c>
      <c r="V41" s="39"/>
      <c r="W41" s="39">
        <f>S41*1000/39.37/Q41*38.5</f>
        <v>80.51918523191884</v>
      </c>
      <c r="X41" s="40"/>
      <c r="Y41" s="40">
        <f t="shared" ref="Y41" si="7">(AC41+W41)/2</f>
        <v>81.954592615959427</v>
      </c>
      <c r="Z41" s="41"/>
      <c r="AA41" s="42"/>
      <c r="AB41" s="43"/>
      <c r="AC41" s="43">
        <v>83.39</v>
      </c>
      <c r="AD41" s="43"/>
    </row>
    <row r="42" spans="1:38" ht="23.25" hidden="1" customHeight="1" x14ac:dyDescent="0.4">
      <c r="A42" s="250" t="s">
        <v>98</v>
      </c>
      <c r="B42" s="246" t="s">
        <v>97</v>
      </c>
      <c r="C42" s="253" t="s">
        <v>69</v>
      </c>
      <c r="D42" s="256" t="s">
        <v>314</v>
      </c>
      <c r="E42" s="28"/>
      <c r="F42" s="29">
        <v>690119</v>
      </c>
      <c r="G42" s="45">
        <v>537</v>
      </c>
      <c r="H42" s="31">
        <v>0</v>
      </c>
      <c r="I42" s="46">
        <v>120</v>
      </c>
      <c r="J42" s="32">
        <v>120</v>
      </c>
      <c r="K42" s="33">
        <f t="shared" si="6"/>
        <v>42.96</v>
      </c>
      <c r="L42" s="47">
        <f t="shared" si="6"/>
        <v>0</v>
      </c>
      <c r="M42" s="303">
        <v>188</v>
      </c>
      <c r="N42" s="303">
        <v>725</v>
      </c>
      <c r="O42" s="303">
        <v>725</v>
      </c>
      <c r="P42" s="303">
        <v>725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hidden="1" customHeight="1" x14ac:dyDescent="0.4">
      <c r="A43" s="250" t="s">
        <v>99</v>
      </c>
      <c r="B43" s="246" t="s">
        <v>97</v>
      </c>
      <c r="C43" s="253" t="s">
        <v>69</v>
      </c>
      <c r="D43" s="256" t="s">
        <v>314</v>
      </c>
      <c r="E43" s="28"/>
      <c r="F43" s="29">
        <v>690136</v>
      </c>
      <c r="G43" s="45">
        <v>522</v>
      </c>
      <c r="H43" s="31">
        <v>0</v>
      </c>
      <c r="I43" s="46">
        <v>120</v>
      </c>
      <c r="J43" s="32">
        <v>120</v>
      </c>
      <c r="K43" s="33">
        <f t="shared" si="6"/>
        <v>41.76</v>
      </c>
      <c r="L43" s="47">
        <f t="shared" si="6"/>
        <v>0</v>
      </c>
      <c r="M43" s="303">
        <v>197</v>
      </c>
      <c r="N43" s="303">
        <v>719</v>
      </c>
      <c r="O43" s="303">
        <v>719</v>
      </c>
      <c r="P43" s="303">
        <v>719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hidden="1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/>
      <c r="F44" s="29">
        <v>690128</v>
      </c>
      <c r="G44" s="69">
        <v>293</v>
      </c>
      <c r="H44" s="31">
        <v>0</v>
      </c>
      <c r="I44" s="46">
        <v>120</v>
      </c>
      <c r="J44" s="32">
        <v>120</v>
      </c>
      <c r="K44" s="33">
        <f t="shared" si="6"/>
        <v>23.44</v>
      </c>
      <c r="L44" s="47">
        <f t="shared" si="6"/>
        <v>0</v>
      </c>
      <c r="M44" s="303">
        <v>327</v>
      </c>
      <c r="N44" s="303">
        <v>620</v>
      </c>
      <c r="O44" s="303">
        <v>620</v>
      </c>
      <c r="P44" s="303">
        <v>620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hidden="1" customHeight="1" thickBot="1" x14ac:dyDescent="0.4">
      <c r="A45" s="250" t="s">
        <v>102</v>
      </c>
      <c r="B45" s="246" t="s">
        <v>97</v>
      </c>
      <c r="C45" s="253" t="s">
        <v>69</v>
      </c>
      <c r="D45" s="256" t="s">
        <v>314</v>
      </c>
      <c r="E45" s="28"/>
      <c r="F45" s="29">
        <v>690136</v>
      </c>
      <c r="G45" s="45">
        <v>0</v>
      </c>
      <c r="H45" s="31">
        <v>0</v>
      </c>
      <c r="I45" s="63">
        <v>120</v>
      </c>
      <c r="J45" s="64">
        <v>120</v>
      </c>
      <c r="K45" s="65">
        <f t="shared" si="6"/>
        <v>0</v>
      </c>
      <c r="L45" s="68">
        <f t="shared" si="6"/>
        <v>0</v>
      </c>
      <c r="M45" s="308">
        <v>716</v>
      </c>
      <c r="N45" s="308">
        <v>716</v>
      </c>
      <c r="O45" s="308">
        <v>716</v>
      </c>
      <c r="P45" s="308">
        <v>716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hidden="1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/>
      <c r="F46" s="29">
        <v>690128</v>
      </c>
      <c r="G46" s="45">
        <v>0</v>
      </c>
      <c r="H46" s="31">
        <v>0</v>
      </c>
      <c r="I46" s="46">
        <v>650</v>
      </c>
      <c r="J46" s="32">
        <v>650</v>
      </c>
      <c r="K46" s="33">
        <f t="shared" si="6"/>
        <v>0</v>
      </c>
      <c r="L46" s="47">
        <f t="shared" si="6"/>
        <v>0</v>
      </c>
      <c r="M46" s="305">
        <v>1265</v>
      </c>
      <c r="N46" s="305">
        <v>1265</v>
      </c>
      <c r="O46" s="305">
        <v>1265</v>
      </c>
      <c r="P46" s="305">
        <v>1265</v>
      </c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239"/>
      <c r="AD46" s="43"/>
      <c r="AE46" s="72"/>
    </row>
    <row r="47" spans="1:38" ht="20.25" hidden="1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59"/>
      <c r="F47" s="29">
        <v>690128</v>
      </c>
      <c r="G47" s="45">
        <v>0</v>
      </c>
      <c r="H47" s="31">
        <v>0</v>
      </c>
      <c r="I47" s="63">
        <v>650</v>
      </c>
      <c r="J47" s="64">
        <v>650</v>
      </c>
      <c r="K47" s="65">
        <f t="shared" si="6"/>
        <v>0</v>
      </c>
      <c r="L47" s="68">
        <f t="shared" si="6"/>
        <v>0</v>
      </c>
      <c r="M47" s="303">
        <v>1062</v>
      </c>
      <c r="N47" s="303">
        <v>1062</v>
      </c>
      <c r="O47" s="303">
        <v>1062</v>
      </c>
      <c r="P47" s="303">
        <v>1062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hidden="1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/>
      <c r="F48" s="29">
        <v>690128</v>
      </c>
      <c r="G48" s="69">
        <v>0</v>
      </c>
      <c r="H48" s="31">
        <v>0</v>
      </c>
      <c r="I48" s="63">
        <v>650</v>
      </c>
      <c r="J48" s="64">
        <v>650</v>
      </c>
      <c r="K48" s="65">
        <f t="shared" si="6"/>
        <v>0</v>
      </c>
      <c r="L48" s="68">
        <f t="shared" si="6"/>
        <v>0</v>
      </c>
      <c r="M48" s="303">
        <v>845</v>
      </c>
      <c r="N48" s="303">
        <v>845</v>
      </c>
      <c r="O48" s="303">
        <v>845</v>
      </c>
      <c r="P48" s="303">
        <v>845</v>
      </c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239"/>
      <c r="AD48" s="43"/>
    </row>
    <row r="49" spans="1:35" ht="24" hidden="1" customHeight="1" x14ac:dyDescent="0.4">
      <c r="A49" s="251" t="s">
        <v>107</v>
      </c>
      <c r="B49" s="246" t="s">
        <v>90</v>
      </c>
      <c r="C49" s="253" t="s">
        <v>89</v>
      </c>
      <c r="D49" s="256" t="s">
        <v>314</v>
      </c>
      <c r="E49" s="28"/>
      <c r="F49" s="29">
        <v>690136</v>
      </c>
      <c r="G49" s="73">
        <v>0</v>
      </c>
      <c r="H49" s="31">
        <v>0</v>
      </c>
      <c r="I49" s="46">
        <v>650</v>
      </c>
      <c r="J49" s="32">
        <v>650</v>
      </c>
      <c r="K49" s="33">
        <f t="shared" si="6"/>
        <v>0</v>
      </c>
      <c r="L49" s="47">
        <f t="shared" si="6"/>
        <v>0</v>
      </c>
      <c r="M49" s="303">
        <v>1180</v>
      </c>
      <c r="N49" s="303">
        <v>1180</v>
      </c>
      <c r="O49" s="303">
        <v>1180</v>
      </c>
      <c r="P49" s="303">
        <v>1180</v>
      </c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hidden="1" customHeight="1" thickBot="1" x14ac:dyDescent="0.4">
      <c r="A50" s="251" t="s">
        <v>108</v>
      </c>
      <c r="B50" s="246" t="s">
        <v>90</v>
      </c>
      <c r="C50" s="253" t="s">
        <v>89</v>
      </c>
      <c r="D50" s="256" t="s">
        <v>314</v>
      </c>
      <c r="E50" s="28"/>
      <c r="F50" s="29">
        <v>690136</v>
      </c>
      <c r="G50" s="74">
        <v>0</v>
      </c>
      <c r="H50" s="31">
        <v>0</v>
      </c>
      <c r="I50" s="46">
        <v>650</v>
      </c>
      <c r="J50" s="32">
        <v>650</v>
      </c>
      <c r="K50" s="33">
        <f t="shared" si="6"/>
        <v>0</v>
      </c>
      <c r="L50" s="47">
        <f t="shared" si="6"/>
        <v>0</v>
      </c>
      <c r="M50" s="309">
        <v>1593</v>
      </c>
      <c r="N50" s="309">
        <v>1593</v>
      </c>
      <c r="O50" s="309">
        <v>1593</v>
      </c>
      <c r="P50" s="309">
        <v>1593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hidden="1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52</v>
      </c>
      <c r="E51" s="28"/>
      <c r="F51" s="29">
        <v>690113</v>
      </c>
      <c r="G51" s="45">
        <v>660</v>
      </c>
      <c r="H51" s="31">
        <v>0</v>
      </c>
      <c r="I51" s="46">
        <v>650</v>
      </c>
      <c r="J51" s="32">
        <v>650</v>
      </c>
      <c r="K51" s="33">
        <f t="shared" si="6"/>
        <v>52.8</v>
      </c>
      <c r="L51" s="47">
        <f t="shared" si="6"/>
        <v>0</v>
      </c>
      <c r="M51" s="310">
        <v>40</v>
      </c>
      <c r="N51" s="310">
        <v>700</v>
      </c>
      <c r="O51" s="310">
        <v>700</v>
      </c>
      <c r="P51" s="310">
        <v>700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" hidden="1" customHeight="1" x14ac:dyDescent="0.4">
      <c r="A52" s="251" t="s">
        <v>110</v>
      </c>
      <c r="B52" s="246" t="s">
        <v>46</v>
      </c>
      <c r="C52" s="253" t="s">
        <v>45</v>
      </c>
      <c r="D52" s="256" t="s">
        <v>314</v>
      </c>
      <c r="E52" s="28">
        <v>69011701</v>
      </c>
      <c r="F52" s="29">
        <v>690136</v>
      </c>
      <c r="G52" s="45">
        <v>790</v>
      </c>
      <c r="H52" s="31">
        <v>0</v>
      </c>
      <c r="I52" s="46">
        <v>125</v>
      </c>
      <c r="J52" s="32">
        <v>125</v>
      </c>
      <c r="K52" s="33">
        <f t="shared" si="6"/>
        <v>63.2</v>
      </c>
      <c r="L52" s="47">
        <f t="shared" si="6"/>
        <v>0</v>
      </c>
      <c r="M52" s="307">
        <v>2470</v>
      </c>
      <c r="N52" s="307">
        <v>760</v>
      </c>
      <c r="O52" s="307">
        <v>760</v>
      </c>
      <c r="P52" s="307">
        <v>760</v>
      </c>
      <c r="Q52" s="35">
        <v>2500</v>
      </c>
      <c r="R52" s="48"/>
      <c r="S52" s="36">
        <v>210.6</v>
      </c>
      <c r="T52" s="36"/>
      <c r="U52" s="37">
        <v>25</v>
      </c>
      <c r="V52" s="38"/>
      <c r="W52" s="39">
        <f>S52*1000/39.37/Q52*38.5</f>
        <v>82.378460756921513</v>
      </c>
      <c r="X52" s="39"/>
      <c r="Y52" s="40">
        <f t="shared" ref="Y52" si="8">(AC52+W52)/2</f>
        <v>84.034230378460762</v>
      </c>
      <c r="Z52" s="40"/>
      <c r="AA52" s="41"/>
      <c r="AB52" s="42"/>
      <c r="AC52" s="43">
        <v>85.69</v>
      </c>
      <c r="AD52" s="43"/>
    </row>
    <row r="53" spans="1:35" ht="24" hidden="1" customHeight="1" x14ac:dyDescent="0.4">
      <c r="A53" s="251" t="s">
        <v>111</v>
      </c>
      <c r="B53" s="246" t="s">
        <v>46</v>
      </c>
      <c r="C53" s="253" t="s">
        <v>45</v>
      </c>
      <c r="D53" s="256" t="s">
        <v>52</v>
      </c>
      <c r="E53" s="28"/>
      <c r="F53" s="29">
        <v>690113</v>
      </c>
      <c r="G53" s="69">
        <v>945</v>
      </c>
      <c r="H53" s="31">
        <v>0</v>
      </c>
      <c r="I53" s="46">
        <v>125</v>
      </c>
      <c r="J53" s="32">
        <v>125</v>
      </c>
      <c r="K53" s="33">
        <f t="shared" si="6"/>
        <v>75.599999999999994</v>
      </c>
      <c r="L53" s="47">
        <f t="shared" si="6"/>
        <v>0</v>
      </c>
      <c r="M53" s="303">
        <v>355</v>
      </c>
      <c r="N53" s="303">
        <v>1300</v>
      </c>
      <c r="O53" s="303">
        <v>1300</v>
      </c>
      <c r="P53" s="303">
        <v>1300</v>
      </c>
      <c r="Q53" s="35"/>
      <c r="R53" s="48"/>
      <c r="S53" s="36"/>
      <c r="T53" s="36"/>
      <c r="U53" s="37"/>
      <c r="V53" s="38"/>
      <c r="W53" s="39"/>
      <c r="X53" s="39"/>
      <c r="Y53" s="40"/>
      <c r="Z53" s="40"/>
      <c r="AA53" s="41"/>
      <c r="AB53" s="42"/>
      <c r="AC53" s="43"/>
      <c r="AD53" s="43"/>
    </row>
    <row r="54" spans="1:35" ht="24" hidden="1" customHeight="1" x14ac:dyDescent="0.4">
      <c r="A54" s="251" t="s">
        <v>112</v>
      </c>
      <c r="B54" s="246" t="s">
        <v>46</v>
      </c>
      <c r="C54" s="253" t="s">
        <v>45</v>
      </c>
      <c r="D54" s="256" t="s">
        <v>314</v>
      </c>
      <c r="E54" s="28">
        <v>69011736</v>
      </c>
      <c r="F54" s="29">
        <v>690106</v>
      </c>
      <c r="G54" s="69">
        <v>650</v>
      </c>
      <c r="H54" s="31">
        <v>0</v>
      </c>
      <c r="I54" s="63">
        <v>125</v>
      </c>
      <c r="J54" s="64">
        <v>125</v>
      </c>
      <c r="K54" s="65">
        <f t="shared" si="6"/>
        <v>52</v>
      </c>
      <c r="L54" s="68">
        <f t="shared" si="6"/>
        <v>0</v>
      </c>
      <c r="M54" s="303">
        <v>1145</v>
      </c>
      <c r="N54" s="303">
        <v>10</v>
      </c>
      <c r="O54" s="303">
        <v>10</v>
      </c>
      <c r="P54" s="303">
        <v>10</v>
      </c>
      <c r="Q54" s="35"/>
      <c r="R54" s="48">
        <v>1785</v>
      </c>
      <c r="S54" s="36"/>
      <c r="T54" s="36">
        <v>150.6</v>
      </c>
      <c r="U54" s="37"/>
      <c r="V54" s="38">
        <v>15</v>
      </c>
      <c r="W54" s="39"/>
      <c r="X54" s="39">
        <f>T54*1000/39.37/R54*38.5</f>
        <v>82.505341481271202</v>
      </c>
      <c r="Y54" s="40"/>
      <c r="Z54" s="40">
        <v>81.3</v>
      </c>
      <c r="AA54" s="41"/>
      <c r="AB54" s="42"/>
      <c r="AC54" s="43"/>
      <c r="AD54" s="43">
        <v>80.09</v>
      </c>
    </row>
    <row r="55" spans="1:35" ht="24" hidden="1" customHeight="1" x14ac:dyDescent="0.4">
      <c r="A55" s="251" t="s">
        <v>113</v>
      </c>
      <c r="B55" s="246" t="s">
        <v>46</v>
      </c>
      <c r="C55" s="253" t="s">
        <v>45</v>
      </c>
      <c r="D55" s="256" t="s">
        <v>314</v>
      </c>
      <c r="E55" s="28">
        <v>69011718</v>
      </c>
      <c r="F55" s="29">
        <v>690136</v>
      </c>
      <c r="G55" s="45">
        <v>885</v>
      </c>
      <c r="H55" s="31">
        <v>0</v>
      </c>
      <c r="I55" s="46">
        <v>125</v>
      </c>
      <c r="J55" s="32">
        <v>125</v>
      </c>
      <c r="K55" s="33">
        <f t="shared" si="6"/>
        <v>70.8</v>
      </c>
      <c r="L55" s="47">
        <f t="shared" si="6"/>
        <v>0</v>
      </c>
      <c r="M55" s="303">
        <v>2185</v>
      </c>
      <c r="N55" s="303">
        <v>550</v>
      </c>
      <c r="O55" s="303">
        <v>550</v>
      </c>
      <c r="P55" s="303">
        <v>550</v>
      </c>
      <c r="Q55" s="48">
        <v>2520</v>
      </c>
      <c r="R55" s="36"/>
      <c r="S55" s="36">
        <v>213</v>
      </c>
      <c r="T55" s="37"/>
      <c r="U55" s="38">
        <v>25</v>
      </c>
      <c r="V55" s="39"/>
      <c r="W55" s="39">
        <f>S55*1000/39.37/Q55*38.5</f>
        <v>82.655998645330627</v>
      </c>
      <c r="X55" s="40"/>
      <c r="Y55" s="40">
        <f t="shared" ref="Y55" si="9">(AC55+W55)/2</f>
        <v>83.852999322665312</v>
      </c>
      <c r="Z55" s="41"/>
      <c r="AA55" s="42"/>
      <c r="AB55" s="43"/>
      <c r="AC55" s="43">
        <v>85.05</v>
      </c>
      <c r="AD55" s="43"/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>
        <v>69011733</v>
      </c>
      <c r="F56" s="29">
        <v>690106</v>
      </c>
      <c r="G56" s="45">
        <v>890</v>
      </c>
      <c r="H56" s="31">
        <v>809</v>
      </c>
      <c r="I56" s="63">
        <v>115</v>
      </c>
      <c r="J56" s="64">
        <v>115</v>
      </c>
      <c r="K56" s="65">
        <v>0</v>
      </c>
      <c r="L56" s="68">
        <v>0</v>
      </c>
      <c r="M56" s="303">
        <v>1457</v>
      </c>
      <c r="N56" s="303">
        <v>207</v>
      </c>
      <c r="O56" s="303">
        <v>207</v>
      </c>
      <c r="P56" s="303">
        <v>1016</v>
      </c>
      <c r="Q56" s="35"/>
      <c r="R56" s="48">
        <v>2140</v>
      </c>
      <c r="S56" s="36"/>
      <c r="T56" s="36">
        <v>176.9</v>
      </c>
      <c r="U56" s="37"/>
      <c r="V56" s="38">
        <v>20</v>
      </c>
      <c r="W56" s="39"/>
      <c r="X56" s="39">
        <f>T56*1000/39.37/R56*38.5</f>
        <v>80.836848589585045</v>
      </c>
      <c r="Y56" s="40"/>
      <c r="Z56" s="40">
        <v>82</v>
      </c>
      <c r="AA56" s="41"/>
      <c r="AB56" s="41"/>
      <c r="AC56" s="43"/>
      <c r="AD56" s="43">
        <v>83.15</v>
      </c>
    </row>
    <row r="57" spans="1:35" ht="24" customHeight="1" x14ac:dyDescent="0.5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935</v>
      </c>
      <c r="H57" s="31">
        <v>773</v>
      </c>
      <c r="I57" s="46">
        <v>115</v>
      </c>
      <c r="J57" s="32">
        <v>115</v>
      </c>
      <c r="K57" s="33">
        <f t="shared" ref="K57:L82" si="10">G57*8/100</f>
        <v>74.8</v>
      </c>
      <c r="L57" s="47">
        <f t="shared" si="10"/>
        <v>61.84</v>
      </c>
      <c r="M57" s="308">
        <v>1372</v>
      </c>
      <c r="N57" s="308">
        <v>807</v>
      </c>
      <c r="O57" s="308">
        <v>807</v>
      </c>
      <c r="P57" s="308">
        <v>80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hidden="1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/>
      <c r="F58" s="29">
        <v>690107</v>
      </c>
      <c r="G58" s="45">
        <v>950</v>
      </c>
      <c r="H58" s="31">
        <v>0</v>
      </c>
      <c r="I58" s="46">
        <v>135</v>
      </c>
      <c r="J58" s="32">
        <v>135</v>
      </c>
      <c r="K58" s="33">
        <f t="shared" si="10"/>
        <v>76</v>
      </c>
      <c r="L58" s="47">
        <f t="shared" si="10"/>
        <v>0</v>
      </c>
      <c r="M58" s="305">
        <v>380</v>
      </c>
      <c r="N58" s="305">
        <v>1330</v>
      </c>
      <c r="O58" s="305">
        <v>1330</v>
      </c>
      <c r="P58" s="305">
        <v>1330</v>
      </c>
      <c r="Q58" s="35"/>
      <c r="R58" s="48"/>
      <c r="S58" s="36"/>
      <c r="T58" s="36"/>
      <c r="U58" s="37"/>
      <c r="V58" s="38"/>
      <c r="W58" s="39"/>
      <c r="X58" s="39"/>
      <c r="Y58" s="40"/>
      <c r="Z58" s="40"/>
      <c r="AA58" s="41"/>
      <c r="AB58" s="41"/>
      <c r="AC58" s="43"/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/>
      <c r="F59" s="29">
        <v>690106</v>
      </c>
      <c r="G59" s="45">
        <v>1010</v>
      </c>
      <c r="H59" s="31">
        <v>850</v>
      </c>
      <c r="I59" s="46">
        <v>135</v>
      </c>
      <c r="J59" s="32">
        <v>135</v>
      </c>
      <c r="K59" s="33">
        <f t="shared" si="10"/>
        <v>80.8</v>
      </c>
      <c r="L59" s="47">
        <f t="shared" si="10"/>
        <v>68</v>
      </c>
      <c r="M59" s="303">
        <v>615</v>
      </c>
      <c r="N59" s="303">
        <v>1625</v>
      </c>
      <c r="O59" s="303">
        <v>1625</v>
      </c>
      <c r="P59" s="303">
        <v>2475</v>
      </c>
      <c r="Q59" s="35"/>
      <c r="R59" s="48"/>
      <c r="S59" s="36"/>
      <c r="T59" s="36"/>
      <c r="U59" s="37"/>
      <c r="V59" s="38"/>
      <c r="W59" s="39"/>
      <c r="X59" s="39"/>
      <c r="Y59" s="40"/>
      <c r="Z59" s="40"/>
      <c r="AA59" s="41"/>
      <c r="AB59" s="42"/>
      <c r="AC59" s="43"/>
      <c r="AD59" s="43"/>
      <c r="AI59" s="75"/>
    </row>
    <row r="60" spans="1:35" ht="24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8"/>
      <c r="F60" s="29">
        <v>690106</v>
      </c>
      <c r="G60" s="45">
        <v>1020</v>
      </c>
      <c r="H60" s="31">
        <v>830</v>
      </c>
      <c r="I60" s="46">
        <v>135</v>
      </c>
      <c r="J60" s="64">
        <v>135</v>
      </c>
      <c r="K60" s="65">
        <f t="shared" si="10"/>
        <v>81.599999999999994</v>
      </c>
      <c r="L60" s="68">
        <f t="shared" si="10"/>
        <v>66.400000000000006</v>
      </c>
      <c r="M60" s="303">
        <v>400</v>
      </c>
      <c r="N60" s="303">
        <v>1420</v>
      </c>
      <c r="O60" s="303">
        <v>1420</v>
      </c>
      <c r="P60" s="303">
        <v>2250</v>
      </c>
      <c r="Q60" s="35"/>
      <c r="R60" s="48"/>
      <c r="S60" s="36"/>
      <c r="T60" s="36"/>
      <c r="U60" s="37"/>
      <c r="V60" s="38"/>
      <c r="W60" s="39"/>
      <c r="X60" s="39"/>
      <c r="Y60" s="40"/>
      <c r="Z60" s="40"/>
      <c r="AA60" s="41"/>
      <c r="AB60" s="42"/>
      <c r="AC60" s="43"/>
      <c r="AD60" s="43"/>
    </row>
    <row r="61" spans="1:35" ht="24.75" hidden="1" customHeight="1" x14ac:dyDescent="0.4">
      <c r="A61" s="251" t="s">
        <v>124</v>
      </c>
      <c r="B61" s="246" t="s">
        <v>121</v>
      </c>
      <c r="C61" s="253" t="s">
        <v>120</v>
      </c>
      <c r="D61" s="256" t="s">
        <v>314</v>
      </c>
      <c r="E61" s="28">
        <v>69011720</v>
      </c>
      <c r="F61" s="29">
        <v>690136</v>
      </c>
      <c r="G61" s="45">
        <v>1057</v>
      </c>
      <c r="H61" s="31">
        <v>0</v>
      </c>
      <c r="I61" s="46">
        <v>135</v>
      </c>
      <c r="J61" s="64">
        <v>135</v>
      </c>
      <c r="K61" s="65">
        <f t="shared" si="10"/>
        <v>84.56</v>
      </c>
      <c r="L61" s="68">
        <f t="shared" si="10"/>
        <v>0</v>
      </c>
      <c r="M61" s="303">
        <v>2094</v>
      </c>
      <c r="N61" s="303">
        <v>555</v>
      </c>
      <c r="O61" s="303">
        <v>555</v>
      </c>
      <c r="P61" s="303">
        <v>555</v>
      </c>
      <c r="Q61" s="48">
        <v>2515</v>
      </c>
      <c r="R61" s="36"/>
      <c r="S61" s="36">
        <v>206.1</v>
      </c>
      <c r="T61" s="37"/>
      <c r="U61" s="38">
        <v>25</v>
      </c>
      <c r="V61" s="39"/>
      <c r="W61" s="39">
        <f>S61*1000/39.37/Q61*38.5</f>
        <v>80.137412759914994</v>
      </c>
      <c r="X61" s="40"/>
      <c r="Y61" s="40">
        <f t="shared" ref="Y61" si="11">(AC61+W61)/2</f>
        <v>80.508706379957488</v>
      </c>
      <c r="Z61" s="41"/>
      <c r="AA61" s="42"/>
      <c r="AB61" s="43"/>
      <c r="AC61" s="43">
        <v>80.88</v>
      </c>
      <c r="AD61" s="43"/>
    </row>
    <row r="62" spans="1:35" ht="24" hidden="1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314</v>
      </c>
      <c r="E62" s="28">
        <v>69011717</v>
      </c>
      <c r="F62" s="29">
        <v>690108</v>
      </c>
      <c r="G62" s="45">
        <v>1055</v>
      </c>
      <c r="H62" s="31">
        <v>0</v>
      </c>
      <c r="I62" s="46">
        <v>135</v>
      </c>
      <c r="J62" s="32">
        <v>135</v>
      </c>
      <c r="K62" s="33">
        <f t="shared" si="10"/>
        <v>84.4</v>
      </c>
      <c r="L62" s="47">
        <f t="shared" si="10"/>
        <v>0</v>
      </c>
      <c r="M62" s="306">
        <v>2105</v>
      </c>
      <c r="N62" s="306">
        <v>575</v>
      </c>
      <c r="O62" s="306">
        <v>575</v>
      </c>
      <c r="P62" s="306">
        <v>575</v>
      </c>
      <c r="Q62" s="48">
        <v>2510</v>
      </c>
      <c r="R62" s="36"/>
      <c r="S62" s="36">
        <v>206</v>
      </c>
      <c r="T62" s="37"/>
      <c r="U62" s="38">
        <v>25</v>
      </c>
      <c r="V62" s="39"/>
      <c r="W62" s="39">
        <f>S62*1000/39.37/Q62*38.5</f>
        <v>80.258088803030205</v>
      </c>
      <c r="X62" s="40"/>
      <c r="Y62" s="40">
        <f t="shared" ref="Y62" si="12">(AC62+W62)/2</f>
        <v>81.204044401515105</v>
      </c>
      <c r="Z62" s="41"/>
      <c r="AA62" s="42"/>
      <c r="AB62" s="43"/>
      <c r="AC62" s="43">
        <v>82.15</v>
      </c>
      <c r="AD62" s="43"/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57</v>
      </c>
      <c r="E63" s="28">
        <v>69011729</v>
      </c>
      <c r="F63" s="29">
        <v>690106</v>
      </c>
      <c r="G63" s="45">
        <v>850</v>
      </c>
      <c r="H63" s="31">
        <v>850</v>
      </c>
      <c r="I63" s="46">
        <v>135</v>
      </c>
      <c r="J63" s="64">
        <v>135</v>
      </c>
      <c r="K63" s="65">
        <f t="shared" si="10"/>
        <v>68</v>
      </c>
      <c r="L63" s="68">
        <f t="shared" si="10"/>
        <v>68</v>
      </c>
      <c r="M63" s="303">
        <v>555</v>
      </c>
      <c r="N63" s="303">
        <v>150</v>
      </c>
      <c r="O63" s="303">
        <v>150</v>
      </c>
      <c r="P63" s="303">
        <v>1000</v>
      </c>
      <c r="Q63" s="35"/>
      <c r="R63" s="48">
        <v>1255</v>
      </c>
      <c r="S63" s="36"/>
      <c r="T63" s="36">
        <v>99</v>
      </c>
      <c r="U63" s="37"/>
      <c r="V63" s="38">
        <v>10</v>
      </c>
      <c r="W63" s="39"/>
      <c r="X63" s="39">
        <f>T63*1000/39.37/R63*31.5</f>
        <v>63.115584398499486</v>
      </c>
      <c r="Y63" s="40"/>
      <c r="Z63" s="40">
        <v>64.34</v>
      </c>
      <c r="AA63" s="41"/>
      <c r="AB63" s="42"/>
      <c r="AC63" s="43"/>
      <c r="AD63" s="43">
        <v>65.55</v>
      </c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>
        <v>69011716</v>
      </c>
      <c r="F64" s="29">
        <v>690106</v>
      </c>
      <c r="G64" s="45">
        <v>1135</v>
      </c>
      <c r="H64" s="31">
        <v>820</v>
      </c>
      <c r="I64" s="46">
        <v>135</v>
      </c>
      <c r="J64" s="64">
        <v>135</v>
      </c>
      <c r="K64" s="65">
        <f t="shared" si="10"/>
        <v>90.8</v>
      </c>
      <c r="L64" s="76">
        <f t="shared" si="10"/>
        <v>65.599999999999994</v>
      </c>
      <c r="M64" s="303">
        <v>1965</v>
      </c>
      <c r="N64" s="303">
        <v>560</v>
      </c>
      <c r="O64" s="303">
        <v>560</v>
      </c>
      <c r="P64" s="303">
        <v>1380</v>
      </c>
      <c r="Q64" s="48">
        <v>2510</v>
      </c>
      <c r="R64" s="36"/>
      <c r="S64" s="36">
        <v>198.2</v>
      </c>
      <c r="T64" s="37"/>
      <c r="U64" s="38">
        <v>25</v>
      </c>
      <c r="V64" s="39"/>
      <c r="W64" s="39">
        <f>S64*1000/39.37/Q64*31.5</f>
        <v>63.179337514053522</v>
      </c>
      <c r="X64" s="40"/>
      <c r="Y64" s="40">
        <f t="shared" ref="Y64" si="13">(AC64+W64)/2</f>
        <v>64.694668757026761</v>
      </c>
      <c r="Z64" s="41"/>
      <c r="AA64" s="42"/>
      <c r="AB64" s="43"/>
      <c r="AC64" s="43">
        <v>66.209999999999994</v>
      </c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>
        <v>69011728</v>
      </c>
      <c r="F65" s="29">
        <v>690106</v>
      </c>
      <c r="G65" s="69">
        <v>1055</v>
      </c>
      <c r="H65" s="31">
        <v>900</v>
      </c>
      <c r="I65" s="46">
        <v>135</v>
      </c>
      <c r="J65" s="32">
        <v>135</v>
      </c>
      <c r="K65" s="33">
        <f t="shared" si="10"/>
        <v>84.4</v>
      </c>
      <c r="L65" s="47">
        <f t="shared" si="10"/>
        <v>72</v>
      </c>
      <c r="M65" s="303">
        <v>380</v>
      </c>
      <c r="N65" s="303">
        <v>150</v>
      </c>
      <c r="O65" s="303">
        <v>150</v>
      </c>
      <c r="P65" s="303">
        <v>1050</v>
      </c>
      <c r="Q65" s="35"/>
      <c r="R65" s="48">
        <v>1260</v>
      </c>
      <c r="S65" s="36"/>
      <c r="T65" s="36">
        <v>99.8</v>
      </c>
      <c r="U65" s="37"/>
      <c r="V65" s="38">
        <v>10</v>
      </c>
      <c r="W65" s="39"/>
      <c r="X65" s="39">
        <f>T65*1000/39.37/R65*31.5</f>
        <v>63.373126746253497</v>
      </c>
      <c r="Y65" s="40"/>
      <c r="Z65" s="40">
        <v>64.44</v>
      </c>
      <c r="AA65" s="41"/>
      <c r="AB65" s="42"/>
      <c r="AC65" s="43"/>
      <c r="AD65" s="43">
        <v>65.5</v>
      </c>
    </row>
    <row r="66" spans="1:30" ht="24" hidden="1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120</v>
      </c>
      <c r="H66" s="31">
        <v>0</v>
      </c>
      <c r="I66" s="46">
        <v>135</v>
      </c>
      <c r="J66" s="32">
        <v>135</v>
      </c>
      <c r="K66" s="33">
        <f t="shared" si="10"/>
        <v>9.6</v>
      </c>
      <c r="L66" s="47">
        <f t="shared" si="10"/>
        <v>0</v>
      </c>
      <c r="M66" s="303">
        <v>1000</v>
      </c>
      <c r="N66" s="303">
        <v>1120</v>
      </c>
      <c r="O66" s="303">
        <v>1120</v>
      </c>
      <c r="P66" s="303">
        <v>1120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hidden="1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>
        <v>69011721</v>
      </c>
      <c r="F67" s="29">
        <v>690128</v>
      </c>
      <c r="G67" s="45">
        <v>900</v>
      </c>
      <c r="H67" s="31">
        <v>0</v>
      </c>
      <c r="I67" s="46">
        <v>135</v>
      </c>
      <c r="J67" s="32">
        <v>135</v>
      </c>
      <c r="K67" s="33">
        <f t="shared" si="10"/>
        <v>72</v>
      </c>
      <c r="L67" s="47">
        <f t="shared" si="10"/>
        <v>0</v>
      </c>
      <c r="M67" s="303">
        <v>1225</v>
      </c>
      <c r="N67" s="303">
        <v>425</v>
      </c>
      <c r="O67" s="303">
        <v>425</v>
      </c>
      <c r="P67" s="303">
        <v>425</v>
      </c>
      <c r="Q67" s="35"/>
      <c r="R67" s="48">
        <v>1665</v>
      </c>
      <c r="S67" s="36"/>
      <c r="T67" s="36">
        <v>187.8</v>
      </c>
      <c r="U67" s="37"/>
      <c r="V67" s="38">
        <v>15</v>
      </c>
      <c r="W67" s="39"/>
      <c r="X67" s="39">
        <f>T67*1000/39.37/R67*42.5</f>
        <v>121.7600633399465</v>
      </c>
      <c r="Y67" s="40"/>
      <c r="Z67" s="40">
        <f t="shared" ref="Z67" si="14">(AD67+X67)/2</f>
        <v>122.12503166997325</v>
      </c>
      <c r="AA67" s="41"/>
      <c r="AB67" s="235"/>
      <c r="AC67" s="239"/>
      <c r="AD67" s="43">
        <v>122.49</v>
      </c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47</v>
      </c>
      <c r="E68" s="28">
        <v>69011732</v>
      </c>
      <c r="F68" s="29">
        <v>690119</v>
      </c>
      <c r="G68" s="69">
        <v>900</v>
      </c>
      <c r="H68" s="31">
        <v>994</v>
      </c>
      <c r="I68" s="46">
        <v>130</v>
      </c>
      <c r="J68" s="32">
        <v>130</v>
      </c>
      <c r="K68" s="33">
        <f t="shared" si="10"/>
        <v>72</v>
      </c>
      <c r="L68" s="47">
        <f t="shared" si="10"/>
        <v>79.52</v>
      </c>
      <c r="M68" s="303">
        <v>1303</v>
      </c>
      <c r="N68" s="303">
        <v>115</v>
      </c>
      <c r="O68" s="303">
        <v>115</v>
      </c>
      <c r="P68" s="303">
        <v>1109</v>
      </c>
      <c r="Q68" s="35"/>
      <c r="R68" s="48">
        <v>2040</v>
      </c>
      <c r="S68" s="36"/>
      <c r="T68" s="36">
        <v>167.1</v>
      </c>
      <c r="U68" s="37"/>
      <c r="V68" s="38">
        <v>20</v>
      </c>
      <c r="W68" s="39"/>
      <c r="X68" s="39">
        <f>T68*1000/39.37/R68*38.5</f>
        <v>80.101674909232159</v>
      </c>
      <c r="Y68" s="40"/>
      <c r="Z68" s="40">
        <v>80.8</v>
      </c>
      <c r="AA68" s="41"/>
      <c r="AB68" s="42"/>
      <c r="AC68" s="43"/>
      <c r="AD68" s="43">
        <v>81.5</v>
      </c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140</v>
      </c>
      <c r="E69" s="28">
        <v>69011703</v>
      </c>
      <c r="F69" s="29">
        <v>690119</v>
      </c>
      <c r="G69" s="69">
        <v>925</v>
      </c>
      <c r="H69" s="31">
        <v>1031</v>
      </c>
      <c r="I69" s="46">
        <v>780</v>
      </c>
      <c r="J69" s="32">
        <v>780</v>
      </c>
      <c r="K69" s="33">
        <f t="shared" si="10"/>
        <v>74</v>
      </c>
      <c r="L69" s="47">
        <f t="shared" si="10"/>
        <v>82.48</v>
      </c>
      <c r="M69" s="303">
        <v>0</v>
      </c>
      <c r="N69" s="303">
        <v>925</v>
      </c>
      <c r="O69" s="303">
        <v>925</v>
      </c>
      <c r="P69" s="303">
        <v>1956</v>
      </c>
      <c r="Q69" s="35">
        <v>1020</v>
      </c>
      <c r="R69" s="48"/>
      <c r="S69" s="36">
        <v>80</v>
      </c>
      <c r="T69" s="36"/>
      <c r="U69" s="37">
        <v>10</v>
      </c>
      <c r="V69" s="38"/>
      <c r="W69" s="39">
        <f>S69*1000/39.37/Q69*38.5</f>
        <v>76.698192612071495</v>
      </c>
      <c r="X69" s="39"/>
      <c r="Y69" s="40">
        <f t="shared" ref="Y69" si="15">(AC69+W69)/2</f>
        <v>75.479096306035757</v>
      </c>
      <c r="Z69" s="40"/>
      <c r="AA69" s="41"/>
      <c r="AB69" s="42"/>
      <c r="AC69" s="43">
        <v>74.260000000000005</v>
      </c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57</v>
      </c>
      <c r="E70" s="28"/>
      <c r="F70" s="29">
        <v>690119</v>
      </c>
      <c r="G70" s="45">
        <v>825</v>
      </c>
      <c r="H70" s="31">
        <v>937</v>
      </c>
      <c r="I70" s="46">
        <v>780</v>
      </c>
      <c r="J70" s="32">
        <v>780</v>
      </c>
      <c r="K70" s="33">
        <f t="shared" si="10"/>
        <v>66</v>
      </c>
      <c r="L70" s="47">
        <f t="shared" si="10"/>
        <v>74.959999999999994</v>
      </c>
      <c r="M70" s="308">
        <v>346</v>
      </c>
      <c r="N70" s="308">
        <v>1171</v>
      </c>
      <c r="O70" s="308">
        <v>1171</v>
      </c>
      <c r="P70" s="308">
        <v>2108</v>
      </c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57</v>
      </c>
      <c r="E71" s="28">
        <v>69011734</v>
      </c>
      <c r="F71" s="29">
        <v>690106</v>
      </c>
      <c r="G71" s="45">
        <v>975</v>
      </c>
      <c r="H71" s="31">
        <v>1075</v>
      </c>
      <c r="I71" s="46">
        <v>780</v>
      </c>
      <c r="J71" s="32">
        <v>780</v>
      </c>
      <c r="K71" s="33">
        <f t="shared" si="10"/>
        <v>78</v>
      </c>
      <c r="L71" s="47">
        <f t="shared" si="10"/>
        <v>86</v>
      </c>
      <c r="M71" s="305">
        <v>570</v>
      </c>
      <c r="N71" s="305">
        <v>168</v>
      </c>
      <c r="O71" s="305">
        <v>168</v>
      </c>
      <c r="P71" s="305">
        <v>1243</v>
      </c>
      <c r="Q71" s="35"/>
      <c r="R71" s="48">
        <v>1377</v>
      </c>
      <c r="S71" s="36"/>
      <c r="T71" s="36">
        <v>108.8</v>
      </c>
      <c r="U71" s="37"/>
      <c r="V71" s="38">
        <v>10</v>
      </c>
      <c r="W71" s="39"/>
      <c r="X71" s="39">
        <f>T71*1000/39.37/R71*31.5</f>
        <v>63.217904213586209</v>
      </c>
      <c r="Y71" s="40"/>
      <c r="Z71" s="40">
        <v>63.53</v>
      </c>
      <c r="AA71" s="41"/>
      <c r="AB71" s="42"/>
      <c r="AC71" s="43"/>
      <c r="AD71" s="43">
        <v>63.84</v>
      </c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57</v>
      </c>
      <c r="E72" s="28">
        <v>69011702</v>
      </c>
      <c r="F72" s="29">
        <v>690104</v>
      </c>
      <c r="G72" s="77">
        <v>965</v>
      </c>
      <c r="H72" s="31">
        <v>989</v>
      </c>
      <c r="I72" s="63">
        <v>780</v>
      </c>
      <c r="J72" s="64">
        <v>780</v>
      </c>
      <c r="K72" s="65">
        <f t="shared" si="10"/>
        <v>77.2</v>
      </c>
      <c r="L72" s="47">
        <f t="shared" si="10"/>
        <v>79.12</v>
      </c>
      <c r="M72" s="303">
        <v>139</v>
      </c>
      <c r="N72" s="303">
        <v>1104</v>
      </c>
      <c r="O72" s="303">
        <v>1104</v>
      </c>
      <c r="P72" s="303">
        <v>2093</v>
      </c>
      <c r="Q72" s="35">
        <v>2460</v>
      </c>
      <c r="R72" s="48"/>
      <c r="S72" s="36">
        <v>193.7</v>
      </c>
      <c r="T72" s="36"/>
      <c r="U72" s="37">
        <v>25</v>
      </c>
      <c r="V72" s="38"/>
      <c r="W72" s="39">
        <f>S72*1000/39.37/Q72*31.5</f>
        <v>62.999869902178837</v>
      </c>
      <c r="X72" s="39"/>
      <c r="Y72" s="40">
        <f t="shared" ref="Y72" si="16">(AC72+W72)/2</f>
        <v>64.269934951089425</v>
      </c>
      <c r="Z72" s="40"/>
      <c r="AA72" s="41"/>
      <c r="AB72" s="42"/>
      <c r="AC72" s="43">
        <v>65.540000000000006</v>
      </c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337</v>
      </c>
      <c r="E73" s="28"/>
      <c r="F73" s="29">
        <v>690136</v>
      </c>
      <c r="G73" s="78">
        <v>910</v>
      </c>
      <c r="H73" s="31">
        <v>934</v>
      </c>
      <c r="I73" s="63">
        <v>780</v>
      </c>
      <c r="J73" s="64">
        <v>780</v>
      </c>
      <c r="K73" s="65">
        <f t="shared" si="10"/>
        <v>72.8</v>
      </c>
      <c r="L73" s="47">
        <f t="shared" si="10"/>
        <v>74.72</v>
      </c>
      <c r="M73" s="303">
        <v>398</v>
      </c>
      <c r="N73" s="303">
        <v>1308</v>
      </c>
      <c r="O73" s="303">
        <v>1308</v>
      </c>
      <c r="P73" s="303">
        <v>2242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47</v>
      </c>
      <c r="E74" s="28"/>
      <c r="F74" s="29">
        <v>690107</v>
      </c>
      <c r="G74" s="79">
        <v>801</v>
      </c>
      <c r="H74" s="31">
        <v>822</v>
      </c>
      <c r="I74" s="63">
        <v>780</v>
      </c>
      <c r="J74" s="64">
        <v>780</v>
      </c>
      <c r="K74" s="65">
        <f t="shared" si="10"/>
        <v>64.08</v>
      </c>
      <c r="L74" s="68">
        <f t="shared" si="10"/>
        <v>65.760000000000005</v>
      </c>
      <c r="M74" s="303">
        <v>272</v>
      </c>
      <c r="N74" s="303">
        <v>1073</v>
      </c>
      <c r="O74" s="303">
        <v>1073</v>
      </c>
      <c r="P74" s="303">
        <v>1895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61</v>
      </c>
      <c r="E75" s="28"/>
      <c r="F75" s="29">
        <v>690109</v>
      </c>
      <c r="G75" s="80">
        <v>1037</v>
      </c>
      <c r="H75" s="31">
        <v>913</v>
      </c>
      <c r="I75" s="46">
        <v>800</v>
      </c>
      <c r="J75" s="32">
        <v>800</v>
      </c>
      <c r="K75" s="33">
        <f t="shared" si="10"/>
        <v>82.96</v>
      </c>
      <c r="L75" s="47">
        <f t="shared" si="10"/>
        <v>73.040000000000006</v>
      </c>
      <c r="M75" s="303">
        <v>615</v>
      </c>
      <c r="N75" s="303">
        <v>1652</v>
      </c>
      <c r="O75" s="303">
        <v>1652</v>
      </c>
      <c r="P75" s="303">
        <v>565</v>
      </c>
      <c r="Q75" s="48"/>
      <c r="R75" s="48"/>
      <c r="S75" s="317"/>
      <c r="T75" s="36"/>
      <c r="U75" s="37"/>
      <c r="V75" s="38"/>
      <c r="W75" s="39"/>
      <c r="X75" s="39"/>
      <c r="Y75" s="40"/>
      <c r="Z75" s="40"/>
      <c r="AA75" s="41"/>
      <c r="AB75" s="42"/>
      <c r="AC75" s="43"/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140</v>
      </c>
      <c r="E76" s="28">
        <v>69011706</v>
      </c>
      <c r="F76" s="29">
        <v>690109</v>
      </c>
      <c r="G76" s="45">
        <v>815</v>
      </c>
      <c r="H76" s="31">
        <v>723</v>
      </c>
      <c r="I76" s="46">
        <v>800</v>
      </c>
      <c r="J76" s="32">
        <v>800</v>
      </c>
      <c r="K76" s="33">
        <f t="shared" si="10"/>
        <v>65.2</v>
      </c>
      <c r="L76" s="47">
        <f t="shared" si="10"/>
        <v>57.84</v>
      </c>
      <c r="M76" s="303">
        <v>37</v>
      </c>
      <c r="N76" s="303">
        <v>852</v>
      </c>
      <c r="O76" s="303">
        <v>852</v>
      </c>
      <c r="P76" s="303">
        <v>1575</v>
      </c>
      <c r="Q76" s="48">
        <v>1940</v>
      </c>
      <c r="R76" s="48"/>
      <c r="S76" s="36">
        <v>151.1</v>
      </c>
      <c r="T76" s="36"/>
      <c r="U76" s="37">
        <v>20</v>
      </c>
      <c r="V76" s="38"/>
      <c r="W76" s="39">
        <f>S76*1000/39.37/Q76*38.5</f>
        <v>76.165456454624248</v>
      </c>
      <c r="X76" s="39"/>
      <c r="Y76" s="40">
        <f t="shared" ref="Y76:Y77" si="17">(AC76+W76)/2</f>
        <v>75.972728227312132</v>
      </c>
      <c r="Z76" s="40"/>
      <c r="AA76" s="41"/>
      <c r="AB76" s="42"/>
      <c r="AC76" s="43">
        <v>75.78</v>
      </c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146</v>
      </c>
      <c r="E77" s="28">
        <v>69011710</v>
      </c>
      <c r="F77" s="29">
        <v>690109</v>
      </c>
      <c r="G77" s="45">
        <v>900</v>
      </c>
      <c r="H77" s="31">
        <v>905</v>
      </c>
      <c r="I77" s="46">
        <v>800</v>
      </c>
      <c r="J77" s="32">
        <v>800</v>
      </c>
      <c r="K77" s="33">
        <f t="shared" si="10"/>
        <v>72</v>
      </c>
      <c r="L77" s="47">
        <f t="shared" si="10"/>
        <v>72.400000000000006</v>
      </c>
      <c r="M77" s="303">
        <v>1224</v>
      </c>
      <c r="N77" s="303">
        <v>436</v>
      </c>
      <c r="O77" s="303">
        <v>436</v>
      </c>
      <c r="P77" s="303">
        <v>1341</v>
      </c>
      <c r="Q77" s="48">
        <v>1688</v>
      </c>
      <c r="R77" s="36"/>
      <c r="S77" s="36">
        <v>126.2</v>
      </c>
      <c r="T77" s="37"/>
      <c r="U77" s="38"/>
      <c r="V77" s="39"/>
      <c r="W77" s="39">
        <f>S77*1000/39.37/Q77*38.5</f>
        <v>73.110916364012837</v>
      </c>
      <c r="X77" s="40"/>
      <c r="Y77" s="40">
        <f t="shared" si="17"/>
        <v>74.530458182006413</v>
      </c>
      <c r="Z77" s="41"/>
      <c r="AA77" s="42"/>
      <c r="AB77" s="43"/>
      <c r="AC77" s="43">
        <v>75.95</v>
      </c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146</v>
      </c>
      <c r="E78" s="28">
        <v>69011709</v>
      </c>
      <c r="F78" s="29">
        <v>690106</v>
      </c>
      <c r="G78" s="45">
        <v>954</v>
      </c>
      <c r="H78" s="31">
        <v>908</v>
      </c>
      <c r="I78" s="46">
        <v>800</v>
      </c>
      <c r="J78" s="32">
        <v>800</v>
      </c>
      <c r="K78" s="33">
        <f t="shared" si="10"/>
        <v>76.319999999999993</v>
      </c>
      <c r="L78" s="47">
        <f t="shared" si="10"/>
        <v>72.64</v>
      </c>
      <c r="M78" s="303">
        <v>978</v>
      </c>
      <c r="N78" s="303">
        <v>486</v>
      </c>
      <c r="O78" s="303">
        <v>486</v>
      </c>
      <c r="P78" s="303">
        <v>1394</v>
      </c>
      <c r="Q78" s="48">
        <v>1446</v>
      </c>
      <c r="R78" s="36"/>
      <c r="S78" s="36">
        <v>109.9</v>
      </c>
      <c r="T78" s="37"/>
      <c r="U78" s="38"/>
      <c r="V78" s="39"/>
      <c r="W78" s="39">
        <f>S78*1000/39.37/Q78*38.5</f>
        <v>74.323253764073229</v>
      </c>
      <c r="X78" s="40"/>
      <c r="Y78" s="40">
        <f t="shared" ref="Y78" si="18">(AC78+W78)/2</f>
        <v>75.141626882036604</v>
      </c>
      <c r="Z78" s="41"/>
      <c r="AA78" s="42"/>
      <c r="AB78" s="43"/>
      <c r="AC78" s="43">
        <v>75.959999999999994</v>
      </c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140</v>
      </c>
      <c r="E79" s="28"/>
      <c r="F79" s="29">
        <v>690109</v>
      </c>
      <c r="G79" s="45">
        <v>1147</v>
      </c>
      <c r="H79" s="31">
        <v>872</v>
      </c>
      <c r="I79" s="46">
        <v>800</v>
      </c>
      <c r="J79" s="32">
        <v>800</v>
      </c>
      <c r="K79" s="33"/>
      <c r="L79" s="47">
        <f t="shared" si="10"/>
        <v>69.760000000000005</v>
      </c>
      <c r="M79" s="303">
        <v>564</v>
      </c>
      <c r="N79" s="303">
        <v>1711</v>
      </c>
      <c r="O79" s="303">
        <v>1711</v>
      </c>
      <c r="P79" s="303">
        <v>583</v>
      </c>
      <c r="Q79" s="48"/>
      <c r="R79" s="48"/>
      <c r="S79" s="36"/>
      <c r="T79" s="36"/>
      <c r="U79" s="37"/>
      <c r="V79" s="38"/>
      <c r="W79" s="39"/>
      <c r="X79" s="39"/>
      <c r="Y79" s="40"/>
      <c r="Z79" s="40"/>
      <c r="AA79" s="41"/>
      <c r="AB79" s="42"/>
      <c r="AC79" s="43"/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140</v>
      </c>
      <c r="E80" s="28"/>
      <c r="F80" s="29">
        <v>690109</v>
      </c>
      <c r="G80" s="45">
        <v>1149</v>
      </c>
      <c r="H80" s="31">
        <v>864</v>
      </c>
      <c r="I80" s="46">
        <v>800</v>
      </c>
      <c r="J80" s="32">
        <v>800</v>
      </c>
      <c r="K80" s="33">
        <f t="shared" si="10"/>
        <v>91.92</v>
      </c>
      <c r="L80" s="47">
        <f t="shared" si="10"/>
        <v>69.12</v>
      </c>
      <c r="M80" s="303">
        <v>613</v>
      </c>
      <c r="N80" s="303">
        <v>1762</v>
      </c>
      <c r="O80" s="303">
        <v>1762</v>
      </c>
      <c r="P80" s="303">
        <v>0</v>
      </c>
      <c r="Q80" s="35"/>
      <c r="R80" s="48"/>
      <c r="S80" s="36"/>
      <c r="T80" s="36"/>
      <c r="U80" s="37"/>
      <c r="V80" s="38"/>
      <c r="W80" s="39"/>
      <c r="X80" s="39"/>
      <c r="Y80" s="40"/>
      <c r="Z80" s="40"/>
      <c r="AA80" s="41"/>
      <c r="AB80" s="42"/>
      <c r="AC80" s="43"/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140</v>
      </c>
      <c r="E81" s="28"/>
      <c r="F81" s="29">
        <v>690109</v>
      </c>
      <c r="G81" s="45">
        <v>1089</v>
      </c>
      <c r="H81" s="31">
        <v>836</v>
      </c>
      <c r="I81" s="46">
        <v>800</v>
      </c>
      <c r="J81" s="32">
        <v>800</v>
      </c>
      <c r="K81" s="33">
        <f t="shared" si="10"/>
        <v>87.12</v>
      </c>
      <c r="L81" s="47">
        <f t="shared" si="10"/>
        <v>66.88</v>
      </c>
      <c r="M81" s="303">
        <v>77</v>
      </c>
      <c r="N81" s="303">
        <v>1166</v>
      </c>
      <c r="O81" s="303">
        <v>1166</v>
      </c>
      <c r="P81" s="303">
        <v>2</v>
      </c>
      <c r="Q81" s="35"/>
      <c r="R81" s="48"/>
      <c r="S81" s="36"/>
      <c r="T81" s="36"/>
      <c r="U81" s="37"/>
      <c r="V81" s="38"/>
      <c r="W81" s="39"/>
      <c r="X81" s="39"/>
      <c r="Y81" s="40"/>
      <c r="Z81" s="40"/>
      <c r="AA81" s="41"/>
      <c r="AB81" s="42"/>
      <c r="AC81" s="43"/>
      <c r="AD81" s="43"/>
    </row>
    <row r="82" spans="1:34" ht="24" customHeight="1" thickBot="1" x14ac:dyDescent="0.45">
      <c r="A82" s="249" t="s">
        <v>148</v>
      </c>
      <c r="B82" s="246" t="s">
        <v>116</v>
      </c>
      <c r="C82" s="253" t="s">
        <v>63</v>
      </c>
      <c r="D82" s="256" t="s">
        <v>140</v>
      </c>
      <c r="E82" s="28"/>
      <c r="F82" s="29">
        <v>690109</v>
      </c>
      <c r="G82" s="45">
        <v>1154</v>
      </c>
      <c r="H82" s="31">
        <v>892</v>
      </c>
      <c r="I82" s="46">
        <v>800</v>
      </c>
      <c r="J82" s="32">
        <v>800</v>
      </c>
      <c r="K82" s="33">
        <f t="shared" si="10"/>
        <v>92.32</v>
      </c>
      <c r="L82" s="47">
        <f t="shared" si="10"/>
        <v>71.36</v>
      </c>
      <c r="M82" s="303">
        <v>639</v>
      </c>
      <c r="N82" s="303">
        <v>1793</v>
      </c>
      <c r="O82" s="303">
        <v>1793</v>
      </c>
      <c r="P82" s="303">
        <v>685</v>
      </c>
      <c r="Q82" s="35"/>
      <c r="R82" s="48"/>
      <c r="S82" s="36"/>
      <c r="T82" s="36"/>
      <c r="U82" s="37"/>
      <c r="V82" s="38"/>
      <c r="W82" s="39"/>
      <c r="X82" s="39"/>
      <c r="Y82" s="40"/>
      <c r="Z82" s="40"/>
      <c r="AA82" s="41"/>
      <c r="AB82" s="42"/>
      <c r="AC82" s="43"/>
      <c r="AD82" s="43"/>
    </row>
    <row r="83" spans="1:34" ht="24" hidden="1" customHeight="1" x14ac:dyDescent="0.45">
      <c r="A83" s="71" t="s">
        <v>214</v>
      </c>
      <c r="B83" s="26"/>
      <c r="C83" s="254"/>
      <c r="D83" s="49" t="s">
        <v>104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19">G83*8/100</f>
        <v>0</v>
      </c>
      <c r="L83" s="47">
        <f t="shared" si="19"/>
        <v>0</v>
      </c>
      <c r="M83" s="303">
        <v>230</v>
      </c>
      <c r="N83" s="303">
        <v>230</v>
      </c>
      <c r="O83" s="303">
        <v>230</v>
      </c>
      <c r="P83" s="303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hidden="1" customHeight="1" x14ac:dyDescent="0.45">
      <c r="A84" s="71" t="s">
        <v>215</v>
      </c>
      <c r="B84" s="26"/>
      <c r="C84" s="26"/>
      <c r="D84" s="49" t="s">
        <v>104</v>
      </c>
      <c r="E84" s="28"/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03">
        <v>34</v>
      </c>
      <c r="O84" s="303">
        <v>34</v>
      </c>
      <c r="P84" s="303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hidden="1" customHeight="1" x14ac:dyDescent="0.45">
      <c r="A85" s="71" t="s">
        <v>149</v>
      </c>
      <c r="B85" s="26"/>
      <c r="C85" s="26"/>
      <c r="D85" s="49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20">G85*8/100</f>
        <v>0</v>
      </c>
      <c r="L85" s="47">
        <f t="shared" si="20"/>
        <v>0</v>
      </c>
      <c r="M85" s="311">
        <v>62</v>
      </c>
      <c r="N85" s="311">
        <v>62</v>
      </c>
      <c r="O85" s="311">
        <v>62</v>
      </c>
      <c r="P85" s="31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hidden="1" customHeight="1" thickBot="1" x14ac:dyDescent="0.45">
      <c r="A86" s="71" t="s">
        <v>88</v>
      </c>
      <c r="B86" s="26"/>
      <c r="C86" s="26"/>
      <c r="D86" s="49" t="s">
        <v>57</v>
      </c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20"/>
        <v>0</v>
      </c>
      <c r="L86" s="47">
        <f t="shared" si="20"/>
        <v>0</v>
      </c>
      <c r="M86" s="81"/>
      <c r="N86" s="81"/>
      <c r="O86" s="81"/>
      <c r="P86" s="81"/>
      <c r="Q86" s="35"/>
      <c r="R86" s="48">
        <v>1120</v>
      </c>
      <c r="S86" s="36"/>
      <c r="T86" s="36">
        <v>88.5</v>
      </c>
      <c r="U86" s="37"/>
      <c r="V86" s="38">
        <v>10</v>
      </c>
      <c r="W86" s="39"/>
      <c r="X86" s="39">
        <f>T86*1000/39.37/R86*31.5</f>
        <v>63.222313944627885</v>
      </c>
      <c r="Y86" s="40"/>
      <c r="Z86" s="40">
        <v>64.61</v>
      </c>
      <c r="AA86" s="41"/>
      <c r="AB86" s="42"/>
      <c r="AC86" s="43"/>
      <c r="AD86" s="43">
        <v>65.989999999999995</v>
      </c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59570</v>
      </c>
      <c r="H87" s="86">
        <f>SUM(H6:H82)</f>
        <v>44521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34316</v>
      </c>
      <c r="R87" s="89">
        <f>SUM(R6:R86)</f>
        <v>29862</v>
      </c>
      <c r="S87" s="90">
        <f>SUM(S6:S86)</f>
        <v>2759.0199999999995</v>
      </c>
      <c r="T87" s="91">
        <f>SUM(T6:T86)</f>
        <v>2421.7999999999997</v>
      </c>
      <c r="U87" s="89">
        <f>SUM(U6:U86)</f>
        <v>245</v>
      </c>
      <c r="V87" s="89">
        <f>SUM(V6:V84)</f>
        <v>230</v>
      </c>
      <c r="W87" s="92">
        <f>SUM(W6:W86)</f>
        <v>1423.6231197214734</v>
      </c>
      <c r="X87" s="93">
        <f>SUM(X6:X86)</f>
        <v>1211.022449279583</v>
      </c>
      <c r="Y87" s="94">
        <f>SUM(Y6:Y86)</f>
        <v>1330.8294166860928</v>
      </c>
      <c r="Z87" s="95">
        <f>SUM(Z6:Z86)</f>
        <v>1221.2625767550635</v>
      </c>
      <c r="AA87" s="96">
        <f>SUM(AA6:AA82)</f>
        <v>106.72</v>
      </c>
      <c r="AB87" s="97">
        <f>SUM(AB6:AB82)</f>
        <v>0</v>
      </c>
      <c r="AC87" s="98">
        <f>SUM(AC6:AC86)</f>
        <v>1451.47</v>
      </c>
      <c r="AD87" s="98">
        <f>SUM(AD6:AD86)</f>
        <v>1231.4299999999998</v>
      </c>
    </row>
    <row r="88" spans="1:34" ht="24" customHeight="1" thickBot="1" x14ac:dyDescent="0.45">
      <c r="A88" s="334"/>
      <c r="B88" s="83">
        <v>68</v>
      </c>
      <c r="C88" s="83">
        <v>49</v>
      </c>
      <c r="D88" s="84"/>
      <c r="E88" s="84"/>
      <c r="F88" s="84"/>
      <c r="G88" s="341">
        <f>G87+H87</f>
        <v>104091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Q87+R87+Q134</f>
        <v>68653</v>
      </c>
      <c r="R88" s="342"/>
      <c r="S88" s="375">
        <f>S87+T87+S134</f>
        <v>5784.2199999999993</v>
      </c>
      <c r="T88" s="376"/>
      <c r="U88" s="341">
        <f>U87+V87+U134</f>
        <v>520</v>
      </c>
      <c r="V88" s="342"/>
      <c r="W88" s="375">
        <f>W87+X87+W134</f>
        <v>3030.2450317254052</v>
      </c>
      <c r="X88" s="376"/>
      <c r="Y88" s="375">
        <f>Y87+Z87+Y134</f>
        <v>2820.2361630388741</v>
      </c>
      <c r="Z88" s="376"/>
      <c r="AA88" s="375">
        <f>AA87+AB87</f>
        <v>106.72</v>
      </c>
      <c r="AB88" s="376"/>
      <c r="AC88" s="375">
        <f>AC87+AD87+AC134</f>
        <v>3082.0499999999997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350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68653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475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59570</v>
      </c>
      <c r="O91" s="108" t="s">
        <v>158</v>
      </c>
      <c r="P91" s="108"/>
      <c r="Q91" s="108" t="s">
        <v>159</v>
      </c>
      <c r="R91" s="109"/>
      <c r="S91" s="120">
        <f>H87</f>
        <v>44521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245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1.192172</v>
      </c>
      <c r="F92" s="124"/>
      <c r="G92" s="108" t="s">
        <v>162</v>
      </c>
      <c r="H92" s="125"/>
      <c r="I92" s="125">
        <v>11522</v>
      </c>
      <c r="J92" s="117" t="s">
        <v>154</v>
      </c>
      <c r="K92" s="108"/>
      <c r="L92" s="108" t="s">
        <v>163</v>
      </c>
      <c r="M92" s="108"/>
      <c r="N92" s="126">
        <f>G87/B88</f>
        <v>876.02941176470586</v>
      </c>
      <c r="O92" s="108" t="s">
        <v>158</v>
      </c>
      <c r="P92" s="108"/>
      <c r="Q92" s="108" t="s">
        <v>164</v>
      </c>
      <c r="S92" s="126">
        <f>H87/C88</f>
        <v>908.59183673469386</v>
      </c>
      <c r="T92" s="108"/>
      <c r="U92" s="108" t="s">
        <v>158</v>
      </c>
      <c r="W92" s="110"/>
      <c r="X92" s="108"/>
      <c r="Y92" s="127" t="s">
        <v>165</v>
      </c>
      <c r="AA92" s="122">
        <f>V87</f>
        <v>230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357</v>
      </c>
      <c r="F93" s="129"/>
      <c r="G93" s="108" t="s">
        <v>162</v>
      </c>
      <c r="H93" s="125"/>
      <c r="I93" s="125">
        <v>896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356</v>
      </c>
      <c r="F94" s="129"/>
      <c r="G94" s="108" t="s">
        <v>162</v>
      </c>
      <c r="H94" s="125"/>
      <c r="I94" s="125">
        <v>2000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221</v>
      </c>
      <c r="F95" s="116"/>
      <c r="G95" s="108" t="s">
        <v>162</v>
      </c>
      <c r="H95" s="125"/>
      <c r="I95" s="125"/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354</v>
      </c>
      <c r="F96" s="136"/>
      <c r="G96" s="108" t="s">
        <v>162</v>
      </c>
      <c r="H96" s="125"/>
      <c r="I96" s="125">
        <v>2500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341</v>
      </c>
      <c r="F97" s="129"/>
      <c r="G97" s="108" t="s">
        <v>162</v>
      </c>
      <c r="H97" s="125"/>
      <c r="I97" s="125">
        <v>16510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68</v>
      </c>
      <c r="P97" s="108" t="s">
        <v>25</v>
      </c>
      <c r="Q97" s="108"/>
      <c r="R97" s="108"/>
      <c r="S97" s="130" t="s">
        <v>177</v>
      </c>
      <c r="T97" s="138">
        <f>C88</f>
        <v>49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342</v>
      </c>
      <c r="F98" s="139"/>
      <c r="G98" s="108" t="s">
        <v>162</v>
      </c>
      <c r="H98" s="125"/>
      <c r="I98" s="125">
        <v>6660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4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1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355</v>
      </c>
      <c r="F99" s="142"/>
      <c r="G99" s="108" t="s">
        <v>162</v>
      </c>
      <c r="H99" s="125"/>
      <c r="I99" s="125">
        <v>4000</v>
      </c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358</v>
      </c>
      <c r="F100" s="148"/>
      <c r="G100" s="108" t="s">
        <v>162</v>
      </c>
      <c r="H100" s="125"/>
      <c r="I100" s="125">
        <v>1665</v>
      </c>
      <c r="J100" s="117" t="s">
        <v>154</v>
      </c>
      <c r="K100" s="8"/>
      <c r="L100" s="149" t="s">
        <v>188</v>
      </c>
      <c r="M100" s="150"/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201</v>
      </c>
      <c r="AB100" s="149" t="s">
        <v>368</v>
      </c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344</v>
      </c>
      <c r="F101" s="155"/>
      <c r="G101" s="108" t="s">
        <v>162</v>
      </c>
      <c r="H101" s="125"/>
      <c r="I101" s="125">
        <v>2500</v>
      </c>
      <c r="J101" s="117" t="s">
        <v>154</v>
      </c>
      <c r="K101" s="108"/>
      <c r="L101" s="149"/>
      <c r="M101" s="150"/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345</v>
      </c>
      <c r="F102" s="262"/>
      <c r="G102" s="108" t="s">
        <v>162</v>
      </c>
      <c r="H102" s="125"/>
      <c r="I102" s="125">
        <v>4475</v>
      </c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346</v>
      </c>
      <c r="F103" s="148"/>
      <c r="G103" s="108" t="s">
        <v>162</v>
      </c>
      <c r="H103" s="125"/>
      <c r="I103" s="125">
        <v>2000</v>
      </c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/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58" t="s">
        <v>347</v>
      </c>
      <c r="F104" s="136"/>
      <c r="G104" s="108" t="s">
        <v>162</v>
      </c>
      <c r="H104" s="125"/>
      <c r="I104" s="125">
        <v>1059</v>
      </c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348</v>
      </c>
      <c r="F105" s="155"/>
      <c r="G105" s="108" t="s">
        <v>162</v>
      </c>
      <c r="H105" s="125"/>
      <c r="I105" s="125">
        <v>9732</v>
      </c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 t="s">
        <v>369</v>
      </c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353</v>
      </c>
      <c r="F106" s="155"/>
      <c r="G106" s="108" t="s">
        <v>162</v>
      </c>
      <c r="H106" s="125"/>
      <c r="I106" s="125">
        <v>3134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/>
      <c r="F107" s="155"/>
      <c r="G107" s="108"/>
      <c r="H107" s="125"/>
      <c r="I107" s="125"/>
      <c r="J107" s="117"/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s="109" customFormat="1" ht="24" customHeight="1" x14ac:dyDescent="0.55000000000000004">
      <c r="A108" s="1"/>
      <c r="B108" s="161"/>
      <c r="C108" s="1"/>
      <c r="D108" s="1"/>
      <c r="E108" s="136"/>
      <c r="F108" s="155"/>
      <c r="G108" s="108"/>
      <c r="H108" s="125"/>
      <c r="I108" s="125"/>
      <c r="J108" s="117"/>
      <c r="K108" s="117"/>
      <c r="L108" s="149"/>
      <c r="M108" s="173"/>
      <c r="N108" s="165"/>
      <c r="O108" s="165"/>
      <c r="P108" s="165"/>
      <c r="Q108" s="165"/>
      <c r="R108" s="165"/>
      <c r="S108" s="166"/>
      <c r="T108" s="165"/>
      <c r="U108" s="167"/>
      <c r="V108" s="168"/>
      <c r="W108" s="169"/>
      <c r="X108" s="170"/>
      <c r="Y108" s="149"/>
      <c r="Z108" s="149"/>
      <c r="AA108" s="149"/>
      <c r="AB108" s="149"/>
      <c r="AC108" s="171"/>
      <c r="AD108" s="163"/>
      <c r="AK108" s="172"/>
    </row>
    <row r="109" spans="1:37" ht="24" customHeight="1" x14ac:dyDescent="0.55000000000000004">
      <c r="B109" s="161"/>
      <c r="F109" s="174"/>
      <c r="G109" s="175" t="s">
        <v>280</v>
      </c>
      <c r="H109" s="108"/>
      <c r="I109" s="176"/>
      <c r="J109" s="117"/>
      <c r="K109" s="8"/>
      <c r="L109" s="173"/>
      <c r="M109" s="173"/>
      <c r="N109" s="149"/>
      <c r="O109" s="149"/>
      <c r="P109" s="177"/>
      <c r="Q109" s="165"/>
      <c r="R109" s="165"/>
      <c r="S109" s="165"/>
      <c r="T109" s="167"/>
      <c r="U109" s="167"/>
      <c r="V109" s="168"/>
      <c r="W109" s="169"/>
      <c r="X109" s="149"/>
      <c r="Y109" s="149"/>
      <c r="Z109" s="149"/>
      <c r="AA109" s="149" t="s">
        <v>228</v>
      </c>
      <c r="AB109" s="149" t="s">
        <v>229</v>
      </c>
      <c r="AC109" s="149"/>
      <c r="AD109" s="163"/>
      <c r="AF109" s="109"/>
    </row>
    <row r="110" spans="1:37" ht="24" customHeight="1" x14ac:dyDescent="0.55000000000000004">
      <c r="B110" s="161"/>
      <c r="F110" s="133"/>
      <c r="G110" s="129"/>
      <c r="H110" s="108"/>
      <c r="I110" s="176"/>
      <c r="J110" s="117"/>
      <c r="K110" s="8"/>
      <c r="M110" s="173"/>
      <c r="N110" s="149"/>
      <c r="O110" s="149"/>
      <c r="P110" s="165"/>
      <c r="Q110" s="165"/>
      <c r="R110" s="165"/>
      <c r="S110" s="165"/>
      <c r="T110" s="167"/>
      <c r="U110" s="167"/>
      <c r="V110" s="168"/>
      <c r="W110" s="169"/>
      <c r="X110" s="169"/>
      <c r="Y110" s="149"/>
      <c r="Z110" s="149"/>
      <c r="AA110" s="149" t="s">
        <v>228</v>
      </c>
      <c r="AB110" s="149" t="s">
        <v>351</v>
      </c>
      <c r="AC110" s="149"/>
      <c r="AD110" s="163"/>
      <c r="AF110" s="109"/>
    </row>
    <row r="111" spans="1:37" ht="24" customHeight="1" x14ac:dyDescent="0.55000000000000004">
      <c r="A111" s="109"/>
      <c r="B111" s="109"/>
      <c r="C111" s="109"/>
      <c r="D111" s="109"/>
      <c r="E111" s="109"/>
      <c r="F111" s="136"/>
      <c r="G111" s="136"/>
      <c r="H111" s="108"/>
      <c r="I111" s="176"/>
      <c r="J111" s="117"/>
      <c r="K111" s="109"/>
      <c r="L111" s="167"/>
      <c r="M111" s="173"/>
      <c r="N111" s="149"/>
      <c r="O111" s="149"/>
      <c r="P111" s="165"/>
      <c r="Q111" s="177"/>
      <c r="R111" s="165"/>
      <c r="S111" s="165"/>
      <c r="T111" s="167"/>
      <c r="U111" s="167"/>
      <c r="V111" s="168"/>
      <c r="W111" s="169"/>
      <c r="X111" s="149"/>
      <c r="Y111" s="149"/>
      <c r="Z111" s="149"/>
      <c r="AA111" s="149"/>
      <c r="AB111" s="178"/>
      <c r="AC111" s="149" t="s">
        <v>0</v>
      </c>
      <c r="AD111" s="113"/>
      <c r="AF111" s="109"/>
    </row>
    <row r="112" spans="1:37" ht="24" customHeight="1" x14ac:dyDescent="0.5">
      <c r="A112" s="109"/>
      <c r="B112" s="109"/>
      <c r="C112" s="109"/>
      <c r="D112" s="109"/>
      <c r="E112" s="179"/>
      <c r="F112" s="180"/>
      <c r="G112" s="139"/>
      <c r="H112" s="174"/>
      <c r="I112" s="181"/>
      <c r="J112" s="182"/>
      <c r="K112" s="174"/>
      <c r="L112" s="109"/>
      <c r="M112" s="109"/>
      <c r="N112" s="109"/>
      <c r="O112" s="109"/>
      <c r="P112" s="109"/>
      <c r="Q112" s="109"/>
      <c r="R112" s="109"/>
      <c r="S112" s="183"/>
      <c r="T112" s="109"/>
      <c r="U112" s="109"/>
      <c r="V112" s="109"/>
      <c r="W112" s="184"/>
      <c r="X112" s="185"/>
      <c r="Y112" s="186"/>
      <c r="Z112" s="108"/>
      <c r="AA112" s="109"/>
      <c r="AB112" s="109"/>
      <c r="AC112" s="109"/>
      <c r="AD112" s="113"/>
      <c r="AF112" s="109"/>
    </row>
    <row r="113" spans="1:38" s="109" customFormat="1" ht="24" customHeight="1" x14ac:dyDescent="0.5">
      <c r="A113" s="187"/>
      <c r="B113" s="187"/>
      <c r="C113" s="187" t="s">
        <v>204</v>
      </c>
      <c r="D113" s="187"/>
      <c r="E113" s="187"/>
      <c r="F113" s="180"/>
      <c r="G113" s="139"/>
      <c r="H113" s="174"/>
      <c r="I113" s="175"/>
      <c r="J113" s="108"/>
      <c r="M113" s="373" t="s">
        <v>205</v>
      </c>
      <c r="N113" s="373"/>
      <c r="O113" s="373"/>
      <c r="P113" s="373"/>
      <c r="Q113" s="373"/>
      <c r="S113" s="183"/>
      <c r="W113" s="188"/>
      <c r="X113" s="373" t="s">
        <v>205</v>
      </c>
      <c r="Y113" s="373"/>
      <c r="Z113" s="373"/>
      <c r="AA113" s="373"/>
      <c r="AB113" s="373"/>
      <c r="AC113" s="373"/>
      <c r="AD113" s="373"/>
    </row>
    <row r="114" spans="1:38" s="109" customFormat="1" ht="24" customHeight="1" x14ac:dyDescent="0.5">
      <c r="A114" s="187"/>
      <c r="B114" s="187"/>
      <c r="C114" s="187" t="s">
        <v>206</v>
      </c>
      <c r="D114" s="187"/>
      <c r="E114" s="187"/>
      <c r="F114" s="189"/>
      <c r="G114" s="108"/>
      <c r="H114" s="108"/>
      <c r="I114" s="190"/>
      <c r="J114" s="117"/>
      <c r="K114" s="118"/>
      <c r="L114" s="118"/>
      <c r="M114" s="373" t="s">
        <v>151</v>
      </c>
      <c r="N114" s="373"/>
      <c r="O114" s="373"/>
      <c r="P114" s="373"/>
      <c r="Q114" s="373"/>
      <c r="R114" s="118"/>
      <c r="S114" s="191"/>
      <c r="T114" s="118"/>
      <c r="U114" s="118"/>
      <c r="V114" s="118"/>
      <c r="W114" s="192"/>
      <c r="X114" s="373" t="s">
        <v>206</v>
      </c>
      <c r="Y114" s="373"/>
      <c r="Z114" s="373"/>
      <c r="AA114" s="373"/>
      <c r="AB114" s="373"/>
      <c r="AC114" s="373"/>
      <c r="AD114" s="373"/>
    </row>
    <row r="115" spans="1:38" s="118" customFormat="1" ht="24" customHeight="1" x14ac:dyDescent="0.5">
      <c r="A115" s="187"/>
      <c r="B115" s="187"/>
      <c r="C115" s="187"/>
      <c r="D115" s="187"/>
      <c r="E115" s="187"/>
      <c r="F115" s="374"/>
      <c r="G115" s="374"/>
      <c r="H115" s="108"/>
      <c r="I115" s="190"/>
      <c r="J115" s="117"/>
      <c r="M115" s="187"/>
      <c r="N115" s="187"/>
      <c r="O115" s="187"/>
      <c r="P115" s="187"/>
      <c r="Q115" s="187"/>
      <c r="S115" s="191"/>
      <c r="W115" s="192"/>
      <c r="X115" s="187"/>
      <c r="Y115" s="187"/>
      <c r="Z115" s="187"/>
      <c r="AA115" s="187"/>
      <c r="AB115" s="187"/>
      <c r="AC115" s="187"/>
      <c r="AD115" s="187"/>
      <c r="AL115" s="193"/>
    </row>
    <row r="116" spans="1:38" s="118" customFormat="1" ht="24" customHeight="1" x14ac:dyDescent="0.5">
      <c r="A116" s="101"/>
      <c r="B116" s="194"/>
      <c r="C116" s="194"/>
      <c r="D116" s="195"/>
      <c r="E116" s="195"/>
      <c r="F116" s="195"/>
      <c r="G116" s="196"/>
      <c r="H116" s="196"/>
      <c r="I116" s="196"/>
      <c r="J116" s="196"/>
      <c r="K116" s="196"/>
      <c r="L116" s="196"/>
      <c r="M116" s="197"/>
      <c r="N116" s="197"/>
      <c r="O116" s="197"/>
      <c r="P116" s="197"/>
      <c r="Q116" s="198"/>
      <c r="R116" s="198"/>
      <c r="S116" s="199"/>
      <c r="T116" s="199"/>
      <c r="U116" s="198"/>
      <c r="V116" s="198"/>
      <c r="W116" s="199"/>
      <c r="X116" s="199"/>
      <c r="Y116" s="200"/>
      <c r="Z116" s="200"/>
      <c r="AA116" s="201"/>
      <c r="AB116" s="201"/>
      <c r="AC116" s="202"/>
      <c r="AD116" s="202"/>
      <c r="AL116" s="193"/>
    </row>
    <row r="119" spans="1:38" ht="18.75" thickBot="1" x14ac:dyDescent="0.45"/>
    <row r="120" spans="1:38" x14ac:dyDescent="0.4">
      <c r="A120" s="368" t="s">
        <v>1</v>
      </c>
      <c r="B120" s="349" t="s">
        <v>2</v>
      </c>
      <c r="C120" s="350"/>
      <c r="D120" s="5" t="s">
        <v>3</v>
      </c>
      <c r="E120" s="7"/>
      <c r="F120" s="7"/>
      <c r="G120" s="349" t="s">
        <v>4</v>
      </c>
      <c r="H120" s="350"/>
      <c r="I120" s="349" t="s">
        <v>5</v>
      </c>
      <c r="J120" s="350"/>
      <c r="K120" s="349" t="s">
        <v>6</v>
      </c>
      <c r="L120" s="350"/>
      <c r="M120" s="370" t="s">
        <v>7</v>
      </c>
      <c r="N120" s="371"/>
      <c r="O120" s="362" t="s">
        <v>7</v>
      </c>
      <c r="P120" s="363"/>
      <c r="Q120" s="364" t="s">
        <v>8</v>
      </c>
      <c r="R120" s="365"/>
      <c r="S120" s="349" t="s">
        <v>9</v>
      </c>
      <c r="T120" s="350"/>
      <c r="U120" s="366" t="s">
        <v>10</v>
      </c>
      <c r="V120" s="367"/>
      <c r="W120" s="349" t="s">
        <v>11</v>
      </c>
      <c r="X120" s="350"/>
      <c r="Y120" s="349" t="s">
        <v>12</v>
      </c>
      <c r="Z120" s="350"/>
      <c r="AA120" s="349" t="s">
        <v>13</v>
      </c>
      <c r="AB120" s="350"/>
      <c r="AC120" s="349" t="s">
        <v>14</v>
      </c>
      <c r="AD120" s="353"/>
    </row>
    <row r="121" spans="1:38" ht="21" x14ac:dyDescent="0.4">
      <c r="A121" s="369"/>
      <c r="B121" s="351"/>
      <c r="C121" s="352"/>
      <c r="D121" s="8" t="s">
        <v>15</v>
      </c>
      <c r="E121" s="205" t="s">
        <v>16</v>
      </c>
      <c r="F121" s="9" t="s">
        <v>17</v>
      </c>
      <c r="G121" s="351"/>
      <c r="H121" s="352"/>
      <c r="I121" s="351"/>
      <c r="J121" s="352"/>
      <c r="K121" s="351"/>
      <c r="L121" s="352"/>
      <c r="M121" s="354" t="s">
        <v>18</v>
      </c>
      <c r="N121" s="355"/>
      <c r="O121" s="356" t="s">
        <v>19</v>
      </c>
      <c r="P121" s="357"/>
      <c r="Q121" s="358" t="s">
        <v>20</v>
      </c>
      <c r="R121" s="359"/>
      <c r="S121" s="351" t="s">
        <v>21</v>
      </c>
      <c r="T121" s="352"/>
      <c r="U121" s="360" t="s">
        <v>22</v>
      </c>
      <c r="V121" s="359"/>
      <c r="W121" s="351" t="s">
        <v>23</v>
      </c>
      <c r="X121" s="352"/>
      <c r="Y121" s="351"/>
      <c r="Z121" s="352"/>
      <c r="AA121" s="351"/>
      <c r="AB121" s="352"/>
      <c r="AC121" s="351" t="s">
        <v>24</v>
      </c>
      <c r="AD121" s="361"/>
    </row>
    <row r="122" spans="1:38" ht="18.75" thickBot="1" x14ac:dyDescent="0.45">
      <c r="A122" s="10" t="s">
        <v>25</v>
      </c>
      <c r="B122" s="206" t="s">
        <v>207</v>
      </c>
      <c r="C122" s="12" t="s">
        <v>208</v>
      </c>
      <c r="D122" s="13" t="s">
        <v>28</v>
      </c>
      <c r="E122" s="207"/>
      <c r="F122" s="207"/>
      <c r="G122" s="12" t="s">
        <v>26</v>
      </c>
      <c r="H122" s="12" t="s">
        <v>27</v>
      </c>
      <c r="I122" s="11" t="s">
        <v>26</v>
      </c>
      <c r="J122" s="12" t="s">
        <v>27</v>
      </c>
      <c r="K122" s="11" t="s">
        <v>29</v>
      </c>
      <c r="L122" s="14" t="s">
        <v>30</v>
      </c>
      <c r="M122" s="208" t="s">
        <v>31</v>
      </c>
      <c r="N122" s="209" t="s">
        <v>32</v>
      </c>
      <c r="O122" s="210" t="s">
        <v>31</v>
      </c>
      <c r="P122" s="211" t="s">
        <v>32</v>
      </c>
      <c r="Q122" s="19" t="s">
        <v>26</v>
      </c>
      <c r="R122" s="12" t="s">
        <v>27</v>
      </c>
      <c r="S122" s="20" t="s">
        <v>26</v>
      </c>
      <c r="T122" s="12" t="s">
        <v>27</v>
      </c>
      <c r="U122" s="19" t="s">
        <v>26</v>
      </c>
      <c r="V122" s="12" t="s">
        <v>27</v>
      </c>
      <c r="W122" s="21" t="s">
        <v>26</v>
      </c>
      <c r="X122" s="12" t="s">
        <v>27</v>
      </c>
      <c r="Y122" s="22" t="s">
        <v>26</v>
      </c>
      <c r="Z122" s="23" t="s">
        <v>27</v>
      </c>
      <c r="AA122" s="19" t="s">
        <v>26</v>
      </c>
      <c r="AB122" s="12" t="s">
        <v>27</v>
      </c>
      <c r="AC122" s="11" t="s">
        <v>26</v>
      </c>
      <c r="AD122" s="24" t="s">
        <v>27</v>
      </c>
    </row>
    <row r="123" spans="1:38" ht="30" thickBot="1" x14ac:dyDescent="0.55000000000000004">
      <c r="A123" s="212" t="s">
        <v>130</v>
      </c>
      <c r="B123" s="213" t="s">
        <v>209</v>
      </c>
      <c r="C123" s="213" t="s">
        <v>210</v>
      </c>
      <c r="D123" s="258" t="s">
        <v>237</v>
      </c>
      <c r="E123" s="326"/>
      <c r="F123" s="73">
        <v>690133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223"/>
      <c r="S123" s="224"/>
      <c r="T123" s="57"/>
      <c r="U123" s="59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72</v>
      </c>
      <c r="B124" s="213" t="s">
        <v>209</v>
      </c>
      <c r="C124" s="213" t="s">
        <v>210</v>
      </c>
      <c r="D124" s="258" t="s">
        <v>237</v>
      </c>
      <c r="E124" s="215"/>
      <c r="F124" s="73">
        <v>690133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22"/>
      <c r="R124" s="67"/>
      <c r="S124" s="229"/>
      <c r="T124" s="57"/>
      <c r="U124" s="58"/>
      <c r="V124" s="59"/>
      <c r="W124" s="39"/>
      <c r="X124" s="39"/>
      <c r="Y124" s="40"/>
      <c r="Z124" s="40"/>
      <c r="AA124" s="225"/>
      <c r="AB124" s="226"/>
      <c r="AC124" s="227"/>
      <c r="AD124" s="228"/>
    </row>
    <row r="125" spans="1:38" ht="32.25" thickBot="1" x14ac:dyDescent="0.55000000000000004">
      <c r="A125" s="212" t="s">
        <v>117</v>
      </c>
      <c r="B125" s="213" t="s">
        <v>209</v>
      </c>
      <c r="C125" s="213" t="s">
        <v>210</v>
      </c>
      <c r="D125" s="258" t="s">
        <v>237</v>
      </c>
      <c r="E125" s="215">
        <v>69011713</v>
      </c>
      <c r="F125" s="73">
        <v>690133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56">
        <v>1500</v>
      </c>
      <c r="R125" s="231"/>
      <c r="S125" s="57">
        <v>205.3</v>
      </c>
      <c r="T125" s="58"/>
      <c r="U125" s="59">
        <v>15</v>
      </c>
      <c r="V125" s="39"/>
      <c r="W125" s="39">
        <f>S125*1000/39.37/Q125*38.5</f>
        <v>133.84218101769537</v>
      </c>
      <c r="X125" s="40"/>
      <c r="Y125" s="40">
        <f t="shared" ref="Y125:Y126" si="21">(AC125+W125)/2</f>
        <v>134.41109050884768</v>
      </c>
      <c r="Z125" s="232"/>
      <c r="AA125" s="226"/>
      <c r="AB125" s="233"/>
      <c r="AC125" s="234">
        <v>134.97999999999999</v>
      </c>
      <c r="AD125" s="234"/>
    </row>
    <row r="126" spans="1:38" ht="30" thickBot="1" x14ac:dyDescent="0.55000000000000004">
      <c r="A126" s="212" t="s">
        <v>86</v>
      </c>
      <c r="B126" s="213" t="s">
        <v>209</v>
      </c>
      <c r="C126" s="213" t="s">
        <v>210</v>
      </c>
      <c r="D126" s="258" t="s">
        <v>237</v>
      </c>
      <c r="E126" s="326">
        <v>69011714</v>
      </c>
      <c r="F126" s="73">
        <v>690133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56">
        <v>1475</v>
      </c>
      <c r="R126" s="231"/>
      <c r="S126" s="57">
        <v>201.1</v>
      </c>
      <c r="T126" s="58"/>
      <c r="U126" s="59">
        <v>15</v>
      </c>
      <c r="V126" s="39"/>
      <c r="W126" s="39">
        <f>S126*1000/39.37/Q126*38.5</f>
        <v>133.3261581777401</v>
      </c>
      <c r="X126" s="40"/>
      <c r="Y126" s="40">
        <f t="shared" si="21"/>
        <v>133.73307908887006</v>
      </c>
      <c r="Z126" s="232"/>
      <c r="AA126" s="226"/>
      <c r="AB126" s="233"/>
      <c r="AC126" s="234">
        <v>134.13999999999999</v>
      </c>
      <c r="AD126" s="234"/>
    </row>
    <row r="127" spans="1:38" ht="32.25" thickBot="1" x14ac:dyDescent="0.55000000000000004">
      <c r="A127" s="212" t="s">
        <v>54</v>
      </c>
      <c r="B127" s="213" t="s">
        <v>209</v>
      </c>
      <c r="C127" s="213" t="s">
        <v>210</v>
      </c>
      <c r="D127" s="258" t="s">
        <v>237</v>
      </c>
      <c r="E127" s="215">
        <v>69011725</v>
      </c>
      <c r="F127" s="73">
        <v>690133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30"/>
      <c r="R127" s="56">
        <v>1500</v>
      </c>
      <c r="S127" s="231"/>
      <c r="T127" s="57">
        <v>197</v>
      </c>
      <c r="U127" s="58"/>
      <c r="V127" s="59">
        <v>15</v>
      </c>
      <c r="W127" s="39"/>
      <c r="X127" s="39">
        <f>T127*1000/39.37/R127*38.5</f>
        <v>128.43112352891373</v>
      </c>
      <c r="Y127" s="40"/>
      <c r="Z127" s="40"/>
      <c r="AA127" s="232"/>
      <c r="AB127" s="226">
        <v>129.22999999999999</v>
      </c>
      <c r="AC127" s="233"/>
      <c r="AD127" s="234">
        <v>130.03</v>
      </c>
    </row>
    <row r="128" spans="1:38" ht="32.25" thickBot="1" x14ac:dyDescent="0.55000000000000004">
      <c r="A128" s="212" t="s">
        <v>40</v>
      </c>
      <c r="B128" s="213" t="s">
        <v>209</v>
      </c>
      <c r="C128" s="213" t="s">
        <v>210</v>
      </c>
      <c r="D128" s="258" t="s">
        <v>237</v>
      </c>
      <c r="E128" s="215"/>
      <c r="F128" s="73">
        <v>690133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22"/>
      <c r="R128" s="67"/>
      <c r="S128" s="229"/>
      <c r="T128" s="57"/>
      <c r="U128" s="58"/>
      <c r="V128" s="59"/>
      <c r="W128" s="39"/>
      <c r="X128" s="39"/>
      <c r="Y128" s="40"/>
      <c r="Z128" s="40"/>
      <c r="AA128" s="225"/>
      <c r="AB128" s="226"/>
      <c r="AC128" s="227"/>
      <c r="AD128" s="228"/>
    </row>
    <row r="129" spans="1:30" ht="32.25" thickBot="1" x14ac:dyDescent="0.55000000000000004">
      <c r="A129" s="212" t="s">
        <v>125</v>
      </c>
      <c r="B129" s="213" t="s">
        <v>209</v>
      </c>
      <c r="C129" s="213" t="s">
        <v>210</v>
      </c>
      <c r="D129" s="258" t="s">
        <v>237</v>
      </c>
      <c r="E129" s="215"/>
      <c r="F129" s="73">
        <v>690133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30"/>
      <c r="R129" s="56"/>
      <c r="S129" s="231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86</v>
      </c>
      <c r="B130" s="213" t="s">
        <v>209</v>
      </c>
      <c r="C130" s="213" t="s">
        <v>210</v>
      </c>
      <c r="D130" s="258" t="s">
        <v>237</v>
      </c>
      <c r="E130" s="215"/>
      <c r="F130" s="73">
        <v>690133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22"/>
      <c r="R130" s="67"/>
      <c r="S130" s="229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74</v>
      </c>
      <c r="B131" s="213" t="s">
        <v>209</v>
      </c>
      <c r="C131" s="213" t="s">
        <v>210</v>
      </c>
      <c r="D131" s="258" t="s">
        <v>237</v>
      </c>
      <c r="E131" s="215"/>
      <c r="F131" s="73">
        <v>690133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30"/>
      <c r="R131" s="56"/>
      <c r="S131" s="231"/>
      <c r="T131" s="57"/>
      <c r="U131" s="58"/>
      <c r="V131" s="59"/>
      <c r="W131" s="39"/>
      <c r="X131" s="39"/>
      <c r="Y131" s="40"/>
      <c r="Z131" s="40"/>
      <c r="AA131" s="232"/>
      <c r="AB131" s="226"/>
      <c r="AC131" s="233"/>
      <c r="AD131" s="234"/>
    </row>
    <row r="132" spans="1:30" ht="32.25" thickBot="1" x14ac:dyDescent="0.55000000000000004">
      <c r="A132" s="212" t="s">
        <v>102</v>
      </c>
      <c r="B132" s="213" t="s">
        <v>209</v>
      </c>
      <c r="C132" s="213" t="s">
        <v>210</v>
      </c>
      <c r="D132" s="258" t="s">
        <v>211</v>
      </c>
      <c r="E132" s="215"/>
      <c r="F132" s="73">
        <v>690134</v>
      </c>
      <c r="G132" s="216"/>
      <c r="H132" s="217"/>
      <c r="I132" s="46">
        <v>800</v>
      </c>
      <c r="J132" s="32">
        <v>800</v>
      </c>
      <c r="K132" s="218"/>
      <c r="L132" s="218"/>
      <c r="M132" s="219"/>
      <c r="N132" s="220"/>
      <c r="O132" s="220"/>
      <c r="P132" s="221"/>
      <c r="Q132" s="222"/>
      <c r="R132" s="223"/>
      <c r="S132" s="224"/>
      <c r="T132" s="57"/>
      <c r="U132" s="59"/>
      <c r="V132" s="59"/>
      <c r="W132" s="39"/>
      <c r="X132" s="39"/>
      <c r="Y132" s="40"/>
      <c r="Z132" s="40"/>
      <c r="AA132" s="225"/>
      <c r="AB132" s="235"/>
      <c r="AC132" s="233"/>
      <c r="AD132" s="234"/>
    </row>
    <row r="133" spans="1:30" ht="24" thickBot="1" x14ac:dyDescent="0.45">
      <c r="A133" s="333" t="s">
        <v>150</v>
      </c>
      <c r="B133" s="83" t="s">
        <v>25</v>
      </c>
      <c r="C133" s="83" t="s">
        <v>25</v>
      </c>
      <c r="D133" s="84"/>
      <c r="E133" s="85"/>
      <c r="F133" s="84"/>
      <c r="G133" s="236">
        <f>SUM(G119:G119)</f>
        <v>0</v>
      </c>
      <c r="H133" s="236">
        <f>SUM(H119:H119)</f>
        <v>0</v>
      </c>
      <c r="I133" s="87"/>
      <c r="J133" s="87"/>
      <c r="K133" s="87"/>
      <c r="L133" s="88"/>
      <c r="M133" s="335"/>
      <c r="N133" s="336"/>
      <c r="O133" s="336"/>
      <c r="P133" s="337"/>
      <c r="Q133" s="237">
        <f t="shared" ref="Q133:AD133" si="22">SUM(Q123:Q132)</f>
        <v>2975</v>
      </c>
      <c r="R133" s="237">
        <f t="shared" si="22"/>
        <v>1500</v>
      </c>
      <c r="S133" s="238">
        <f t="shared" si="22"/>
        <v>406.4</v>
      </c>
      <c r="T133" s="238">
        <f t="shared" si="22"/>
        <v>197</v>
      </c>
      <c r="U133" s="237">
        <f t="shared" si="22"/>
        <v>30</v>
      </c>
      <c r="V133" s="237">
        <f t="shared" si="22"/>
        <v>15</v>
      </c>
      <c r="W133" s="238">
        <f t="shared" si="22"/>
        <v>267.16833919543546</v>
      </c>
      <c r="X133" s="238">
        <f t="shared" si="22"/>
        <v>128.43112352891373</v>
      </c>
      <c r="Y133" s="95">
        <f t="shared" si="22"/>
        <v>268.14416959771773</v>
      </c>
      <c r="Z133" s="95">
        <f t="shared" si="22"/>
        <v>0</v>
      </c>
      <c r="AA133" s="238">
        <f t="shared" si="22"/>
        <v>0</v>
      </c>
      <c r="AB133" s="238">
        <f t="shared" si="22"/>
        <v>129.22999999999999</v>
      </c>
      <c r="AC133" s="98">
        <f t="shared" si="22"/>
        <v>269.12</v>
      </c>
      <c r="AD133" s="98">
        <f t="shared" si="22"/>
        <v>130.03</v>
      </c>
    </row>
    <row r="134" spans="1:30" ht="27" thickBot="1" x14ac:dyDescent="0.45">
      <c r="A134" s="334"/>
      <c r="B134" s="83">
        <v>2</v>
      </c>
      <c r="C134" s="83">
        <v>2</v>
      </c>
      <c r="D134" s="84"/>
      <c r="E134" s="84"/>
      <c r="F134" s="84"/>
      <c r="G134" s="99">
        <v>0</v>
      </c>
      <c r="H134" s="100"/>
      <c r="I134" s="99"/>
      <c r="J134" s="100"/>
      <c r="K134" s="341"/>
      <c r="L134" s="342"/>
      <c r="M134" s="338"/>
      <c r="N134" s="339"/>
      <c r="O134" s="339"/>
      <c r="P134" s="340"/>
      <c r="Q134" s="343">
        <f>Q133+R133</f>
        <v>4475</v>
      </c>
      <c r="R134" s="344"/>
      <c r="S134" s="345">
        <f>S133+T133</f>
        <v>603.4</v>
      </c>
      <c r="T134" s="346"/>
      <c r="U134" s="347">
        <f>U133+V133</f>
        <v>45</v>
      </c>
      <c r="V134" s="348"/>
      <c r="W134" s="327">
        <f>W133+X133</f>
        <v>395.59946272434922</v>
      </c>
      <c r="X134" s="328"/>
      <c r="Y134" s="329">
        <f>Y133+Z133</f>
        <v>268.14416959771773</v>
      </c>
      <c r="Z134" s="330"/>
      <c r="AA134" s="327">
        <f>AA133+AB133</f>
        <v>129.22999999999999</v>
      </c>
      <c r="AB134" s="328"/>
      <c r="AC134" s="331">
        <f>AC133+AD133</f>
        <v>399.15</v>
      </c>
      <c r="AD134" s="332"/>
    </row>
  </sheetData>
  <autoFilter ref="A5:AD113" xr:uid="{3D257094-AFCF-44D4-9CB6-CF8FC9C29795}">
    <filterColumn colId="7">
      <filters blank="1">
        <filter val="1000"/>
        <filter val="1001"/>
        <filter val="1015"/>
        <filter val="1021"/>
        <filter val="1031"/>
        <filter val="1040"/>
        <filter val="1070"/>
        <filter val="1074"/>
        <filter val="1075"/>
        <filter val="1140"/>
        <filter val="1198"/>
        <filter val="1202"/>
        <filter val="1306"/>
        <filter val="44,521"/>
        <filter val="628"/>
        <filter val="723"/>
        <filter val="727"/>
        <filter val="752"/>
        <filter val="758"/>
        <filter val="765"/>
        <filter val="773"/>
        <filter val="779"/>
        <filter val="784"/>
        <filter val="801"/>
        <filter val="803"/>
        <filter val="806"/>
        <filter val="809"/>
        <filter val="820"/>
        <filter val="822"/>
        <filter val="830"/>
        <filter val="836"/>
        <filter val="844"/>
        <filter val="850"/>
        <filter val="857"/>
        <filter val="864"/>
        <filter val="872"/>
        <filter val="879"/>
        <filter val="892"/>
        <filter val="900"/>
        <filter val="905"/>
        <filter val="908"/>
        <filter val="913"/>
        <filter val="934"/>
        <filter val="937"/>
        <filter val="941"/>
        <filter val="983"/>
        <filter val="989"/>
        <filter val="994"/>
      </filters>
    </filterColumn>
  </autoFilter>
  <mergeCells count="73">
    <mergeCell ref="W134:X134"/>
    <mergeCell ref="Y134:Z134"/>
    <mergeCell ref="AA134:AB134"/>
    <mergeCell ref="AC134:AD134"/>
    <mergeCell ref="A133:A134"/>
    <mergeCell ref="M133:P134"/>
    <mergeCell ref="K134:L134"/>
    <mergeCell ref="Q134:R134"/>
    <mergeCell ref="S134:T134"/>
    <mergeCell ref="U134:V134"/>
    <mergeCell ref="AA120:AB121"/>
    <mergeCell ref="AC120:AD120"/>
    <mergeCell ref="M121:N121"/>
    <mergeCell ref="O121:P121"/>
    <mergeCell ref="Q121:R121"/>
    <mergeCell ref="S121:T121"/>
    <mergeCell ref="U121:V121"/>
    <mergeCell ref="W121:X121"/>
    <mergeCell ref="AC121:AD121"/>
    <mergeCell ref="O120:P120"/>
    <mergeCell ref="Q120:R120"/>
    <mergeCell ref="S120:T120"/>
    <mergeCell ref="U120:V120"/>
    <mergeCell ref="W120:X120"/>
    <mergeCell ref="Y120:Z121"/>
    <mergeCell ref="M120:N120"/>
    <mergeCell ref="A120:A121"/>
    <mergeCell ref="B120:C121"/>
    <mergeCell ref="G120:H121"/>
    <mergeCell ref="I120:J121"/>
    <mergeCell ref="K120:L121"/>
    <mergeCell ref="F115:G115"/>
    <mergeCell ref="S88:T88"/>
    <mergeCell ref="U88:V88"/>
    <mergeCell ref="W88:X88"/>
    <mergeCell ref="Y88:Z88"/>
    <mergeCell ref="E90:J90"/>
    <mergeCell ref="M113:Q113"/>
    <mergeCell ref="X113:AD113"/>
    <mergeCell ref="M114:Q114"/>
    <mergeCell ref="X114:AD114"/>
    <mergeCell ref="AA88:AB88"/>
    <mergeCell ref="AC88:AD88"/>
    <mergeCell ref="A87:A88"/>
    <mergeCell ref="M87:P88"/>
    <mergeCell ref="G88:H88"/>
    <mergeCell ref="I88:J88"/>
    <mergeCell ref="K88:L88"/>
    <mergeCell ref="Q88:R88"/>
    <mergeCell ref="U3:V3"/>
    <mergeCell ref="W3:X3"/>
    <mergeCell ref="Y3:Z4"/>
    <mergeCell ref="E4:E5"/>
    <mergeCell ref="M4:N4"/>
    <mergeCell ref="O4:P4"/>
    <mergeCell ref="Q4:R4"/>
    <mergeCell ref="S4:T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U4:V4"/>
    <mergeCell ref="S3:T3"/>
  </mergeCells>
  <dataValidations count="1">
    <dataValidation type="list" allowBlank="1" showInputMessage="1" showErrorMessage="1" sqref="B10:C10 B54:C54" xr:uid="{F3BD856A-8A12-419F-AAB1-472592DF15BA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318F-73BF-4119-B1CD-5F5B3C5422B9}">
  <sheetPr filterMode="1">
    <tabColor rgb="FF00B050"/>
  </sheetPr>
  <dimension ref="A1:AL134"/>
  <sheetViews>
    <sheetView zoomScale="78" zoomScaleNormal="78" zoomScaleSheetLayoutView="70" workbookViewId="0">
      <pane xSplit="4" ySplit="5" topLeftCell="E92" activePane="bottomRight" state="frozen"/>
      <selection activeCell="M107" sqref="M107"/>
      <selection pane="topRight" activeCell="M107" sqref="M107"/>
      <selection pane="bottomLeft" activeCell="M107" sqref="M107"/>
      <selection pane="bottomRight" activeCell="E90" sqref="E90:AC111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335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hidden="1" customHeight="1" x14ac:dyDescent="0.4">
      <c r="A6" s="248" t="s">
        <v>33</v>
      </c>
      <c r="B6" s="246" t="s">
        <v>35</v>
      </c>
      <c r="C6" s="253" t="s">
        <v>34</v>
      </c>
      <c r="D6" s="256" t="s">
        <v>296</v>
      </c>
      <c r="E6" s="28"/>
      <c r="F6" s="29">
        <v>690126</v>
      </c>
      <c r="G6" s="30">
        <v>0</v>
      </c>
      <c r="H6" s="31"/>
      <c r="I6" s="32">
        <v>750</v>
      </c>
      <c r="J6" s="32">
        <v>750</v>
      </c>
      <c r="K6" s="33">
        <f>G6*8/100</f>
        <v>0</v>
      </c>
      <c r="L6" s="34">
        <f>H6*8/100</f>
        <v>0</v>
      </c>
      <c r="M6" s="303">
        <v>827</v>
      </c>
      <c r="N6" s="303">
        <v>827</v>
      </c>
      <c r="O6" s="31"/>
      <c r="P6" s="31"/>
      <c r="Q6" s="35"/>
      <c r="R6" s="35"/>
      <c r="S6" s="36"/>
      <c r="T6" s="36"/>
      <c r="U6" s="37"/>
      <c r="V6" s="38"/>
      <c r="W6" s="39"/>
      <c r="X6" s="39"/>
      <c r="Y6" s="40"/>
      <c r="Z6" s="40"/>
      <c r="AA6" s="41"/>
      <c r="AB6" s="42"/>
      <c r="AC6" s="43"/>
      <c r="AD6" s="43"/>
    </row>
    <row r="7" spans="1:31" ht="24" hidden="1" customHeight="1" x14ac:dyDescent="0.4">
      <c r="A7" s="249" t="s">
        <v>37</v>
      </c>
      <c r="B7" s="246" t="s">
        <v>35</v>
      </c>
      <c r="C7" s="253" t="s">
        <v>34</v>
      </c>
      <c r="D7" s="256" t="s">
        <v>101</v>
      </c>
      <c r="E7" s="28">
        <v>69011616</v>
      </c>
      <c r="F7" s="29">
        <v>690126</v>
      </c>
      <c r="G7" s="45">
        <v>0</v>
      </c>
      <c r="H7" s="31"/>
      <c r="I7" s="46">
        <v>750</v>
      </c>
      <c r="J7" s="32">
        <v>750</v>
      </c>
      <c r="K7" s="33">
        <f t="shared" ref="K7:L38" si="0">G7*8/100</f>
        <v>0</v>
      </c>
      <c r="L7" s="47">
        <f t="shared" si="0"/>
        <v>0</v>
      </c>
      <c r="M7" s="303">
        <v>680</v>
      </c>
      <c r="N7" s="303">
        <v>680</v>
      </c>
      <c r="O7" s="31"/>
      <c r="P7" s="31"/>
      <c r="Q7" s="35">
        <v>2000</v>
      </c>
      <c r="R7" s="48"/>
      <c r="S7" s="36">
        <v>202.7</v>
      </c>
      <c r="T7" s="36"/>
      <c r="U7" s="37">
        <v>20</v>
      </c>
      <c r="V7" s="38"/>
      <c r="W7" s="39">
        <f>S7*1000/39.37/Q7*44.5</f>
        <v>114.55613411226823</v>
      </c>
      <c r="X7" s="39"/>
      <c r="Y7" s="40">
        <v>114.83</v>
      </c>
      <c r="Z7" s="40"/>
      <c r="AA7" s="41"/>
      <c r="AB7" s="42"/>
      <c r="AC7" s="43">
        <v>115.1</v>
      </c>
      <c r="AD7" s="43"/>
    </row>
    <row r="8" spans="1:31" ht="24" hidden="1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/>
      <c r="F8" s="29">
        <v>690111</v>
      </c>
      <c r="G8" s="45">
        <v>0</v>
      </c>
      <c r="H8" s="31"/>
      <c r="I8" s="46">
        <v>750</v>
      </c>
      <c r="J8" s="32">
        <v>750</v>
      </c>
      <c r="K8" s="33">
        <f t="shared" si="0"/>
        <v>0</v>
      </c>
      <c r="L8" s="47">
        <f t="shared" si="0"/>
        <v>0</v>
      </c>
      <c r="M8" s="303">
        <v>1862</v>
      </c>
      <c r="N8" s="303">
        <v>1862</v>
      </c>
      <c r="O8" s="31"/>
      <c r="P8" s="31"/>
      <c r="Q8" s="35"/>
      <c r="R8" s="48"/>
      <c r="S8" s="36"/>
      <c r="T8" s="36"/>
      <c r="U8" s="37"/>
      <c r="V8" s="38"/>
      <c r="W8" s="39"/>
      <c r="X8" s="39"/>
      <c r="Y8" s="40"/>
      <c r="Z8" s="40"/>
      <c r="AA8" s="41"/>
      <c r="AB8" s="42"/>
      <c r="AC8" s="43"/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>
        <v>69011603</v>
      </c>
      <c r="F9" s="29">
        <v>690119</v>
      </c>
      <c r="G9" s="45">
        <v>695</v>
      </c>
      <c r="H9" s="31"/>
      <c r="I9" s="46">
        <v>110</v>
      </c>
      <c r="J9" s="32">
        <v>110</v>
      </c>
      <c r="K9" s="33">
        <f t="shared" si="0"/>
        <v>55.6</v>
      </c>
      <c r="L9" s="47">
        <f t="shared" si="0"/>
        <v>0</v>
      </c>
      <c r="M9" s="303">
        <v>320</v>
      </c>
      <c r="N9" s="303">
        <v>1015</v>
      </c>
      <c r="O9" s="31"/>
      <c r="P9" s="31"/>
      <c r="Q9" s="35">
        <v>2500</v>
      </c>
      <c r="R9" s="48"/>
      <c r="S9" s="36">
        <v>206.8</v>
      </c>
      <c r="T9" s="36"/>
      <c r="U9" s="37">
        <v>20</v>
      </c>
      <c r="V9" s="38"/>
      <c r="W9" s="39">
        <f>S9*1000/39.37/Q9*38.5</f>
        <v>80.892049784099584</v>
      </c>
      <c r="X9" s="39"/>
      <c r="Y9" s="40">
        <v>80.900000000000006</v>
      </c>
      <c r="Z9" s="40"/>
      <c r="AA9" s="41"/>
      <c r="AB9" s="42"/>
      <c r="AC9" s="43">
        <v>80.91</v>
      </c>
      <c r="AD9" s="43"/>
    </row>
    <row r="10" spans="1:31" ht="24" hidden="1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314</v>
      </c>
      <c r="E10" s="28"/>
      <c r="F10" s="29">
        <v>690136</v>
      </c>
      <c r="G10" s="51">
        <v>0</v>
      </c>
      <c r="H10" s="31"/>
      <c r="I10" s="46">
        <v>110</v>
      </c>
      <c r="J10" s="32">
        <v>110</v>
      </c>
      <c r="K10" s="33">
        <f t="shared" si="0"/>
        <v>0</v>
      </c>
      <c r="L10" s="47">
        <f t="shared" si="0"/>
        <v>0</v>
      </c>
      <c r="M10" s="303">
        <v>646</v>
      </c>
      <c r="N10" s="303">
        <v>646</v>
      </c>
      <c r="O10" s="31"/>
      <c r="P10" s="31"/>
      <c r="Q10" s="35"/>
      <c r="R10" s="48"/>
      <c r="S10" s="36"/>
      <c r="T10" s="36"/>
      <c r="U10" s="37"/>
      <c r="V10" s="38"/>
      <c r="W10" s="39"/>
      <c r="X10" s="39"/>
      <c r="Y10" s="40"/>
      <c r="Z10" s="40"/>
      <c r="AA10" s="41"/>
      <c r="AB10" s="42"/>
      <c r="AC10" s="43"/>
      <c r="AD10" s="43"/>
      <c r="AE10" s="260"/>
    </row>
    <row r="11" spans="1:31" ht="23.25" hidden="1" customHeight="1" x14ac:dyDescent="0.4">
      <c r="A11" s="249" t="s">
        <v>48</v>
      </c>
      <c r="B11" s="246" t="s">
        <v>49</v>
      </c>
      <c r="C11" s="253" t="s">
        <v>233</v>
      </c>
      <c r="D11" s="256" t="s">
        <v>101</v>
      </c>
      <c r="E11" s="28"/>
      <c r="F11" s="29">
        <v>690126</v>
      </c>
      <c r="G11" s="45">
        <v>0</v>
      </c>
      <c r="H11" s="31"/>
      <c r="I11" s="46">
        <v>800</v>
      </c>
      <c r="J11" s="32">
        <v>800</v>
      </c>
      <c r="K11" s="33">
        <f t="shared" si="0"/>
        <v>0</v>
      </c>
      <c r="L11" s="47">
        <f>H11*8/100</f>
        <v>0</v>
      </c>
      <c r="M11" s="304">
        <v>1059</v>
      </c>
      <c r="N11" s="304">
        <v>1059</v>
      </c>
      <c r="O11" s="31"/>
      <c r="P11" s="53"/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hidden="1" customHeight="1" x14ac:dyDescent="0.4">
      <c r="A12" s="249" t="s">
        <v>50</v>
      </c>
      <c r="B12" s="246" t="s">
        <v>51</v>
      </c>
      <c r="C12" s="253" t="s">
        <v>233</v>
      </c>
      <c r="D12" s="256" t="s">
        <v>285</v>
      </c>
      <c r="E12" s="28"/>
      <c r="F12" s="29">
        <v>690143</v>
      </c>
      <c r="G12" s="45">
        <v>0</v>
      </c>
      <c r="H12" s="31"/>
      <c r="I12" s="46">
        <v>800</v>
      </c>
      <c r="J12" s="32">
        <v>800</v>
      </c>
      <c r="K12" s="33">
        <f t="shared" si="0"/>
        <v>0</v>
      </c>
      <c r="L12" s="47">
        <f t="shared" si="0"/>
        <v>0</v>
      </c>
      <c r="M12" s="303">
        <v>2288</v>
      </c>
      <c r="N12" s="303">
        <v>2288</v>
      </c>
      <c r="O12" s="31"/>
      <c r="P12" s="31"/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hidden="1" customHeight="1" x14ac:dyDescent="0.4">
      <c r="A13" s="249" t="s">
        <v>53</v>
      </c>
      <c r="B13" s="246" t="s">
        <v>51</v>
      </c>
      <c r="C13" s="253" t="s">
        <v>233</v>
      </c>
      <c r="D13" s="256" t="s">
        <v>285</v>
      </c>
      <c r="E13" s="28">
        <v>69011615</v>
      </c>
      <c r="F13" s="29">
        <v>690143</v>
      </c>
      <c r="G13" s="45">
        <v>0</v>
      </c>
      <c r="H13" s="31"/>
      <c r="I13" s="46">
        <v>800</v>
      </c>
      <c r="J13" s="32">
        <v>800</v>
      </c>
      <c r="K13" s="33">
        <f t="shared" si="0"/>
        <v>0</v>
      </c>
      <c r="L13" s="47">
        <f t="shared" si="0"/>
        <v>0</v>
      </c>
      <c r="M13" s="303">
        <v>502</v>
      </c>
      <c r="N13" s="303">
        <v>502</v>
      </c>
      <c r="O13" s="31"/>
      <c r="P13" s="31"/>
      <c r="Q13" s="35">
        <v>1030</v>
      </c>
      <c r="R13" s="48"/>
      <c r="S13" s="36">
        <v>75.599999999999994</v>
      </c>
      <c r="T13" s="36"/>
      <c r="U13" s="37">
        <v>10</v>
      </c>
      <c r="V13" s="38"/>
      <c r="W13" s="39">
        <f>S13*1000/39.37/Q13*35.5</f>
        <v>66.183161492536584</v>
      </c>
      <c r="X13" s="39"/>
      <c r="Y13" s="40">
        <v>67.62</v>
      </c>
      <c r="Z13" s="40"/>
      <c r="AA13" s="41"/>
      <c r="AB13" s="42"/>
      <c r="AC13" s="43">
        <v>69.05</v>
      </c>
      <c r="AD13" s="43"/>
    </row>
    <row r="14" spans="1:31" ht="24" hidden="1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0</v>
      </c>
      <c r="H14" s="31"/>
      <c r="I14" s="46">
        <v>800</v>
      </c>
      <c r="J14" s="32">
        <v>800</v>
      </c>
      <c r="K14" s="33">
        <f t="shared" si="0"/>
        <v>0</v>
      </c>
      <c r="L14" s="47">
        <f t="shared" si="0"/>
        <v>0</v>
      </c>
      <c r="M14" s="303">
        <v>990</v>
      </c>
      <c r="N14" s="303">
        <v>990</v>
      </c>
      <c r="O14" s="31"/>
      <c r="P14" s="31"/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hidden="1" customHeight="1" x14ac:dyDescent="0.4">
      <c r="A15" s="249" t="s">
        <v>55</v>
      </c>
      <c r="B15" s="246" t="s">
        <v>51</v>
      </c>
      <c r="C15" s="253" t="s">
        <v>233</v>
      </c>
      <c r="D15" s="256" t="s">
        <v>314</v>
      </c>
      <c r="E15" s="28"/>
      <c r="F15" s="29">
        <v>690119</v>
      </c>
      <c r="G15" s="55">
        <v>0</v>
      </c>
      <c r="H15" s="31"/>
      <c r="I15" s="46">
        <v>800</v>
      </c>
      <c r="J15" s="32">
        <v>800</v>
      </c>
      <c r="K15" s="33">
        <f t="shared" si="0"/>
        <v>0</v>
      </c>
      <c r="L15" s="47">
        <f t="shared" si="0"/>
        <v>0</v>
      </c>
      <c r="M15" s="303">
        <v>1826</v>
      </c>
      <c r="N15" s="303">
        <v>1826</v>
      </c>
      <c r="O15" s="31"/>
      <c r="P15" s="31"/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thickBot="1" x14ac:dyDescent="0.45">
      <c r="A16" s="249" t="s">
        <v>56</v>
      </c>
      <c r="B16" s="246" t="s">
        <v>51</v>
      </c>
      <c r="C16" s="253" t="s">
        <v>233</v>
      </c>
      <c r="D16" s="256" t="s">
        <v>57</v>
      </c>
      <c r="E16" s="28">
        <v>69011622</v>
      </c>
      <c r="F16" s="29">
        <v>690106</v>
      </c>
      <c r="G16" s="55">
        <v>539</v>
      </c>
      <c r="H16" s="31"/>
      <c r="I16" s="46">
        <v>800</v>
      </c>
      <c r="J16" s="32">
        <v>800</v>
      </c>
      <c r="K16" s="33">
        <f t="shared" si="0"/>
        <v>43.12</v>
      </c>
      <c r="L16" s="47">
        <f t="shared" si="0"/>
        <v>0</v>
      </c>
      <c r="M16" s="303">
        <v>1435</v>
      </c>
      <c r="N16" s="303">
        <v>374</v>
      </c>
      <c r="O16" s="31"/>
      <c r="P16" s="31"/>
      <c r="Q16" s="35">
        <v>1600</v>
      </c>
      <c r="R16" s="48"/>
      <c r="S16" s="36">
        <v>127</v>
      </c>
      <c r="T16" s="36"/>
      <c r="U16" s="37">
        <v>15</v>
      </c>
      <c r="V16" s="38"/>
      <c r="W16" s="39">
        <f>S16*1000/39.37/Q16*31.5</f>
        <v>63.508064516129032</v>
      </c>
      <c r="X16" s="39"/>
      <c r="Y16" s="40">
        <v>64.02</v>
      </c>
      <c r="Z16" s="40"/>
      <c r="AA16" s="41"/>
      <c r="AB16" s="42"/>
      <c r="AC16" s="43">
        <v>64.53</v>
      </c>
      <c r="AD16" s="43"/>
    </row>
    <row r="17" spans="1:35" ht="24" hidden="1" customHeight="1" x14ac:dyDescent="0.45">
      <c r="A17" s="249" t="s">
        <v>58</v>
      </c>
      <c r="B17" s="246" t="s">
        <v>51</v>
      </c>
      <c r="C17" s="253" t="s">
        <v>233</v>
      </c>
      <c r="D17" s="256" t="s">
        <v>61</v>
      </c>
      <c r="E17" s="28"/>
      <c r="F17" s="29">
        <v>690106</v>
      </c>
      <c r="G17" s="55">
        <v>0</v>
      </c>
      <c r="H17" s="31"/>
      <c r="I17" s="46">
        <v>800</v>
      </c>
      <c r="J17" s="32">
        <v>800</v>
      </c>
      <c r="K17" s="33">
        <f t="shared" si="0"/>
        <v>0</v>
      </c>
      <c r="L17" s="47">
        <f t="shared" si="0"/>
        <v>0</v>
      </c>
      <c r="M17" s="303">
        <v>1344</v>
      </c>
      <c r="N17" s="303">
        <v>1344</v>
      </c>
      <c r="O17" s="31"/>
      <c r="P17" s="31"/>
      <c r="Q17" s="35"/>
      <c r="R17" s="48"/>
      <c r="S17" s="36"/>
      <c r="T17" s="36"/>
      <c r="U17" s="37"/>
      <c r="V17" s="38"/>
      <c r="W17" s="39"/>
      <c r="X17" s="39"/>
      <c r="Y17" s="40"/>
      <c r="Z17" s="40"/>
      <c r="AA17" s="41"/>
      <c r="AB17" s="42"/>
      <c r="AC17" s="43"/>
      <c r="AD17" s="43"/>
    </row>
    <row r="18" spans="1:35" ht="24" hidden="1" customHeight="1" x14ac:dyDescent="0.45">
      <c r="A18" s="249" t="s">
        <v>60</v>
      </c>
      <c r="B18" s="246" t="s">
        <v>51</v>
      </c>
      <c r="C18" s="253" t="s">
        <v>233</v>
      </c>
      <c r="D18" s="256" t="s">
        <v>61</v>
      </c>
      <c r="E18" s="28"/>
      <c r="F18" s="29">
        <v>690106</v>
      </c>
      <c r="G18" s="55">
        <v>0</v>
      </c>
      <c r="H18" s="31"/>
      <c r="I18" s="46">
        <v>800</v>
      </c>
      <c r="J18" s="32">
        <v>800</v>
      </c>
      <c r="K18" s="33">
        <f t="shared" si="0"/>
        <v>0</v>
      </c>
      <c r="L18" s="47">
        <f t="shared" si="0"/>
        <v>0</v>
      </c>
      <c r="M18" s="303">
        <v>1234</v>
      </c>
      <c r="N18" s="303">
        <v>1234</v>
      </c>
      <c r="O18" s="31"/>
      <c r="P18" s="31"/>
      <c r="Q18" s="35"/>
      <c r="R18" s="48"/>
      <c r="S18" s="36"/>
      <c r="T18" s="36"/>
      <c r="U18" s="37"/>
      <c r="V18" s="38"/>
      <c r="W18" s="39"/>
      <c r="X18" s="39"/>
      <c r="Y18" s="40"/>
      <c r="Z18" s="40"/>
      <c r="AA18" s="41"/>
      <c r="AB18" s="42"/>
      <c r="AC18" s="43"/>
      <c r="AD18" s="43"/>
    </row>
    <row r="19" spans="1:35" ht="24" hidden="1" customHeight="1" x14ac:dyDescent="0.45">
      <c r="A19" s="249" t="s">
        <v>62</v>
      </c>
      <c r="B19" s="246" t="s">
        <v>35</v>
      </c>
      <c r="C19" s="253" t="s">
        <v>34</v>
      </c>
      <c r="D19" s="256" t="s">
        <v>61</v>
      </c>
      <c r="E19" s="28"/>
      <c r="F19" s="29">
        <v>690112</v>
      </c>
      <c r="G19" s="45">
        <v>0</v>
      </c>
      <c r="H19" s="31"/>
      <c r="I19" s="46">
        <v>750</v>
      </c>
      <c r="J19" s="32">
        <v>750</v>
      </c>
      <c r="K19" s="33">
        <f t="shared" si="0"/>
        <v>0</v>
      </c>
      <c r="L19" s="47">
        <f t="shared" si="0"/>
        <v>0</v>
      </c>
      <c r="M19" s="303">
        <v>1871</v>
      </c>
      <c r="N19" s="303">
        <v>1871</v>
      </c>
      <c r="O19" s="31"/>
      <c r="P19" s="31"/>
      <c r="Q19" s="35"/>
      <c r="R19" s="48"/>
      <c r="S19" s="36"/>
      <c r="T19" s="36"/>
      <c r="U19" s="37"/>
      <c r="V19" s="38"/>
      <c r="W19" s="39"/>
      <c r="X19" s="39"/>
      <c r="Y19" s="40"/>
      <c r="Z19" s="40"/>
      <c r="AA19" s="41"/>
      <c r="AB19" s="42"/>
      <c r="AC19" s="43"/>
      <c r="AD19" s="43"/>
      <c r="AF19" s="54"/>
    </row>
    <row r="20" spans="1:35" ht="24" hidden="1" customHeight="1" x14ac:dyDescent="0.45">
      <c r="A20" s="249" t="s">
        <v>66</v>
      </c>
      <c r="B20" s="246" t="s">
        <v>35</v>
      </c>
      <c r="C20" s="253" t="s">
        <v>34</v>
      </c>
      <c r="D20" s="256" t="s">
        <v>140</v>
      </c>
      <c r="E20" s="28"/>
      <c r="F20" s="29">
        <v>690119</v>
      </c>
      <c r="G20" s="45">
        <v>0</v>
      </c>
      <c r="H20" s="31"/>
      <c r="I20" s="46">
        <v>750</v>
      </c>
      <c r="J20" s="32">
        <v>750</v>
      </c>
      <c r="K20" s="33">
        <f t="shared" si="0"/>
        <v>0</v>
      </c>
      <c r="L20" s="47">
        <f t="shared" si="0"/>
        <v>0</v>
      </c>
      <c r="M20" s="303">
        <v>994</v>
      </c>
      <c r="N20" s="303">
        <v>994</v>
      </c>
      <c r="O20" s="31"/>
      <c r="P20" s="31"/>
      <c r="Q20" s="35"/>
      <c r="R20" s="48"/>
      <c r="S20" s="36"/>
      <c r="T20" s="36"/>
      <c r="U20" s="37"/>
      <c r="V20" s="38"/>
      <c r="W20" s="39"/>
      <c r="X20" s="39"/>
      <c r="Y20" s="40"/>
      <c r="Z20" s="40"/>
      <c r="AA20" s="41"/>
      <c r="AB20" s="42"/>
      <c r="AC20" s="43"/>
      <c r="AD20" s="43"/>
    </row>
    <row r="21" spans="1:35" ht="24" hidden="1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140</v>
      </c>
      <c r="E21" s="28"/>
      <c r="F21" s="29">
        <v>690119</v>
      </c>
      <c r="G21" s="45">
        <v>0</v>
      </c>
      <c r="H21" s="31"/>
      <c r="I21" s="46">
        <v>750</v>
      </c>
      <c r="J21" s="32">
        <v>750</v>
      </c>
      <c r="K21" s="33">
        <f t="shared" si="0"/>
        <v>0</v>
      </c>
      <c r="L21" s="47">
        <f t="shared" si="0"/>
        <v>0</v>
      </c>
      <c r="M21" s="303">
        <v>1743</v>
      </c>
      <c r="N21" s="303">
        <v>1743</v>
      </c>
      <c r="O21" s="31"/>
      <c r="P21" s="31"/>
      <c r="Q21" s="35"/>
      <c r="R21" s="48"/>
      <c r="S21" s="36"/>
      <c r="T21" s="36"/>
      <c r="U21" s="37"/>
      <c r="V21" s="38"/>
      <c r="W21" s="39"/>
      <c r="X21" s="39"/>
      <c r="Y21" s="40"/>
      <c r="Z21" s="40"/>
      <c r="AA21" s="41"/>
      <c r="AB21" s="42"/>
      <c r="AC21" s="43"/>
      <c r="AD21" s="43"/>
    </row>
    <row r="22" spans="1:35" ht="24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>
        <v>69011607</v>
      </c>
      <c r="F22" s="29">
        <v>690104</v>
      </c>
      <c r="G22" s="45">
        <v>862</v>
      </c>
      <c r="H22" s="31"/>
      <c r="I22" s="46">
        <v>750</v>
      </c>
      <c r="J22" s="32">
        <v>750</v>
      </c>
      <c r="K22" s="33">
        <f t="shared" si="0"/>
        <v>68.959999999999994</v>
      </c>
      <c r="L22" s="47">
        <f t="shared" si="0"/>
        <v>0</v>
      </c>
      <c r="M22" s="305">
        <v>36</v>
      </c>
      <c r="N22" s="305">
        <v>898</v>
      </c>
      <c r="O22" s="31"/>
      <c r="P22" s="31"/>
      <c r="Q22" s="35">
        <v>2000</v>
      </c>
      <c r="R22" s="48"/>
      <c r="S22" s="36">
        <v>157.1</v>
      </c>
      <c r="T22" s="36"/>
      <c r="U22" s="37">
        <v>0</v>
      </c>
      <c r="V22" s="38"/>
      <c r="W22" s="39">
        <v>76.81</v>
      </c>
      <c r="X22" s="39"/>
      <c r="Y22" s="40">
        <v>78.09</v>
      </c>
      <c r="Z22" s="40"/>
      <c r="AA22" s="41"/>
      <c r="AB22" s="42"/>
      <c r="AC22" s="43">
        <v>79.37</v>
      </c>
      <c r="AD22" s="43"/>
    </row>
    <row r="23" spans="1:35" ht="24" customHeight="1" x14ac:dyDescent="0.5">
      <c r="A23" s="249" t="s">
        <v>72</v>
      </c>
      <c r="B23" s="246" t="s">
        <v>42</v>
      </c>
      <c r="C23" s="253" t="s">
        <v>41</v>
      </c>
      <c r="D23" s="258" t="s">
        <v>316</v>
      </c>
      <c r="E23" s="28"/>
      <c r="F23" s="29">
        <v>690133</v>
      </c>
      <c r="G23" s="45">
        <v>830</v>
      </c>
      <c r="H23" s="31"/>
      <c r="I23" s="46">
        <v>750</v>
      </c>
      <c r="J23" s="32">
        <v>750</v>
      </c>
      <c r="K23" s="33">
        <f t="shared" si="0"/>
        <v>66.400000000000006</v>
      </c>
      <c r="L23" s="47">
        <f t="shared" si="0"/>
        <v>0</v>
      </c>
      <c r="M23" s="303">
        <v>10</v>
      </c>
      <c r="N23" s="303">
        <v>840</v>
      </c>
      <c r="O23" s="31"/>
      <c r="P23" s="31"/>
      <c r="Q23" s="35"/>
      <c r="R23" s="48"/>
      <c r="S23" s="36"/>
      <c r="T23" s="36"/>
      <c r="U23" s="37"/>
      <c r="V23" s="38"/>
      <c r="W23" s="39"/>
      <c r="X23" s="39"/>
      <c r="Y23" s="40"/>
      <c r="Z23" s="40"/>
      <c r="AA23" s="41"/>
      <c r="AB23" s="42"/>
      <c r="AC23" s="43"/>
      <c r="AD23" s="43"/>
    </row>
    <row r="24" spans="1:35" ht="24" customHeight="1" x14ac:dyDescent="0.4">
      <c r="A24" s="249" t="s">
        <v>70</v>
      </c>
      <c r="B24" s="246" t="s">
        <v>42</v>
      </c>
      <c r="C24" s="253" t="s">
        <v>41</v>
      </c>
      <c r="D24" s="256" t="s">
        <v>57</v>
      </c>
      <c r="E24" s="28">
        <v>69011601</v>
      </c>
      <c r="F24" s="29">
        <v>690104</v>
      </c>
      <c r="G24" s="45">
        <v>800</v>
      </c>
      <c r="H24" s="31"/>
      <c r="I24" s="46">
        <v>750</v>
      </c>
      <c r="J24" s="32">
        <v>750</v>
      </c>
      <c r="K24" s="33">
        <f t="shared" si="0"/>
        <v>64</v>
      </c>
      <c r="L24" s="47">
        <f t="shared" si="0"/>
        <v>0</v>
      </c>
      <c r="M24" s="303">
        <v>1191</v>
      </c>
      <c r="N24" s="303">
        <v>1991</v>
      </c>
      <c r="O24" s="31"/>
      <c r="P24" s="31"/>
      <c r="Q24" s="35">
        <v>2420</v>
      </c>
      <c r="R24" s="48"/>
      <c r="S24" s="36">
        <v>192.8</v>
      </c>
      <c r="T24" s="36"/>
      <c r="U24" s="37">
        <v>20</v>
      </c>
      <c r="V24" s="38"/>
      <c r="W24" s="39">
        <f>S24*1000/39.37/Q24*31.5</f>
        <v>63.743631619494657</v>
      </c>
      <c r="X24" s="39"/>
      <c r="Y24" s="40">
        <v>64.17</v>
      </c>
      <c r="Z24" s="40"/>
      <c r="AA24" s="41"/>
      <c r="AB24" s="42"/>
      <c r="AC24" s="43">
        <v>64.59</v>
      </c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101</v>
      </c>
      <c r="E25" s="28">
        <v>69011617</v>
      </c>
      <c r="F25" s="29">
        <v>690126</v>
      </c>
      <c r="G25" s="45">
        <v>702</v>
      </c>
      <c r="H25" s="31"/>
      <c r="I25" s="46">
        <v>750</v>
      </c>
      <c r="J25" s="32">
        <v>750</v>
      </c>
      <c r="K25" s="33">
        <f t="shared" si="0"/>
        <v>56.16</v>
      </c>
      <c r="L25" s="47">
        <f t="shared" si="0"/>
        <v>0</v>
      </c>
      <c r="M25" s="306">
        <v>181</v>
      </c>
      <c r="N25" s="306">
        <v>883</v>
      </c>
      <c r="O25" s="31"/>
      <c r="P25" s="31"/>
      <c r="Q25" s="35">
        <v>2000</v>
      </c>
      <c r="R25" s="48"/>
      <c r="S25" s="36">
        <v>204.1</v>
      </c>
      <c r="T25" s="36"/>
      <c r="U25" s="37">
        <v>20</v>
      </c>
      <c r="V25" s="38"/>
      <c r="W25" s="39">
        <f>S25*1000/39.37/Q25*44.5</f>
        <v>115.34734569469138</v>
      </c>
      <c r="X25" s="39"/>
      <c r="Y25" s="40">
        <v>114.56</v>
      </c>
      <c r="Z25" s="40"/>
      <c r="AA25" s="41"/>
      <c r="AB25" s="42"/>
      <c r="AC25" s="239">
        <v>113.77</v>
      </c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57</v>
      </c>
      <c r="E26" s="28">
        <v>69011624</v>
      </c>
      <c r="F26" s="29">
        <v>690119</v>
      </c>
      <c r="G26" s="55">
        <v>817</v>
      </c>
      <c r="H26" s="31"/>
      <c r="I26" s="46">
        <v>800</v>
      </c>
      <c r="J26" s="32">
        <v>800</v>
      </c>
      <c r="K26" s="33">
        <f t="shared" si="0"/>
        <v>65.36</v>
      </c>
      <c r="L26" s="47">
        <f t="shared" si="0"/>
        <v>0</v>
      </c>
      <c r="M26" s="303">
        <v>2212</v>
      </c>
      <c r="N26" s="303">
        <v>588</v>
      </c>
      <c r="O26" s="31"/>
      <c r="P26" s="31"/>
      <c r="Q26" s="35">
        <v>2441</v>
      </c>
      <c r="R26" s="35"/>
      <c r="S26" s="36">
        <v>193.2</v>
      </c>
      <c r="T26" s="36"/>
      <c r="U26" s="37">
        <v>25</v>
      </c>
      <c r="V26" s="38"/>
      <c r="W26" s="39">
        <f>S26*1000/39.37/Q26*31.5</f>
        <v>63.326353608872736</v>
      </c>
      <c r="X26" s="39"/>
      <c r="Y26" s="40">
        <v>63.77</v>
      </c>
      <c r="Z26" s="40"/>
      <c r="AA26" s="41"/>
      <c r="AB26" s="42"/>
      <c r="AC26" s="43">
        <v>64.2</v>
      </c>
      <c r="AD26" s="43"/>
    </row>
    <row r="27" spans="1:35" ht="22.5" hidden="1" customHeight="1" x14ac:dyDescent="0.4">
      <c r="A27" s="249" t="s">
        <v>77</v>
      </c>
      <c r="B27" s="246" t="s">
        <v>76</v>
      </c>
      <c r="C27" s="253" t="s">
        <v>75</v>
      </c>
      <c r="D27" s="256" t="s">
        <v>61</v>
      </c>
      <c r="E27" s="28"/>
      <c r="F27" s="29">
        <v>690112</v>
      </c>
      <c r="G27" s="55">
        <v>0</v>
      </c>
      <c r="H27" s="31"/>
      <c r="I27" s="46">
        <v>800</v>
      </c>
      <c r="J27" s="32">
        <v>800</v>
      </c>
      <c r="K27" s="33">
        <f t="shared" si="0"/>
        <v>0</v>
      </c>
      <c r="L27" s="47">
        <f t="shared" si="0"/>
        <v>0</v>
      </c>
      <c r="M27" s="303">
        <v>550</v>
      </c>
      <c r="N27" s="303">
        <v>550</v>
      </c>
      <c r="O27" s="31"/>
      <c r="P27" s="31"/>
      <c r="Q27" s="35"/>
      <c r="R27" s="35"/>
      <c r="S27" s="57"/>
      <c r="T27" s="57"/>
      <c r="U27" s="58"/>
      <c r="V27" s="59"/>
      <c r="W27" s="39"/>
      <c r="X27" s="39"/>
      <c r="Y27" s="40"/>
      <c r="Z27" s="40"/>
      <c r="AA27" s="41"/>
      <c r="AB27" s="42"/>
      <c r="AC27" s="43"/>
      <c r="AD27" s="43"/>
    </row>
    <row r="28" spans="1:35" ht="24" hidden="1" customHeight="1" x14ac:dyDescent="0.4">
      <c r="A28" s="249" t="s">
        <v>78</v>
      </c>
      <c r="B28" s="246" t="s">
        <v>76</v>
      </c>
      <c r="C28" s="253" t="s">
        <v>75</v>
      </c>
      <c r="D28" s="256" t="s">
        <v>61</v>
      </c>
      <c r="E28" s="259"/>
      <c r="F28" s="29">
        <v>690112</v>
      </c>
      <c r="G28" s="45">
        <v>0</v>
      </c>
      <c r="H28" s="31"/>
      <c r="I28" s="46">
        <v>800</v>
      </c>
      <c r="J28" s="32">
        <v>800</v>
      </c>
      <c r="K28" s="33">
        <f t="shared" si="0"/>
        <v>0</v>
      </c>
      <c r="L28" s="47">
        <f t="shared" si="0"/>
        <v>0</v>
      </c>
      <c r="M28" s="303">
        <v>511</v>
      </c>
      <c r="N28" s="303">
        <v>511</v>
      </c>
      <c r="O28" s="31"/>
      <c r="P28" s="31"/>
      <c r="Q28" s="35"/>
      <c r="R28" s="48"/>
      <c r="S28" s="36"/>
      <c r="T28" s="36"/>
      <c r="U28" s="37"/>
      <c r="V28" s="38"/>
      <c r="W28" s="39"/>
      <c r="X28" s="39"/>
      <c r="Y28" s="40"/>
      <c r="Z28" s="40"/>
      <c r="AA28" s="41"/>
      <c r="AB28" s="42"/>
      <c r="AC28" s="43"/>
      <c r="AD28" s="43"/>
      <c r="AF28" s="54"/>
    </row>
    <row r="29" spans="1:35" ht="23.25" hidden="1" customHeight="1" x14ac:dyDescent="0.4">
      <c r="A29" s="249" t="s">
        <v>79</v>
      </c>
      <c r="B29" s="246" t="s">
        <v>76</v>
      </c>
      <c r="C29" s="253" t="s">
        <v>75</v>
      </c>
      <c r="D29" s="256" t="s">
        <v>140</v>
      </c>
      <c r="E29" s="259"/>
      <c r="F29" s="29">
        <v>690119</v>
      </c>
      <c r="G29" s="45">
        <v>0</v>
      </c>
      <c r="H29" s="31"/>
      <c r="I29" s="46">
        <v>800</v>
      </c>
      <c r="J29" s="32">
        <v>800</v>
      </c>
      <c r="K29" s="33">
        <f t="shared" si="0"/>
        <v>0</v>
      </c>
      <c r="L29" s="47">
        <f t="shared" si="0"/>
        <v>0</v>
      </c>
      <c r="M29" s="303">
        <v>1289</v>
      </c>
      <c r="N29" s="303">
        <v>1289</v>
      </c>
      <c r="O29" s="31"/>
      <c r="P29" s="31"/>
      <c r="Q29" s="35"/>
      <c r="R29" s="48"/>
      <c r="S29" s="36"/>
      <c r="T29" s="36"/>
      <c r="U29" s="37"/>
      <c r="V29" s="38"/>
      <c r="W29" s="39"/>
      <c r="X29" s="39"/>
      <c r="Y29" s="40"/>
      <c r="Z29" s="40"/>
      <c r="AA29" s="41"/>
      <c r="AB29" s="42"/>
      <c r="AC29" s="43"/>
      <c r="AD29" s="43"/>
    </row>
    <row r="30" spans="1:35" ht="24" hidden="1" customHeight="1" x14ac:dyDescent="0.4">
      <c r="A30" s="249" t="s">
        <v>80</v>
      </c>
      <c r="B30" s="246" t="s">
        <v>76</v>
      </c>
      <c r="C30" s="253" t="s">
        <v>75</v>
      </c>
      <c r="D30" s="256" t="s">
        <v>140</v>
      </c>
      <c r="E30" s="28">
        <v>69011613</v>
      </c>
      <c r="F30" s="29">
        <v>690108</v>
      </c>
      <c r="G30" s="45">
        <v>0</v>
      </c>
      <c r="H30" s="31"/>
      <c r="I30" s="46">
        <v>800</v>
      </c>
      <c r="J30" s="32">
        <v>800</v>
      </c>
      <c r="K30" s="33">
        <f t="shared" si="0"/>
        <v>0</v>
      </c>
      <c r="L30" s="47">
        <f t="shared" si="0"/>
        <v>0</v>
      </c>
      <c r="M30" s="303">
        <v>754</v>
      </c>
      <c r="N30" s="303">
        <v>754</v>
      </c>
      <c r="O30" s="31"/>
      <c r="P30" s="31"/>
      <c r="Q30" s="35">
        <v>2000</v>
      </c>
      <c r="R30" s="35"/>
      <c r="S30" s="36">
        <v>148.80000000000001</v>
      </c>
      <c r="T30" s="36"/>
      <c r="U30" s="37"/>
      <c r="V30" s="38"/>
      <c r="W30" s="39">
        <f>S30*1000/39.37/Q30*38.5</f>
        <v>72.755905511811022</v>
      </c>
      <c r="X30" s="39"/>
      <c r="Y30" s="40">
        <v>74.25</v>
      </c>
      <c r="Z30" s="40"/>
      <c r="AA30" s="41"/>
      <c r="AB30" s="42"/>
      <c r="AC30" s="43">
        <v>75.739999999999995</v>
      </c>
      <c r="AD30" s="43"/>
    </row>
    <row r="31" spans="1:35" ht="24" hidden="1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/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03"/>
      <c r="N31" s="303"/>
      <c r="O31" s="31"/>
      <c r="P31" s="31"/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hidden="1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0</v>
      </c>
      <c r="H32" s="31"/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03"/>
      <c r="N32" s="303"/>
      <c r="O32" s="31"/>
      <c r="P32" s="31"/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hidden="1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/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03"/>
      <c r="N33" s="303"/>
      <c r="O33" s="31"/>
      <c r="P33" s="31"/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>
        <v>69011602</v>
      </c>
      <c r="F34" s="29">
        <v>690119</v>
      </c>
      <c r="G34" s="60">
        <v>206</v>
      </c>
      <c r="H34" s="31"/>
      <c r="I34" s="46">
        <v>110</v>
      </c>
      <c r="J34" s="32">
        <v>110</v>
      </c>
      <c r="K34" s="33">
        <f t="shared" si="0"/>
        <v>16.48</v>
      </c>
      <c r="L34" s="47">
        <f t="shared" si="0"/>
        <v>0</v>
      </c>
      <c r="M34" s="303">
        <v>20</v>
      </c>
      <c r="N34" s="303">
        <v>226</v>
      </c>
      <c r="O34" s="31"/>
      <c r="P34" s="31"/>
      <c r="Q34" s="35">
        <v>2502</v>
      </c>
      <c r="R34" s="48"/>
      <c r="S34" s="36">
        <v>207.7</v>
      </c>
      <c r="T34" s="36"/>
      <c r="U34" s="37">
        <v>25</v>
      </c>
      <c r="V34" s="38"/>
      <c r="W34" s="39">
        <f>S34*1000/39.37/Q34*38.5</f>
        <v>81.179151167255171</v>
      </c>
      <c r="X34" s="39"/>
      <c r="Y34" s="40">
        <v>81.22</v>
      </c>
      <c r="Z34" s="40"/>
      <c r="AA34" s="41"/>
      <c r="AB34" s="42"/>
      <c r="AC34" s="43">
        <v>81.260000000000005</v>
      </c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577</v>
      </c>
      <c r="H35" s="31"/>
      <c r="I35" s="46">
        <v>110</v>
      </c>
      <c r="J35" s="32">
        <v>110</v>
      </c>
      <c r="K35" s="33">
        <f t="shared" si="0"/>
        <v>46.16</v>
      </c>
      <c r="L35" s="47">
        <f t="shared" si="0"/>
        <v>0</v>
      </c>
      <c r="M35" s="303">
        <v>880</v>
      </c>
      <c r="N35" s="303">
        <v>1457</v>
      </c>
      <c r="O35" s="31"/>
      <c r="P35" s="31"/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71</v>
      </c>
      <c r="E36" s="28">
        <v>69011614</v>
      </c>
      <c r="F36" s="29">
        <v>690106</v>
      </c>
      <c r="G36" s="45">
        <v>149</v>
      </c>
      <c r="H36" s="31"/>
      <c r="I36" s="46">
        <v>115</v>
      </c>
      <c r="J36" s="32">
        <v>115</v>
      </c>
      <c r="K36" s="33">
        <f t="shared" si="0"/>
        <v>11.92</v>
      </c>
      <c r="L36" s="47">
        <f t="shared" si="0"/>
        <v>0</v>
      </c>
      <c r="M36" s="303">
        <v>1001</v>
      </c>
      <c r="N36" s="303">
        <v>0</v>
      </c>
      <c r="O36" s="31"/>
      <c r="P36" s="31"/>
      <c r="Q36" s="35">
        <v>551</v>
      </c>
      <c r="R36" s="48"/>
      <c r="S36" s="36">
        <v>39</v>
      </c>
      <c r="T36" s="36"/>
      <c r="U36" s="37">
        <v>10</v>
      </c>
      <c r="V36" s="38"/>
      <c r="W36" s="39">
        <f>S36*1000/39.37/Q36*31.5</f>
        <v>56.631510722186604</v>
      </c>
      <c r="X36" s="39"/>
      <c r="Y36" s="40">
        <v>56.95</v>
      </c>
      <c r="Z36" s="40"/>
      <c r="AA36" s="41"/>
      <c r="AB36" s="42"/>
      <c r="AC36" s="43">
        <v>57.26</v>
      </c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57</v>
      </c>
      <c r="E37" s="28">
        <v>69011629</v>
      </c>
      <c r="F37" s="29">
        <v>690106</v>
      </c>
      <c r="G37" s="45">
        <v>480</v>
      </c>
      <c r="H37" s="31"/>
      <c r="I37" s="46">
        <v>115</v>
      </c>
      <c r="J37" s="32">
        <v>115</v>
      </c>
      <c r="K37" s="33">
        <f t="shared" si="0"/>
        <v>38.4</v>
      </c>
      <c r="L37" s="47">
        <f t="shared" si="0"/>
        <v>0</v>
      </c>
      <c r="M37" s="303">
        <v>935</v>
      </c>
      <c r="N37" s="303">
        <v>240</v>
      </c>
      <c r="O37" s="31"/>
      <c r="P37" s="31"/>
      <c r="Q37" s="35"/>
      <c r="R37" s="67">
        <v>1175</v>
      </c>
      <c r="S37" s="36"/>
      <c r="T37" s="36">
        <v>92.8</v>
      </c>
      <c r="U37" s="37"/>
      <c r="V37" s="37">
        <v>10</v>
      </c>
      <c r="W37" s="39"/>
      <c r="X37" s="39">
        <f>T37*1000/39.37/R37*31.5</f>
        <v>63.191002977750635</v>
      </c>
      <c r="Y37" s="40"/>
      <c r="Z37" s="40">
        <v>65.22</v>
      </c>
      <c r="AA37" s="41"/>
      <c r="AB37" s="42"/>
      <c r="AC37" s="43"/>
      <c r="AD37" s="43">
        <v>67.239999999999995</v>
      </c>
      <c r="AF37" s="54"/>
    </row>
    <row r="38" spans="1:38" ht="24" customHeight="1" thickBot="1" x14ac:dyDescent="0.45">
      <c r="A38" s="250" t="s">
        <v>92</v>
      </c>
      <c r="B38" s="246" t="s">
        <v>97</v>
      </c>
      <c r="C38" s="253" t="s">
        <v>69</v>
      </c>
      <c r="D38" s="256" t="s">
        <v>57</v>
      </c>
      <c r="E38" s="28">
        <v>69011630</v>
      </c>
      <c r="F38" s="29">
        <v>690106</v>
      </c>
      <c r="G38" s="45">
        <v>443</v>
      </c>
      <c r="H38" s="31"/>
      <c r="I38" s="46">
        <v>115</v>
      </c>
      <c r="J38" s="32">
        <v>115</v>
      </c>
      <c r="K38" s="33">
        <f t="shared" si="0"/>
        <v>35.44</v>
      </c>
      <c r="L38" s="47">
        <f t="shared" si="0"/>
        <v>0</v>
      </c>
      <c r="M38" s="303">
        <v>952</v>
      </c>
      <c r="N38" s="303">
        <v>199</v>
      </c>
      <c r="O38" s="31"/>
      <c r="P38" s="31"/>
      <c r="Q38" s="35"/>
      <c r="R38" s="35">
        <v>1196</v>
      </c>
      <c r="S38" s="316"/>
      <c r="T38" s="36">
        <v>95.6</v>
      </c>
      <c r="U38" s="37"/>
      <c r="V38" s="37">
        <v>10</v>
      </c>
      <c r="W38" s="39"/>
      <c r="X38" s="39">
        <f>T38*1000/39.37/R38*31.5</f>
        <v>63.954609514570208</v>
      </c>
      <c r="Y38" s="40"/>
      <c r="Z38" s="40">
        <v>65.17</v>
      </c>
      <c r="AA38" s="41"/>
      <c r="AB38" s="42"/>
      <c r="AC38" s="43"/>
      <c r="AD38" s="43">
        <v>66.39</v>
      </c>
    </row>
    <row r="39" spans="1:38" ht="24" hidden="1" customHeight="1" x14ac:dyDescent="0.45">
      <c r="A39" s="250" t="s">
        <v>93</v>
      </c>
      <c r="B39" s="246" t="s">
        <v>97</v>
      </c>
      <c r="C39" s="253" t="s">
        <v>69</v>
      </c>
      <c r="D39" s="256" t="s">
        <v>94</v>
      </c>
      <c r="E39" s="28"/>
      <c r="F39" s="29">
        <v>690107</v>
      </c>
      <c r="G39" s="45">
        <v>0</v>
      </c>
      <c r="H39" s="31"/>
      <c r="I39" s="63">
        <v>115</v>
      </c>
      <c r="J39" s="64">
        <v>115</v>
      </c>
      <c r="K39" s="65">
        <f t="shared" ref="K39:L55" si="1">G39*8/100</f>
        <v>0</v>
      </c>
      <c r="L39" s="68">
        <f t="shared" si="1"/>
        <v>0</v>
      </c>
      <c r="M39" s="303">
        <v>1579</v>
      </c>
      <c r="N39" s="303">
        <v>1579</v>
      </c>
      <c r="O39" s="31"/>
      <c r="P39" s="31"/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hidden="1" customHeight="1" x14ac:dyDescent="0.45">
      <c r="A40" s="250" t="s">
        <v>95</v>
      </c>
      <c r="B40" s="246" t="s">
        <v>97</v>
      </c>
      <c r="C40" s="253" t="s">
        <v>69</v>
      </c>
      <c r="D40" s="256" t="s">
        <v>314</v>
      </c>
      <c r="E40" s="28"/>
      <c r="F40" s="29">
        <v>690106</v>
      </c>
      <c r="G40" s="45">
        <v>0</v>
      </c>
      <c r="H40" s="31"/>
      <c r="I40" s="63">
        <v>115</v>
      </c>
      <c r="J40" s="64">
        <v>115</v>
      </c>
      <c r="K40" s="65">
        <f t="shared" si="1"/>
        <v>0</v>
      </c>
      <c r="L40" s="68">
        <f t="shared" si="1"/>
        <v>0</v>
      </c>
      <c r="M40" s="303">
        <v>1710</v>
      </c>
      <c r="N40" s="303">
        <v>1710</v>
      </c>
      <c r="O40" s="31"/>
      <c r="P40" s="31"/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hidden="1" customHeight="1" x14ac:dyDescent="0.45">
      <c r="A41" s="250" t="s">
        <v>96</v>
      </c>
      <c r="B41" s="246" t="s">
        <v>97</v>
      </c>
      <c r="C41" s="253" t="s">
        <v>69</v>
      </c>
      <c r="D41" s="256" t="s">
        <v>47</v>
      </c>
      <c r="E41" s="28"/>
      <c r="F41" s="29">
        <v>690119</v>
      </c>
      <c r="G41" s="45">
        <v>0</v>
      </c>
      <c r="H41" s="31"/>
      <c r="I41" s="46">
        <v>120</v>
      </c>
      <c r="J41" s="32">
        <v>120</v>
      </c>
      <c r="K41" s="33">
        <f t="shared" si="1"/>
        <v>0</v>
      </c>
      <c r="L41" s="47">
        <f t="shared" si="1"/>
        <v>0</v>
      </c>
      <c r="M41" s="303">
        <v>2254</v>
      </c>
      <c r="N41" s="303">
        <v>2254</v>
      </c>
      <c r="O41" s="31"/>
      <c r="P41" s="31"/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hidden="1" customHeight="1" x14ac:dyDescent="0.45">
      <c r="A42" s="250" t="s">
        <v>98</v>
      </c>
      <c r="B42" s="246" t="s">
        <v>97</v>
      </c>
      <c r="C42" s="253" t="s">
        <v>69</v>
      </c>
      <c r="D42" s="256" t="s">
        <v>314</v>
      </c>
      <c r="E42" s="28"/>
      <c r="F42" s="29">
        <v>690119</v>
      </c>
      <c r="G42" s="45">
        <v>0</v>
      </c>
      <c r="H42" s="31"/>
      <c r="I42" s="46">
        <v>120</v>
      </c>
      <c r="J42" s="32">
        <v>120</v>
      </c>
      <c r="K42" s="33">
        <f t="shared" si="1"/>
        <v>0</v>
      </c>
      <c r="L42" s="47">
        <f t="shared" si="1"/>
        <v>0</v>
      </c>
      <c r="M42" s="303">
        <v>188</v>
      </c>
      <c r="N42" s="303">
        <v>188</v>
      </c>
      <c r="O42" s="31"/>
      <c r="P42" s="31"/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hidden="1" customHeight="1" x14ac:dyDescent="0.45">
      <c r="A43" s="250" t="s">
        <v>99</v>
      </c>
      <c r="B43" s="246" t="s">
        <v>97</v>
      </c>
      <c r="C43" s="253" t="s">
        <v>69</v>
      </c>
      <c r="D43" s="256" t="s">
        <v>314</v>
      </c>
      <c r="E43" s="28"/>
      <c r="F43" s="29">
        <v>690136</v>
      </c>
      <c r="G43" s="45">
        <v>0</v>
      </c>
      <c r="H43" s="31"/>
      <c r="I43" s="46">
        <v>120</v>
      </c>
      <c r="J43" s="32">
        <v>120</v>
      </c>
      <c r="K43" s="33">
        <f t="shared" si="1"/>
        <v>0</v>
      </c>
      <c r="L43" s="47">
        <f t="shared" si="1"/>
        <v>0</v>
      </c>
      <c r="M43" s="303">
        <v>197</v>
      </c>
      <c r="N43" s="303">
        <v>197</v>
      </c>
      <c r="O43" s="31"/>
      <c r="P43" s="31"/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hidden="1" customHeight="1" x14ac:dyDescent="0.45">
      <c r="A44" s="250" t="s">
        <v>100</v>
      </c>
      <c r="B44" s="246" t="s">
        <v>97</v>
      </c>
      <c r="C44" s="253" t="s">
        <v>69</v>
      </c>
      <c r="D44" s="256" t="s">
        <v>104</v>
      </c>
      <c r="E44" s="28"/>
      <c r="F44" s="29">
        <v>690128</v>
      </c>
      <c r="G44" s="69">
        <v>0</v>
      </c>
      <c r="H44" s="31"/>
      <c r="I44" s="46">
        <v>120</v>
      </c>
      <c r="J44" s="32">
        <v>120</v>
      </c>
      <c r="K44" s="33">
        <f t="shared" si="1"/>
        <v>0</v>
      </c>
      <c r="L44" s="47">
        <f t="shared" si="1"/>
        <v>0</v>
      </c>
      <c r="M44" s="303">
        <v>327</v>
      </c>
      <c r="N44" s="303">
        <v>327</v>
      </c>
      <c r="O44" s="31"/>
      <c r="P44" s="31"/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hidden="1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314</v>
      </c>
      <c r="E45" s="28"/>
      <c r="F45" s="29">
        <v>690136</v>
      </c>
      <c r="G45" s="45">
        <v>0</v>
      </c>
      <c r="H45" s="31"/>
      <c r="I45" s="63">
        <v>120</v>
      </c>
      <c r="J45" s="64">
        <v>120</v>
      </c>
      <c r="K45" s="65">
        <f t="shared" si="1"/>
        <v>0</v>
      </c>
      <c r="L45" s="68">
        <f t="shared" si="1"/>
        <v>0</v>
      </c>
      <c r="M45" s="308">
        <v>716</v>
      </c>
      <c r="N45" s="308">
        <v>716</v>
      </c>
      <c r="O45" s="31"/>
      <c r="P45" s="31"/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hidden="1" customHeight="1" x14ac:dyDescent="0.45">
      <c r="A46" s="251" t="s">
        <v>103</v>
      </c>
      <c r="B46" s="246" t="s">
        <v>90</v>
      </c>
      <c r="C46" s="253" t="s">
        <v>89</v>
      </c>
      <c r="D46" s="256" t="s">
        <v>104</v>
      </c>
      <c r="E46" s="28"/>
      <c r="F46" s="29">
        <v>690128</v>
      </c>
      <c r="G46" s="45">
        <v>0</v>
      </c>
      <c r="H46" s="31"/>
      <c r="I46" s="46">
        <v>650</v>
      </c>
      <c r="J46" s="32">
        <v>650</v>
      </c>
      <c r="K46" s="33">
        <f t="shared" si="1"/>
        <v>0</v>
      </c>
      <c r="L46" s="47">
        <f t="shared" si="1"/>
        <v>0</v>
      </c>
      <c r="M46" s="305">
        <v>1265</v>
      </c>
      <c r="N46" s="305">
        <v>1265</v>
      </c>
      <c r="O46" s="31"/>
      <c r="P46" s="31"/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239"/>
      <c r="AD46" s="43"/>
      <c r="AE46" s="72"/>
    </row>
    <row r="47" spans="1:38" ht="20.25" hidden="1" customHeight="1" x14ac:dyDescent="0.45">
      <c r="A47" s="251" t="s">
        <v>105</v>
      </c>
      <c r="B47" s="246" t="s">
        <v>90</v>
      </c>
      <c r="C47" s="253" t="s">
        <v>89</v>
      </c>
      <c r="D47" s="256" t="s">
        <v>104</v>
      </c>
      <c r="E47" s="259"/>
      <c r="F47" s="29">
        <v>690128</v>
      </c>
      <c r="G47" s="45">
        <v>0</v>
      </c>
      <c r="H47" s="31"/>
      <c r="I47" s="63">
        <v>650</v>
      </c>
      <c r="J47" s="64">
        <v>650</v>
      </c>
      <c r="K47" s="65">
        <f t="shared" si="1"/>
        <v>0</v>
      </c>
      <c r="L47" s="68">
        <f t="shared" si="1"/>
        <v>0</v>
      </c>
      <c r="M47" s="303">
        <v>1062</v>
      </c>
      <c r="N47" s="303">
        <v>1062</v>
      </c>
      <c r="O47" s="31"/>
      <c r="P47" s="31"/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hidden="1" customHeight="1" x14ac:dyDescent="0.45">
      <c r="A48" s="251" t="s">
        <v>106</v>
      </c>
      <c r="B48" s="246" t="s">
        <v>90</v>
      </c>
      <c r="C48" s="253" t="s">
        <v>89</v>
      </c>
      <c r="D48" s="256" t="s">
        <v>104</v>
      </c>
      <c r="E48" s="28"/>
      <c r="F48" s="29">
        <v>690128</v>
      </c>
      <c r="G48" s="69">
        <v>0</v>
      </c>
      <c r="H48" s="31"/>
      <c r="I48" s="63">
        <v>650</v>
      </c>
      <c r="J48" s="64">
        <v>650</v>
      </c>
      <c r="K48" s="65">
        <f t="shared" si="1"/>
        <v>0</v>
      </c>
      <c r="L48" s="68">
        <f t="shared" si="1"/>
        <v>0</v>
      </c>
      <c r="M48" s="303">
        <v>845</v>
      </c>
      <c r="N48" s="303">
        <v>845</v>
      </c>
      <c r="O48" s="31"/>
      <c r="P48" s="31"/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239"/>
      <c r="AD48" s="43"/>
    </row>
    <row r="49" spans="1:35" ht="24" hidden="1" customHeight="1" x14ac:dyDescent="0.45">
      <c r="A49" s="251" t="s">
        <v>107</v>
      </c>
      <c r="B49" s="246" t="s">
        <v>90</v>
      </c>
      <c r="C49" s="253" t="s">
        <v>89</v>
      </c>
      <c r="D49" s="256" t="s">
        <v>314</v>
      </c>
      <c r="E49" s="28"/>
      <c r="F49" s="29">
        <v>690136</v>
      </c>
      <c r="G49" s="73">
        <v>0</v>
      </c>
      <c r="H49" s="31"/>
      <c r="I49" s="46">
        <v>650</v>
      </c>
      <c r="J49" s="32">
        <v>650</v>
      </c>
      <c r="K49" s="33">
        <f t="shared" si="1"/>
        <v>0</v>
      </c>
      <c r="L49" s="47">
        <f t="shared" si="1"/>
        <v>0</v>
      </c>
      <c r="M49" s="303">
        <v>1180</v>
      </c>
      <c r="N49" s="303">
        <v>1180</v>
      </c>
      <c r="O49" s="31"/>
      <c r="P49" s="31"/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hidden="1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314</v>
      </c>
      <c r="E50" s="28"/>
      <c r="F50" s="29">
        <v>690136</v>
      </c>
      <c r="G50" s="74">
        <v>0</v>
      </c>
      <c r="H50" s="31"/>
      <c r="I50" s="46">
        <v>650</v>
      </c>
      <c r="J50" s="32">
        <v>650</v>
      </c>
      <c r="K50" s="33">
        <f t="shared" si="1"/>
        <v>0</v>
      </c>
      <c r="L50" s="47">
        <f t="shared" si="1"/>
        <v>0</v>
      </c>
      <c r="M50" s="309">
        <v>1593</v>
      </c>
      <c r="N50" s="309">
        <v>1593</v>
      </c>
      <c r="O50" s="31"/>
      <c r="P50" s="31"/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hidden="1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52</v>
      </c>
      <c r="E51" s="28">
        <v>69011606</v>
      </c>
      <c r="F51" s="29">
        <v>690113</v>
      </c>
      <c r="G51" s="45">
        <v>0</v>
      </c>
      <c r="H51" s="31"/>
      <c r="I51" s="46">
        <v>650</v>
      </c>
      <c r="J51" s="32">
        <v>650</v>
      </c>
      <c r="K51" s="33">
        <f t="shared" si="1"/>
        <v>0</v>
      </c>
      <c r="L51" s="47">
        <f t="shared" si="1"/>
        <v>0</v>
      </c>
      <c r="M51" s="310">
        <v>40</v>
      </c>
      <c r="N51" s="310">
        <v>40</v>
      </c>
      <c r="O51" s="31"/>
      <c r="P51" s="31"/>
      <c r="Q51" s="35">
        <v>2500</v>
      </c>
      <c r="R51" s="48"/>
      <c r="S51" s="36">
        <v>185.3</v>
      </c>
      <c r="T51" s="36"/>
      <c r="U51" s="37">
        <v>20</v>
      </c>
      <c r="V51" s="38"/>
      <c r="W51" s="39">
        <f>S51*1000/39.37/Q51*35.5</f>
        <v>66.834137668275332</v>
      </c>
      <c r="X51" s="39"/>
      <c r="Y51" s="40">
        <v>68.14</v>
      </c>
      <c r="Z51" s="40"/>
      <c r="AA51" s="41"/>
      <c r="AB51" s="42"/>
      <c r="AC51" s="43">
        <v>69.44</v>
      </c>
      <c r="AD51" s="43"/>
    </row>
    <row r="52" spans="1:35" ht="24" hidden="1" customHeight="1" x14ac:dyDescent="0.45">
      <c r="A52" s="251" t="s">
        <v>110</v>
      </c>
      <c r="B52" s="246" t="s">
        <v>46</v>
      </c>
      <c r="C52" s="253" t="s">
        <v>45</v>
      </c>
      <c r="D52" s="256" t="s">
        <v>314</v>
      </c>
      <c r="E52" s="28"/>
      <c r="F52" s="29">
        <v>690136</v>
      </c>
      <c r="G52" s="45">
        <v>0</v>
      </c>
      <c r="H52" s="31"/>
      <c r="I52" s="46">
        <v>125</v>
      </c>
      <c r="J52" s="32">
        <v>125</v>
      </c>
      <c r="K52" s="33">
        <f t="shared" si="1"/>
        <v>0</v>
      </c>
      <c r="L52" s="47">
        <f t="shared" si="1"/>
        <v>0</v>
      </c>
      <c r="M52" s="307">
        <v>2470</v>
      </c>
      <c r="N52" s="307">
        <v>2470</v>
      </c>
      <c r="O52" s="31"/>
      <c r="P52" s="31"/>
      <c r="Q52" s="35"/>
      <c r="R52" s="48"/>
      <c r="S52" s="36"/>
      <c r="T52" s="36"/>
      <c r="U52" s="37"/>
      <c r="V52" s="38"/>
      <c r="W52" s="39"/>
      <c r="X52" s="39"/>
      <c r="Y52" s="40"/>
      <c r="Z52" s="40"/>
      <c r="AA52" s="41"/>
      <c r="AB52" s="42"/>
      <c r="AC52" s="43"/>
      <c r="AD52" s="43"/>
    </row>
    <row r="53" spans="1:35" ht="24" hidden="1" customHeight="1" x14ac:dyDescent="0.45">
      <c r="A53" s="251" t="s">
        <v>111</v>
      </c>
      <c r="B53" s="246" t="s">
        <v>46</v>
      </c>
      <c r="C53" s="253" t="s">
        <v>45</v>
      </c>
      <c r="D53" s="256" t="s">
        <v>52</v>
      </c>
      <c r="E53" s="28">
        <v>69011605</v>
      </c>
      <c r="F53" s="29">
        <v>690113</v>
      </c>
      <c r="G53" s="69">
        <v>0</v>
      </c>
      <c r="H53" s="31"/>
      <c r="I53" s="46">
        <v>125</v>
      </c>
      <c r="J53" s="32">
        <v>125</v>
      </c>
      <c r="K53" s="33">
        <f t="shared" si="1"/>
        <v>0</v>
      </c>
      <c r="L53" s="47">
        <f t="shared" si="1"/>
        <v>0</v>
      </c>
      <c r="M53" s="303">
        <v>355</v>
      </c>
      <c r="N53" s="303">
        <v>355</v>
      </c>
      <c r="O53" s="31"/>
      <c r="P53" s="31"/>
      <c r="Q53" s="35">
        <v>2500</v>
      </c>
      <c r="R53" s="48"/>
      <c r="S53" s="36">
        <v>177.6</v>
      </c>
      <c r="T53" s="36"/>
      <c r="U53" s="37">
        <v>20</v>
      </c>
      <c r="V53" s="38"/>
      <c r="W53" s="39">
        <f>S53*1000/39.37/Q53*35.5</f>
        <v>64.056896113792234</v>
      </c>
      <c r="X53" s="39"/>
      <c r="Y53" s="40">
        <v>65.540000000000006</v>
      </c>
      <c r="Z53" s="40"/>
      <c r="AA53" s="41"/>
      <c r="AB53" s="42"/>
      <c r="AC53" s="43">
        <v>67.02</v>
      </c>
      <c r="AD53" s="43"/>
    </row>
    <row r="54" spans="1:35" ht="24" hidden="1" customHeight="1" x14ac:dyDescent="0.45">
      <c r="A54" s="251" t="s">
        <v>112</v>
      </c>
      <c r="B54" s="246" t="s">
        <v>46</v>
      </c>
      <c r="C54" s="253" t="s">
        <v>45</v>
      </c>
      <c r="D54" s="256" t="s">
        <v>314</v>
      </c>
      <c r="E54" s="28">
        <v>69011604</v>
      </c>
      <c r="F54" s="29">
        <v>690106</v>
      </c>
      <c r="G54" s="69">
        <v>0</v>
      </c>
      <c r="H54" s="31"/>
      <c r="I54" s="63">
        <v>125</v>
      </c>
      <c r="J54" s="64">
        <v>125</v>
      </c>
      <c r="K54" s="65">
        <f t="shared" si="1"/>
        <v>0</v>
      </c>
      <c r="L54" s="68">
        <f t="shared" si="1"/>
        <v>0</v>
      </c>
      <c r="M54" s="303">
        <v>1145</v>
      </c>
      <c r="N54" s="303">
        <v>1145</v>
      </c>
      <c r="O54" s="31"/>
      <c r="P54" s="31"/>
      <c r="Q54" s="35">
        <v>2500</v>
      </c>
      <c r="R54" s="48"/>
      <c r="S54" s="36">
        <v>213.5</v>
      </c>
      <c r="T54" s="36"/>
      <c r="U54" s="37">
        <v>20</v>
      </c>
      <c r="V54" s="38"/>
      <c r="W54" s="39">
        <f>S54*1000/39.37/Q54*38.5</f>
        <v>83.512827025654062</v>
      </c>
      <c r="X54" s="39"/>
      <c r="Y54" s="40">
        <v>84.61</v>
      </c>
      <c r="Z54" s="40"/>
      <c r="AA54" s="41"/>
      <c r="AB54" s="42"/>
      <c r="AC54" s="43">
        <v>85.71</v>
      </c>
      <c r="AD54" s="43"/>
    </row>
    <row r="55" spans="1:35" ht="24" hidden="1" customHeight="1" x14ac:dyDescent="0.45">
      <c r="A55" s="251" t="s">
        <v>113</v>
      </c>
      <c r="B55" s="246" t="s">
        <v>46</v>
      </c>
      <c r="C55" s="253" t="s">
        <v>45</v>
      </c>
      <c r="D55" s="256" t="s">
        <v>314</v>
      </c>
      <c r="E55" s="28"/>
      <c r="F55" s="29">
        <v>690136</v>
      </c>
      <c r="G55" s="45">
        <v>0</v>
      </c>
      <c r="H55" s="31"/>
      <c r="I55" s="46">
        <v>125</v>
      </c>
      <c r="J55" s="32">
        <v>125</v>
      </c>
      <c r="K55" s="33">
        <f t="shared" si="1"/>
        <v>0</v>
      </c>
      <c r="L55" s="47">
        <f t="shared" si="1"/>
        <v>0</v>
      </c>
      <c r="M55" s="303">
        <v>2185</v>
      </c>
      <c r="N55" s="303">
        <v>2185</v>
      </c>
      <c r="O55" s="31"/>
      <c r="P55" s="31"/>
      <c r="Q55" s="35"/>
      <c r="R55" s="48"/>
      <c r="S55" s="36"/>
      <c r="T55" s="36"/>
      <c r="U55" s="37"/>
      <c r="V55" s="38"/>
      <c r="W55" s="39"/>
      <c r="X55" s="39"/>
      <c r="Y55" s="40"/>
      <c r="Z55" s="40"/>
      <c r="AA55" s="41"/>
      <c r="AB55" s="42"/>
      <c r="AC55" s="43"/>
      <c r="AD55" s="43"/>
    </row>
    <row r="56" spans="1:35" ht="24" hidden="1" customHeight="1" x14ac:dyDescent="0.45">
      <c r="A56" s="251" t="s">
        <v>114</v>
      </c>
      <c r="B56" s="246" t="s">
        <v>116</v>
      </c>
      <c r="C56" s="253" t="s">
        <v>63</v>
      </c>
      <c r="D56" s="256" t="s">
        <v>314</v>
      </c>
      <c r="E56" s="28"/>
      <c r="F56" s="29">
        <v>690106</v>
      </c>
      <c r="G56" s="45">
        <v>0</v>
      </c>
      <c r="H56" s="31"/>
      <c r="I56" s="63">
        <v>115</v>
      </c>
      <c r="J56" s="64">
        <v>115</v>
      </c>
      <c r="K56" s="65">
        <v>0</v>
      </c>
      <c r="L56" s="68">
        <v>0</v>
      </c>
      <c r="M56" s="303">
        <v>1457</v>
      </c>
      <c r="N56" s="303">
        <v>1457</v>
      </c>
      <c r="O56" s="31"/>
      <c r="P56" s="31"/>
      <c r="Q56" s="35"/>
      <c r="R56" s="48"/>
      <c r="S56" s="36"/>
      <c r="T56" s="36"/>
      <c r="U56" s="37"/>
      <c r="V56" s="38"/>
      <c r="W56" s="39"/>
      <c r="X56" s="39"/>
      <c r="Y56" s="40"/>
      <c r="Z56" s="40"/>
      <c r="AA56" s="41"/>
      <c r="AB56" s="41"/>
      <c r="AC56" s="43"/>
      <c r="AD56" s="43"/>
    </row>
    <row r="57" spans="1:35" ht="24" hidden="1" customHeight="1" thickBot="1" x14ac:dyDescent="0.55000000000000004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0</v>
      </c>
      <c r="H57" s="31"/>
      <c r="I57" s="46">
        <v>115</v>
      </c>
      <c r="J57" s="32">
        <v>115</v>
      </c>
      <c r="K57" s="33">
        <f t="shared" ref="K57:L82" si="2">G57*8/100</f>
        <v>0</v>
      </c>
      <c r="L57" s="47">
        <f t="shared" si="2"/>
        <v>0</v>
      </c>
      <c r="M57" s="308">
        <v>1372</v>
      </c>
      <c r="N57" s="308">
        <v>1372</v>
      </c>
      <c r="O57" s="31"/>
      <c r="P57" s="31"/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>
        <v>69011626</v>
      </c>
      <c r="F58" s="29">
        <v>690107</v>
      </c>
      <c r="G58" s="45">
        <v>820</v>
      </c>
      <c r="H58" s="31"/>
      <c r="I58" s="46">
        <v>135</v>
      </c>
      <c r="J58" s="32">
        <v>135</v>
      </c>
      <c r="K58" s="33">
        <f t="shared" si="2"/>
        <v>65.599999999999994</v>
      </c>
      <c r="L58" s="47">
        <f t="shared" si="2"/>
        <v>0</v>
      </c>
      <c r="M58" s="305">
        <v>2400</v>
      </c>
      <c r="N58" s="305">
        <v>380</v>
      </c>
      <c r="O58" s="31"/>
      <c r="P58" s="31"/>
      <c r="Q58" s="35"/>
      <c r="R58" s="48">
        <v>2840</v>
      </c>
      <c r="S58" s="36"/>
      <c r="T58" s="36">
        <v>205.4</v>
      </c>
      <c r="U58" s="37"/>
      <c r="V58" s="38">
        <v>25</v>
      </c>
      <c r="W58" s="39"/>
      <c r="X58" s="39">
        <f>T58*1000/39.37/R58*38.5</f>
        <v>70.725725958494181</v>
      </c>
      <c r="Y58" s="40"/>
      <c r="Z58" s="40">
        <v>70.48</v>
      </c>
      <c r="AA58" s="41"/>
      <c r="AB58" s="41"/>
      <c r="AC58" s="43"/>
      <c r="AD58" s="43">
        <v>70.2</v>
      </c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>
        <v>69011623</v>
      </c>
      <c r="F59" s="29">
        <v>690106</v>
      </c>
      <c r="G59" s="45">
        <v>818</v>
      </c>
      <c r="H59" s="31"/>
      <c r="I59" s="46">
        <v>135</v>
      </c>
      <c r="J59" s="32">
        <v>135</v>
      </c>
      <c r="K59" s="33">
        <f t="shared" si="2"/>
        <v>65.44</v>
      </c>
      <c r="L59" s="47">
        <f t="shared" si="2"/>
        <v>0</v>
      </c>
      <c r="M59" s="303">
        <v>1697</v>
      </c>
      <c r="N59" s="303">
        <v>615</v>
      </c>
      <c r="O59" s="31"/>
      <c r="P59" s="31"/>
      <c r="Q59" s="35">
        <v>1800</v>
      </c>
      <c r="R59" s="48"/>
      <c r="S59" s="36">
        <v>141.80000000000001</v>
      </c>
      <c r="T59" s="36"/>
      <c r="U59" s="37">
        <v>20</v>
      </c>
      <c r="V59" s="38"/>
      <c r="W59" s="39">
        <f>S59*1000/39.37/Q59*31.5</f>
        <v>63.030226060452129</v>
      </c>
      <c r="X59" s="39"/>
      <c r="Y59" s="40">
        <v>65.02</v>
      </c>
      <c r="Z59" s="40"/>
      <c r="AA59" s="41"/>
      <c r="AB59" s="42"/>
      <c r="AC59" s="43">
        <v>67.010000000000005</v>
      </c>
      <c r="AD59" s="43"/>
      <c r="AI59" s="75"/>
    </row>
    <row r="60" spans="1:35" ht="24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8">
        <v>69011621</v>
      </c>
      <c r="F60" s="29">
        <v>690106</v>
      </c>
      <c r="G60" s="45">
        <v>618</v>
      </c>
      <c r="H60" s="31"/>
      <c r="I60" s="46">
        <v>135</v>
      </c>
      <c r="J60" s="64">
        <v>135</v>
      </c>
      <c r="K60" s="65">
        <f t="shared" si="2"/>
        <v>49.44</v>
      </c>
      <c r="L60" s="68">
        <f t="shared" si="2"/>
        <v>0</v>
      </c>
      <c r="M60" s="303">
        <v>1581</v>
      </c>
      <c r="N60" s="303">
        <v>400</v>
      </c>
      <c r="O60" s="31"/>
      <c r="P60" s="31"/>
      <c r="Q60" s="35">
        <v>1760</v>
      </c>
      <c r="R60" s="48"/>
      <c r="S60" s="36">
        <v>139.30000000000001</v>
      </c>
      <c r="T60" s="36"/>
      <c r="U60" s="37">
        <v>15</v>
      </c>
      <c r="V60" s="38"/>
      <c r="W60" s="39">
        <f>S60*1000/39.37/Q60*31.5</f>
        <v>63.326223243355585</v>
      </c>
      <c r="X60" s="39"/>
      <c r="Y60" s="40">
        <v>63.85</v>
      </c>
      <c r="Z60" s="40"/>
      <c r="AA60" s="41"/>
      <c r="AB60" s="42"/>
      <c r="AC60" s="43">
        <v>64.36</v>
      </c>
      <c r="AD60" s="43"/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314</v>
      </c>
      <c r="E61" s="28"/>
      <c r="F61" s="29">
        <v>690136</v>
      </c>
      <c r="G61" s="45">
        <v>865</v>
      </c>
      <c r="H61" s="31"/>
      <c r="I61" s="46">
        <v>135</v>
      </c>
      <c r="J61" s="64">
        <v>135</v>
      </c>
      <c r="K61" s="65">
        <f t="shared" si="2"/>
        <v>69.2</v>
      </c>
      <c r="L61" s="68">
        <f t="shared" si="2"/>
        <v>0</v>
      </c>
      <c r="M61" s="303">
        <v>1229</v>
      </c>
      <c r="N61" s="303">
        <v>2094</v>
      </c>
      <c r="O61" s="31"/>
      <c r="P61" s="31"/>
      <c r="Q61" s="35"/>
      <c r="R61" s="48"/>
      <c r="S61" s="36"/>
      <c r="T61" s="36"/>
      <c r="U61" s="37"/>
      <c r="V61" s="38"/>
      <c r="W61" s="39"/>
      <c r="X61" s="39"/>
      <c r="Y61" s="40"/>
      <c r="Z61" s="40"/>
      <c r="AA61" s="41"/>
      <c r="AB61" s="42"/>
      <c r="AC61" s="43"/>
      <c r="AD61" s="43"/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314</v>
      </c>
      <c r="E62" s="28"/>
      <c r="F62" s="29">
        <v>690108</v>
      </c>
      <c r="G62" s="45">
        <v>898</v>
      </c>
      <c r="H62" s="31"/>
      <c r="I62" s="46">
        <v>135</v>
      </c>
      <c r="J62" s="32">
        <v>135</v>
      </c>
      <c r="K62" s="33">
        <f t="shared" si="2"/>
        <v>71.84</v>
      </c>
      <c r="L62" s="47">
        <f t="shared" si="2"/>
        <v>0</v>
      </c>
      <c r="M62" s="306">
        <v>1207</v>
      </c>
      <c r="N62" s="306">
        <v>2105</v>
      </c>
      <c r="O62" s="31"/>
      <c r="P62" s="31"/>
      <c r="Q62" s="35"/>
      <c r="R62" s="48"/>
      <c r="S62" s="36"/>
      <c r="T62" s="36"/>
      <c r="U62" s="37"/>
      <c r="V62" s="38"/>
      <c r="W62" s="39"/>
      <c r="X62" s="39"/>
      <c r="Y62" s="40"/>
      <c r="Z62" s="40"/>
      <c r="AA62" s="41"/>
      <c r="AB62" s="42"/>
      <c r="AC62" s="43"/>
      <c r="AD62" s="43"/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57</v>
      </c>
      <c r="E63" s="28">
        <v>69011620</v>
      </c>
      <c r="F63" s="29">
        <v>690106</v>
      </c>
      <c r="G63" s="45">
        <v>715</v>
      </c>
      <c r="H63" s="31"/>
      <c r="I63" s="46">
        <v>135</v>
      </c>
      <c r="J63" s="64">
        <v>135</v>
      </c>
      <c r="K63" s="65">
        <f t="shared" si="2"/>
        <v>57.2</v>
      </c>
      <c r="L63" s="68">
        <f t="shared" si="2"/>
        <v>0</v>
      </c>
      <c r="M63" s="303">
        <v>1160</v>
      </c>
      <c r="N63" s="303">
        <v>555</v>
      </c>
      <c r="O63" s="31"/>
      <c r="P63" s="31"/>
      <c r="Q63" s="35">
        <v>1300</v>
      </c>
      <c r="R63" s="48"/>
      <c r="S63" s="36">
        <v>103.7</v>
      </c>
      <c r="T63" s="36"/>
      <c r="U63" s="37">
        <v>15</v>
      </c>
      <c r="V63" s="38"/>
      <c r="W63" s="39">
        <f>S63*1000/39.37/Q63*31.5</f>
        <v>63.823489185439911</v>
      </c>
      <c r="X63" s="39"/>
      <c r="Y63" s="40">
        <v>63.99</v>
      </c>
      <c r="Z63" s="40"/>
      <c r="AA63" s="41"/>
      <c r="AB63" s="42"/>
      <c r="AC63" s="43">
        <v>64.150000000000006</v>
      </c>
      <c r="AD63" s="43"/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/>
      <c r="F64" s="29">
        <v>690106</v>
      </c>
      <c r="G64" s="45">
        <v>815</v>
      </c>
      <c r="H64" s="31"/>
      <c r="I64" s="46">
        <v>135</v>
      </c>
      <c r="J64" s="64">
        <v>135</v>
      </c>
      <c r="K64" s="65">
        <f t="shared" si="2"/>
        <v>65.2</v>
      </c>
      <c r="L64" s="76">
        <f t="shared" si="2"/>
        <v>0</v>
      </c>
      <c r="M64" s="303">
        <v>1150</v>
      </c>
      <c r="N64" s="303">
        <v>1965</v>
      </c>
      <c r="O64" s="31"/>
      <c r="P64" s="31"/>
      <c r="Q64" s="35"/>
      <c r="R64" s="48"/>
      <c r="S64" s="36"/>
      <c r="T64" s="36"/>
      <c r="U64" s="37"/>
      <c r="V64" s="38"/>
      <c r="W64" s="39"/>
      <c r="X64" s="39"/>
      <c r="Y64" s="40"/>
      <c r="Z64" s="40"/>
      <c r="AA64" s="41"/>
      <c r="AB64" s="42"/>
      <c r="AC64" s="43"/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>
        <v>69011625</v>
      </c>
      <c r="F65" s="29">
        <v>690106</v>
      </c>
      <c r="G65" s="69">
        <v>718</v>
      </c>
      <c r="H65" s="31"/>
      <c r="I65" s="46">
        <v>135</v>
      </c>
      <c r="J65" s="32">
        <v>135</v>
      </c>
      <c r="K65" s="33">
        <f t="shared" si="2"/>
        <v>57.44</v>
      </c>
      <c r="L65" s="47">
        <f t="shared" si="2"/>
        <v>0</v>
      </c>
      <c r="M65" s="303">
        <v>1170</v>
      </c>
      <c r="N65" s="303">
        <v>380</v>
      </c>
      <c r="O65" s="31"/>
      <c r="P65" s="31"/>
      <c r="Q65" s="35"/>
      <c r="R65" s="48">
        <v>1500</v>
      </c>
      <c r="S65" s="36"/>
      <c r="T65" s="36">
        <v>118.3</v>
      </c>
      <c r="U65" s="37"/>
      <c r="V65" s="38">
        <v>15</v>
      </c>
      <c r="W65" s="39"/>
      <c r="X65" s="39">
        <f>T65*1000/39.37/R65*31.5</f>
        <v>63.101346202692412</v>
      </c>
      <c r="Y65" s="40"/>
      <c r="Z65" s="40">
        <v>64</v>
      </c>
      <c r="AA65" s="41"/>
      <c r="AB65" s="42"/>
      <c r="AC65" s="43"/>
      <c r="AD65" s="43">
        <v>64.89</v>
      </c>
    </row>
    <row r="66" spans="1:30" ht="24" hidden="1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0</v>
      </c>
      <c r="H66" s="31"/>
      <c r="I66" s="46">
        <v>135</v>
      </c>
      <c r="J66" s="32">
        <v>135</v>
      </c>
      <c r="K66" s="33">
        <f t="shared" si="2"/>
        <v>0</v>
      </c>
      <c r="L66" s="47">
        <f t="shared" si="2"/>
        <v>0</v>
      </c>
      <c r="M66" s="303">
        <v>1000</v>
      </c>
      <c r="N66" s="303">
        <v>1000</v>
      </c>
      <c r="O66" s="31"/>
      <c r="P66" s="31"/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hidden="1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/>
      <c r="F67" s="29">
        <v>690128</v>
      </c>
      <c r="G67" s="45">
        <v>0</v>
      </c>
      <c r="H67" s="31"/>
      <c r="I67" s="46">
        <v>135</v>
      </c>
      <c r="J67" s="32">
        <v>135</v>
      </c>
      <c r="K67" s="33">
        <f t="shared" si="2"/>
        <v>0</v>
      </c>
      <c r="L67" s="47">
        <f t="shared" si="2"/>
        <v>0</v>
      </c>
      <c r="M67" s="303">
        <v>1225</v>
      </c>
      <c r="N67" s="303">
        <v>1225</v>
      </c>
      <c r="O67" s="31"/>
      <c r="P67" s="31"/>
      <c r="Q67" s="35"/>
      <c r="R67" s="48"/>
      <c r="S67" s="36"/>
      <c r="T67" s="36"/>
      <c r="U67" s="37"/>
      <c r="V67" s="38"/>
      <c r="W67" s="39"/>
      <c r="X67" s="39"/>
      <c r="Y67" s="40"/>
      <c r="Z67" s="40"/>
      <c r="AA67" s="41"/>
      <c r="AB67" s="235"/>
      <c r="AC67" s="239"/>
      <c r="AD67" s="43"/>
    </row>
    <row r="68" spans="1:30" ht="24" hidden="1" customHeight="1" x14ac:dyDescent="0.4">
      <c r="A68" s="251" t="s">
        <v>132</v>
      </c>
      <c r="B68" s="246" t="s">
        <v>51</v>
      </c>
      <c r="C68" s="253" t="s">
        <v>233</v>
      </c>
      <c r="D68" s="256" t="s">
        <v>43</v>
      </c>
      <c r="E68" s="28"/>
      <c r="F68" s="29">
        <v>690119</v>
      </c>
      <c r="G68" s="69">
        <v>0</v>
      </c>
      <c r="H68" s="31"/>
      <c r="I68" s="46">
        <v>130</v>
      </c>
      <c r="J68" s="32">
        <v>130</v>
      </c>
      <c r="K68" s="33">
        <f t="shared" si="2"/>
        <v>0</v>
      </c>
      <c r="L68" s="47">
        <f t="shared" si="2"/>
        <v>0</v>
      </c>
      <c r="M68" s="303">
        <v>1303</v>
      </c>
      <c r="N68" s="303">
        <v>1303</v>
      </c>
      <c r="O68" s="31"/>
      <c r="P68" s="31"/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hidden="1" customHeight="1" x14ac:dyDescent="0.4">
      <c r="A69" s="249" t="s">
        <v>133</v>
      </c>
      <c r="B69" s="246" t="s">
        <v>64</v>
      </c>
      <c r="C69" s="253"/>
      <c r="D69" s="256" t="s">
        <v>140</v>
      </c>
      <c r="E69" s="28"/>
      <c r="F69" s="29">
        <v>690119</v>
      </c>
      <c r="G69" s="69">
        <v>0</v>
      </c>
      <c r="H69" s="31"/>
      <c r="I69" s="46">
        <v>780</v>
      </c>
      <c r="J69" s="32">
        <v>780</v>
      </c>
      <c r="K69" s="33">
        <f t="shared" si="2"/>
        <v>0</v>
      </c>
      <c r="L69" s="47">
        <f t="shared" si="2"/>
        <v>0</v>
      </c>
      <c r="M69" s="303">
        <v>1063</v>
      </c>
      <c r="N69" s="303">
        <v>0</v>
      </c>
      <c r="O69" s="31"/>
      <c r="P69" s="31"/>
      <c r="Q69" s="35"/>
      <c r="R69" s="48"/>
      <c r="S69" s="36"/>
      <c r="T69" s="36"/>
      <c r="U69" s="37"/>
      <c r="V69" s="38"/>
      <c r="W69" s="39"/>
      <c r="X69" s="39"/>
      <c r="Y69" s="40"/>
      <c r="Z69" s="40"/>
      <c r="AA69" s="41"/>
      <c r="AB69" s="42"/>
      <c r="AC69" s="43"/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57</v>
      </c>
      <c r="E70" s="28">
        <v>69011628</v>
      </c>
      <c r="F70" s="29">
        <v>690119</v>
      </c>
      <c r="G70" s="45">
        <v>713</v>
      </c>
      <c r="H70" s="31"/>
      <c r="I70" s="46">
        <v>780</v>
      </c>
      <c r="J70" s="32">
        <v>780</v>
      </c>
      <c r="K70" s="33">
        <f t="shared" si="2"/>
        <v>57.04</v>
      </c>
      <c r="L70" s="47">
        <f t="shared" si="2"/>
        <v>0</v>
      </c>
      <c r="M70" s="308">
        <v>649</v>
      </c>
      <c r="N70" s="308">
        <v>346</v>
      </c>
      <c r="O70" s="31"/>
      <c r="P70" s="31"/>
      <c r="Q70" s="35"/>
      <c r="R70" s="48">
        <v>1016</v>
      </c>
      <c r="S70" s="36"/>
      <c r="T70" s="36">
        <v>81.5</v>
      </c>
      <c r="U70" s="37"/>
      <c r="V70" s="38">
        <v>10</v>
      </c>
      <c r="W70" s="39"/>
      <c r="X70" s="39">
        <f>T70*1000/39.37/R70*31.5</f>
        <v>64.181378362756732</v>
      </c>
      <c r="Y70" s="40"/>
      <c r="Z70" s="40">
        <v>64.63</v>
      </c>
      <c r="AA70" s="41"/>
      <c r="AB70" s="42"/>
      <c r="AC70" s="43"/>
      <c r="AD70" s="43">
        <v>65.069999999999993</v>
      </c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57</v>
      </c>
      <c r="E71" s="28">
        <v>69011619</v>
      </c>
      <c r="F71" s="29">
        <v>690106</v>
      </c>
      <c r="G71" s="45">
        <v>806</v>
      </c>
      <c r="H71" s="31"/>
      <c r="I71" s="46">
        <v>780</v>
      </c>
      <c r="J71" s="32">
        <v>780</v>
      </c>
      <c r="K71" s="33">
        <f t="shared" si="2"/>
        <v>64.48</v>
      </c>
      <c r="L71" s="47">
        <f t="shared" si="2"/>
        <v>0</v>
      </c>
      <c r="M71" s="305">
        <v>1126</v>
      </c>
      <c r="N71" s="305">
        <v>570</v>
      </c>
      <c r="O71" s="31"/>
      <c r="P71" s="31"/>
      <c r="Q71" s="35">
        <v>1362</v>
      </c>
      <c r="R71" s="48"/>
      <c r="S71" s="36">
        <v>107.8</v>
      </c>
      <c r="T71" s="36"/>
      <c r="U71" s="37">
        <v>15</v>
      </c>
      <c r="V71" s="38"/>
      <c r="W71" s="39">
        <f>S71*1000/39.37/Q71*31.5</f>
        <v>63.326690530033034</v>
      </c>
      <c r="X71" s="39"/>
      <c r="Y71" s="40">
        <v>64.12</v>
      </c>
      <c r="Z71" s="40"/>
      <c r="AA71" s="41"/>
      <c r="AB71" s="42"/>
      <c r="AC71" s="43">
        <v>64.91</v>
      </c>
      <c r="AD71" s="43"/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304</v>
      </c>
      <c r="E72" s="28"/>
      <c r="F72" s="29">
        <v>690104</v>
      </c>
      <c r="G72" s="77">
        <v>840</v>
      </c>
      <c r="H72" s="31"/>
      <c r="I72" s="63">
        <v>780</v>
      </c>
      <c r="J72" s="64">
        <v>780</v>
      </c>
      <c r="K72" s="65">
        <f t="shared" si="2"/>
        <v>67.2</v>
      </c>
      <c r="L72" s="47">
        <f t="shared" si="2"/>
        <v>0</v>
      </c>
      <c r="M72" s="303">
        <v>1799</v>
      </c>
      <c r="N72" s="303">
        <v>139</v>
      </c>
      <c r="O72" s="31"/>
      <c r="P72" s="31"/>
      <c r="Q72" s="35"/>
      <c r="R72" s="48"/>
      <c r="S72" s="36"/>
      <c r="T72" s="36"/>
      <c r="U72" s="37"/>
      <c r="V72" s="38"/>
      <c r="W72" s="39"/>
      <c r="X72" s="39"/>
      <c r="Y72" s="40"/>
      <c r="Z72" s="40"/>
      <c r="AA72" s="41"/>
      <c r="AB72" s="42"/>
      <c r="AC72" s="43"/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337</v>
      </c>
      <c r="E73" s="28">
        <v>69011627</v>
      </c>
      <c r="F73" s="29">
        <v>690136</v>
      </c>
      <c r="G73" s="78">
        <v>790</v>
      </c>
      <c r="H73" s="31"/>
      <c r="I73" s="63">
        <v>780</v>
      </c>
      <c r="J73" s="64">
        <v>780</v>
      </c>
      <c r="K73" s="65">
        <f t="shared" si="2"/>
        <v>63.2</v>
      </c>
      <c r="L73" s="47">
        <f t="shared" si="2"/>
        <v>0</v>
      </c>
      <c r="M73" s="303">
        <v>2108</v>
      </c>
      <c r="N73" s="303">
        <v>398</v>
      </c>
      <c r="O73" s="31"/>
      <c r="P73" s="31"/>
      <c r="Q73" s="35"/>
      <c r="R73" s="48">
        <v>2500</v>
      </c>
      <c r="S73" s="36"/>
      <c r="T73" s="36">
        <v>205.1</v>
      </c>
      <c r="U73" s="37"/>
      <c r="V73" s="38">
        <v>25</v>
      </c>
      <c r="W73" s="39"/>
      <c r="X73" s="39">
        <f>T73*1000/39.37/R73*38.5</f>
        <v>80.227076454152922</v>
      </c>
      <c r="Y73" s="40"/>
      <c r="Z73" s="40">
        <v>79.63</v>
      </c>
      <c r="AA73" s="41"/>
      <c r="AB73" s="42"/>
      <c r="AC73" s="43"/>
      <c r="AD73" s="43">
        <v>79.13</v>
      </c>
    </row>
    <row r="74" spans="1:30" ht="24" hidden="1" customHeight="1" x14ac:dyDescent="0.4">
      <c r="A74" s="249" t="s">
        <v>138</v>
      </c>
      <c r="B74" s="246" t="s">
        <v>76</v>
      </c>
      <c r="C74" s="253" t="s">
        <v>34</v>
      </c>
      <c r="D74" s="256" t="s">
        <v>47</v>
      </c>
      <c r="E74" s="28"/>
      <c r="F74" s="29">
        <v>690107</v>
      </c>
      <c r="G74" s="79">
        <v>0</v>
      </c>
      <c r="H74" s="31"/>
      <c r="I74" s="63">
        <v>780</v>
      </c>
      <c r="J74" s="64">
        <v>780</v>
      </c>
      <c r="K74" s="65">
        <f t="shared" si="2"/>
        <v>0</v>
      </c>
      <c r="L74" s="68">
        <f t="shared" si="2"/>
        <v>0</v>
      </c>
      <c r="M74" s="303">
        <v>272</v>
      </c>
      <c r="N74" s="303">
        <v>272</v>
      </c>
      <c r="O74" s="31"/>
      <c r="P74" s="31"/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61</v>
      </c>
      <c r="E75" s="28">
        <v>69011608</v>
      </c>
      <c r="F75" s="29">
        <v>690109</v>
      </c>
      <c r="G75" s="80">
        <v>607</v>
      </c>
      <c r="H75" s="31"/>
      <c r="I75" s="46">
        <v>800</v>
      </c>
      <c r="J75" s="32">
        <v>800</v>
      </c>
      <c r="K75" s="33">
        <f t="shared" si="2"/>
        <v>48.56</v>
      </c>
      <c r="L75" s="47">
        <f t="shared" si="2"/>
        <v>0</v>
      </c>
      <c r="M75" s="303">
        <v>8</v>
      </c>
      <c r="N75" s="303">
        <v>615</v>
      </c>
      <c r="O75" s="31"/>
      <c r="P75" s="31"/>
      <c r="Q75" s="48">
        <v>2000</v>
      </c>
      <c r="R75" s="48"/>
      <c r="S75" s="317">
        <v>157.30000000000001</v>
      </c>
      <c r="T75" s="36"/>
      <c r="U75" s="37"/>
      <c r="V75" s="38"/>
      <c r="W75" s="39">
        <f>S75*1000/39.37/Q75*38.5</f>
        <v>76.911988823977651</v>
      </c>
      <c r="X75" s="39"/>
      <c r="Y75" s="40">
        <v>78.87</v>
      </c>
      <c r="Z75" s="40"/>
      <c r="AA75" s="41"/>
      <c r="AB75" s="42"/>
      <c r="AC75" s="43">
        <v>80.83</v>
      </c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140</v>
      </c>
      <c r="E76" s="28"/>
      <c r="F76" s="29">
        <v>690109</v>
      </c>
      <c r="G76" s="45">
        <v>304</v>
      </c>
      <c r="H76" s="31"/>
      <c r="I76" s="46">
        <v>800</v>
      </c>
      <c r="J76" s="32">
        <v>800</v>
      </c>
      <c r="K76" s="33">
        <f t="shared" si="2"/>
        <v>24.32</v>
      </c>
      <c r="L76" s="47">
        <f t="shared" si="2"/>
        <v>0</v>
      </c>
      <c r="M76" s="303">
        <v>1733</v>
      </c>
      <c r="N76" s="303">
        <v>37</v>
      </c>
      <c r="O76" s="31"/>
      <c r="P76" s="31"/>
      <c r="Q76" s="48"/>
      <c r="R76" s="48"/>
      <c r="S76" s="36"/>
      <c r="T76" s="36"/>
      <c r="U76" s="37"/>
      <c r="V76" s="38"/>
      <c r="W76" s="39"/>
      <c r="X76" s="39"/>
      <c r="Y76" s="40"/>
      <c r="Z76" s="40"/>
      <c r="AA76" s="41"/>
      <c r="AB76" s="42"/>
      <c r="AC76" s="43"/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140</v>
      </c>
      <c r="E77" s="28"/>
      <c r="F77" s="29">
        <v>690109</v>
      </c>
      <c r="G77" s="45">
        <v>702</v>
      </c>
      <c r="H77" s="31"/>
      <c r="I77" s="46">
        <v>800</v>
      </c>
      <c r="J77" s="32">
        <v>800</v>
      </c>
      <c r="K77" s="33">
        <f t="shared" si="2"/>
        <v>56.16</v>
      </c>
      <c r="L77" s="47">
        <f t="shared" si="2"/>
        <v>0</v>
      </c>
      <c r="M77" s="303">
        <v>522</v>
      </c>
      <c r="N77" s="303">
        <v>1224</v>
      </c>
      <c r="O77" s="31"/>
      <c r="P77" s="31"/>
      <c r="Q77" s="35"/>
      <c r="R77" s="48"/>
      <c r="S77" s="36"/>
      <c r="T77" s="36"/>
      <c r="U77" s="37"/>
      <c r="V77" s="38"/>
      <c r="W77" s="39"/>
      <c r="X77" s="39"/>
      <c r="Y77" s="40"/>
      <c r="Z77" s="40"/>
      <c r="AA77" s="41"/>
      <c r="AB77" s="42"/>
      <c r="AC77" s="43"/>
      <c r="AD77" s="43"/>
    </row>
    <row r="78" spans="1:30" ht="24" customHeight="1" thickBot="1" x14ac:dyDescent="0.45">
      <c r="A78" s="249" t="s">
        <v>143</v>
      </c>
      <c r="B78" s="246" t="s">
        <v>85</v>
      </c>
      <c r="C78" s="253" t="s">
        <v>234</v>
      </c>
      <c r="D78" s="256" t="s">
        <v>140</v>
      </c>
      <c r="E78" s="259"/>
      <c r="F78" s="29">
        <v>690106</v>
      </c>
      <c r="G78" s="45">
        <v>771</v>
      </c>
      <c r="H78" s="31"/>
      <c r="I78" s="46">
        <v>800</v>
      </c>
      <c r="J78" s="32">
        <v>800</v>
      </c>
      <c r="K78" s="33">
        <f t="shared" si="2"/>
        <v>61.68</v>
      </c>
      <c r="L78" s="47">
        <f t="shared" si="2"/>
        <v>0</v>
      </c>
      <c r="M78" s="303">
        <v>207</v>
      </c>
      <c r="N78" s="303">
        <v>978</v>
      </c>
      <c r="O78" s="31"/>
      <c r="P78" s="31"/>
      <c r="Q78" s="35"/>
      <c r="R78" s="48"/>
      <c r="S78" s="36"/>
      <c r="T78" s="36"/>
      <c r="U78" s="37"/>
      <c r="V78" s="38"/>
      <c r="W78" s="39"/>
      <c r="X78" s="39"/>
      <c r="Y78" s="40"/>
      <c r="Z78" s="40"/>
      <c r="AA78" s="41"/>
      <c r="AB78" s="42"/>
      <c r="AC78" s="43"/>
      <c r="AD78" s="43"/>
    </row>
    <row r="79" spans="1:30" ht="24" hidden="1" customHeight="1" x14ac:dyDescent="0.45">
      <c r="A79" s="249" t="s">
        <v>144</v>
      </c>
      <c r="B79" s="246" t="s">
        <v>116</v>
      </c>
      <c r="C79" s="253" t="s">
        <v>63</v>
      </c>
      <c r="D79" s="256" t="s">
        <v>140</v>
      </c>
      <c r="E79" s="28">
        <v>69011609</v>
      </c>
      <c r="F79" s="29">
        <v>690109</v>
      </c>
      <c r="G79" s="45">
        <v>0</v>
      </c>
      <c r="H79" s="31"/>
      <c r="I79" s="46">
        <v>800</v>
      </c>
      <c r="J79" s="32">
        <v>800</v>
      </c>
      <c r="K79" s="33"/>
      <c r="L79" s="47">
        <f t="shared" si="2"/>
        <v>0</v>
      </c>
      <c r="M79" s="303">
        <v>564</v>
      </c>
      <c r="N79" s="303">
        <v>564</v>
      </c>
      <c r="O79" s="31"/>
      <c r="P79" s="31"/>
      <c r="Q79" s="48">
        <v>2000</v>
      </c>
      <c r="R79" s="48"/>
      <c r="S79" s="36">
        <v>149.5</v>
      </c>
      <c r="T79" s="36"/>
      <c r="U79" s="37"/>
      <c r="V79" s="38"/>
      <c r="W79" s="39">
        <f>S79*1000/39.37/Q79*38.5</f>
        <v>73.098171196342392</v>
      </c>
      <c r="X79" s="39"/>
      <c r="Y79" s="40">
        <v>73.849999999999994</v>
      </c>
      <c r="Z79" s="40"/>
      <c r="AA79" s="41"/>
      <c r="AB79" s="42"/>
      <c r="AC79" s="43">
        <v>74.59</v>
      </c>
      <c r="AD79" s="43"/>
    </row>
    <row r="80" spans="1:30" ht="24" hidden="1" customHeight="1" x14ac:dyDescent="0.45">
      <c r="A80" s="249" t="s">
        <v>145</v>
      </c>
      <c r="B80" s="246" t="s">
        <v>116</v>
      </c>
      <c r="C80" s="253" t="s">
        <v>63</v>
      </c>
      <c r="D80" s="256" t="s">
        <v>140</v>
      </c>
      <c r="E80" s="28">
        <v>69011610</v>
      </c>
      <c r="F80" s="29">
        <v>690109</v>
      </c>
      <c r="G80" s="45">
        <v>0</v>
      </c>
      <c r="H80" s="31"/>
      <c r="I80" s="46">
        <v>800</v>
      </c>
      <c r="J80" s="32">
        <v>800</v>
      </c>
      <c r="K80" s="33">
        <f t="shared" si="2"/>
        <v>0</v>
      </c>
      <c r="L80" s="47">
        <f t="shared" si="2"/>
        <v>0</v>
      </c>
      <c r="M80" s="303">
        <v>613</v>
      </c>
      <c r="N80" s="303">
        <v>613</v>
      </c>
      <c r="O80" s="31"/>
      <c r="P80" s="31"/>
      <c r="Q80" s="35">
        <v>2000</v>
      </c>
      <c r="R80" s="48"/>
      <c r="S80" s="36">
        <v>147.6</v>
      </c>
      <c r="T80" s="36"/>
      <c r="U80" s="37"/>
      <c r="V80" s="38"/>
      <c r="W80" s="39">
        <f>S80*1000/39.37/Q80*38.5</f>
        <v>72.169164338328684</v>
      </c>
      <c r="X80" s="39"/>
      <c r="Y80" s="40">
        <v>73.02</v>
      </c>
      <c r="Z80" s="40"/>
      <c r="AA80" s="41"/>
      <c r="AB80" s="42"/>
      <c r="AC80" s="43">
        <v>73.87</v>
      </c>
      <c r="AD80" s="43"/>
    </row>
    <row r="81" spans="1:34" ht="23.25" hidden="1" customHeight="1" x14ac:dyDescent="0.45">
      <c r="A81" s="249" t="s">
        <v>147</v>
      </c>
      <c r="B81" s="246" t="s">
        <v>116</v>
      </c>
      <c r="C81" s="253" t="s">
        <v>63</v>
      </c>
      <c r="D81" s="256" t="s">
        <v>140</v>
      </c>
      <c r="E81" s="28">
        <v>69011611</v>
      </c>
      <c r="F81" s="29">
        <v>690109</v>
      </c>
      <c r="G81" s="45">
        <v>0</v>
      </c>
      <c r="H81" s="31"/>
      <c r="I81" s="46">
        <v>800</v>
      </c>
      <c r="J81" s="32">
        <v>800</v>
      </c>
      <c r="K81" s="33">
        <f t="shared" si="2"/>
        <v>0</v>
      </c>
      <c r="L81" s="47">
        <f t="shared" si="2"/>
        <v>0</v>
      </c>
      <c r="M81" s="303">
        <v>77</v>
      </c>
      <c r="N81" s="303">
        <v>77</v>
      </c>
      <c r="O81" s="31"/>
      <c r="P81" s="31"/>
      <c r="Q81" s="35">
        <v>1745</v>
      </c>
      <c r="R81" s="48"/>
      <c r="S81" s="36">
        <v>131.30000000000001</v>
      </c>
      <c r="T81" s="36"/>
      <c r="U81" s="37"/>
      <c r="V81" s="38"/>
      <c r="W81" s="39">
        <f>S81*1000/39.37/Q81*38.5</f>
        <v>73.580817648741316</v>
      </c>
      <c r="X81" s="39"/>
      <c r="Y81" s="40">
        <v>73.42</v>
      </c>
      <c r="Z81" s="40"/>
      <c r="AA81" s="41"/>
      <c r="AB81" s="42"/>
      <c r="AC81" s="43">
        <v>73.260000000000005</v>
      </c>
      <c r="AD81" s="43"/>
    </row>
    <row r="82" spans="1:34" ht="24" hidden="1" customHeight="1" x14ac:dyDescent="0.45">
      <c r="A82" s="249" t="s">
        <v>148</v>
      </c>
      <c r="B82" s="246" t="s">
        <v>116</v>
      </c>
      <c r="C82" s="253" t="s">
        <v>63</v>
      </c>
      <c r="D82" s="256" t="s">
        <v>140</v>
      </c>
      <c r="E82" s="28">
        <v>69011612</v>
      </c>
      <c r="F82" s="29">
        <v>690109</v>
      </c>
      <c r="G82" s="45">
        <v>0</v>
      </c>
      <c r="H82" s="31"/>
      <c r="I82" s="46">
        <v>800</v>
      </c>
      <c r="J82" s="32">
        <v>800</v>
      </c>
      <c r="K82" s="33">
        <f t="shared" si="2"/>
        <v>0</v>
      </c>
      <c r="L82" s="47">
        <f t="shared" si="2"/>
        <v>0</v>
      </c>
      <c r="M82" s="303">
        <v>639</v>
      </c>
      <c r="N82" s="303">
        <v>639</v>
      </c>
      <c r="O82" s="31"/>
      <c r="P82" s="31"/>
      <c r="Q82" s="35">
        <v>2000</v>
      </c>
      <c r="R82" s="48"/>
      <c r="S82" s="36">
        <v>145.19999999999999</v>
      </c>
      <c r="T82" s="36"/>
      <c r="U82" s="37"/>
      <c r="V82" s="38"/>
      <c r="W82" s="39">
        <f>S82*1000/39.37/Q82*38.5</f>
        <v>70.995681991363981</v>
      </c>
      <c r="X82" s="39"/>
      <c r="Y82" s="40">
        <v>72.31</v>
      </c>
      <c r="Z82" s="40"/>
      <c r="AA82" s="41"/>
      <c r="AB82" s="42"/>
      <c r="AC82" s="43">
        <v>73.62</v>
      </c>
      <c r="AD82" s="43"/>
    </row>
    <row r="83" spans="1:34" ht="24" hidden="1" customHeight="1" x14ac:dyDescent="0.45">
      <c r="A83" s="71" t="s">
        <v>214</v>
      </c>
      <c r="B83" s="26"/>
      <c r="C83" s="254"/>
      <c r="D83" s="49" t="s">
        <v>104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3">G83*8/100</f>
        <v>0</v>
      </c>
      <c r="L83" s="47">
        <f t="shared" si="3"/>
        <v>0</v>
      </c>
      <c r="M83" s="303">
        <v>230</v>
      </c>
      <c r="N83" s="303">
        <v>230</v>
      </c>
      <c r="O83" s="31"/>
      <c r="P83" s="31"/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hidden="1" customHeight="1" x14ac:dyDescent="0.45">
      <c r="A84" s="71" t="s">
        <v>215</v>
      </c>
      <c r="B84" s="26"/>
      <c r="C84" s="26"/>
      <c r="D84" s="49" t="s">
        <v>104</v>
      </c>
      <c r="E84" s="28"/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03">
        <v>34</v>
      </c>
      <c r="O84" s="31"/>
      <c r="P84" s="31"/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hidden="1" customHeight="1" x14ac:dyDescent="0.45">
      <c r="A85" s="71" t="s">
        <v>149</v>
      </c>
      <c r="B85" s="26"/>
      <c r="C85" s="26"/>
      <c r="D85" s="49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4">G85*8/100</f>
        <v>0</v>
      </c>
      <c r="L85" s="47">
        <f t="shared" si="4"/>
        <v>0</v>
      </c>
      <c r="M85" s="311">
        <v>62</v>
      </c>
      <c r="N85" s="311">
        <v>62</v>
      </c>
      <c r="O85" s="81"/>
      <c r="P85" s="81"/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hidden="1" customHeight="1" thickBot="1" x14ac:dyDescent="0.45">
      <c r="A86" s="71" t="s">
        <v>88</v>
      </c>
      <c r="B86" s="26"/>
      <c r="C86" s="26"/>
      <c r="D86" s="49" t="s">
        <v>57</v>
      </c>
      <c r="E86" s="28">
        <v>69011631</v>
      </c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4"/>
        <v>0</v>
      </c>
      <c r="L86" s="47">
        <f t="shared" si="4"/>
        <v>0</v>
      </c>
      <c r="M86" s="81"/>
      <c r="N86" s="81"/>
      <c r="O86" s="81"/>
      <c r="P86" s="81"/>
      <c r="Q86" s="35"/>
      <c r="R86" s="48">
        <v>1120</v>
      </c>
      <c r="S86" s="36"/>
      <c r="T86" s="36">
        <v>88.5</v>
      </c>
      <c r="U86" s="37"/>
      <c r="V86" s="38">
        <v>10</v>
      </c>
      <c r="W86" s="39"/>
      <c r="X86" s="39">
        <f>T86*1000/39.37/R86*31.5</f>
        <v>63.222313944627885</v>
      </c>
      <c r="Y86" s="40"/>
      <c r="Z86" s="40">
        <v>64.61</v>
      </c>
      <c r="AA86" s="41"/>
      <c r="AB86" s="42"/>
      <c r="AC86" s="43"/>
      <c r="AD86" s="43">
        <v>65.989999999999995</v>
      </c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18900</v>
      </c>
      <c r="H87" s="86">
        <f>SUM(H6:H82)</f>
        <v>0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44511</v>
      </c>
      <c r="R87" s="89">
        <f>SUM(R6:R86)</f>
        <v>11347</v>
      </c>
      <c r="S87" s="90">
        <f>SUM(S6:S86)</f>
        <v>3554.7000000000003</v>
      </c>
      <c r="T87" s="91">
        <f>SUM(T6:T86)</f>
        <v>887.19999999999993</v>
      </c>
      <c r="U87" s="89">
        <f>SUM(U6:U86)</f>
        <v>290</v>
      </c>
      <c r="V87" s="89">
        <f>SUM(V6:V84)</f>
        <v>95</v>
      </c>
      <c r="W87" s="92">
        <f>SUM(W6:W86)</f>
        <v>1689.5996220551012</v>
      </c>
      <c r="X87" s="93">
        <f>SUM(X6:X86)</f>
        <v>468.60345341504501</v>
      </c>
      <c r="Y87" s="94">
        <f>SUM(Y6:Y86)</f>
        <v>1707.12</v>
      </c>
      <c r="Z87" s="95">
        <f>SUM(Z6:Z86)</f>
        <v>473.74</v>
      </c>
      <c r="AA87" s="96">
        <f>SUM(AA6:AA82)</f>
        <v>0</v>
      </c>
      <c r="AB87" s="97">
        <f>SUM(AB6:AB82)</f>
        <v>0</v>
      </c>
      <c r="AC87" s="98">
        <f>SUM(AC6:AC86)</f>
        <v>1724.5500000000002</v>
      </c>
      <c r="AD87" s="98">
        <f>SUM(AD6:AD86)</f>
        <v>478.90999999999997</v>
      </c>
    </row>
    <row r="88" spans="1:34" ht="24" customHeight="1" thickBot="1" x14ac:dyDescent="0.45">
      <c r="A88" s="334"/>
      <c r="B88" s="83">
        <v>28</v>
      </c>
      <c r="C88" s="83">
        <v>0</v>
      </c>
      <c r="D88" s="84"/>
      <c r="E88" s="84"/>
      <c r="F88" s="84"/>
      <c r="G88" s="341">
        <f>G87+H87</f>
        <v>18900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Q87+R87+Q134</f>
        <v>56958</v>
      </c>
      <c r="R88" s="342"/>
      <c r="S88" s="375">
        <f>S87+T87+S134</f>
        <v>4592.9000000000005</v>
      </c>
      <c r="T88" s="376"/>
      <c r="U88" s="341">
        <f>U87+V87+U134</f>
        <v>400</v>
      </c>
      <c r="V88" s="342"/>
      <c r="W88" s="375">
        <f>W87+X87+W134</f>
        <v>2292.4423439486832</v>
      </c>
      <c r="X88" s="376"/>
      <c r="Y88" s="375">
        <f>Y87+Z87+Y134</f>
        <v>2315.1099999999997</v>
      </c>
      <c r="Z88" s="376"/>
      <c r="AA88" s="375">
        <f>AA87+AB87</f>
        <v>0</v>
      </c>
      <c r="AB88" s="376"/>
      <c r="AC88" s="375">
        <f>AC87+AD87+AC134</f>
        <v>2337.7200000000003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336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56958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385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18900</v>
      </c>
      <c r="O91" s="108" t="s">
        <v>158</v>
      </c>
      <c r="P91" s="108"/>
      <c r="Q91" s="108" t="s">
        <v>159</v>
      </c>
      <c r="R91" s="109"/>
      <c r="S91" s="120">
        <f>H87</f>
        <v>0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290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1.192172</v>
      </c>
      <c r="F92" s="124"/>
      <c r="G92" s="108" t="s">
        <v>162</v>
      </c>
      <c r="H92" s="125"/>
      <c r="I92" s="125">
        <v>18690</v>
      </c>
      <c r="J92" s="117" t="s">
        <v>154</v>
      </c>
      <c r="K92" s="108"/>
      <c r="L92" s="108" t="s">
        <v>163</v>
      </c>
      <c r="M92" s="108"/>
      <c r="N92" s="126">
        <f>G87/B88</f>
        <v>675</v>
      </c>
      <c r="O92" s="108" t="s">
        <v>158</v>
      </c>
      <c r="P92" s="108"/>
      <c r="Q92" s="108" t="s">
        <v>164</v>
      </c>
      <c r="S92" s="126">
        <v>0</v>
      </c>
      <c r="T92" s="108"/>
      <c r="U92" s="108" t="s">
        <v>158</v>
      </c>
      <c r="W92" s="110"/>
      <c r="X92" s="108"/>
      <c r="Y92" s="127" t="s">
        <v>165</v>
      </c>
      <c r="AA92" s="122">
        <f>V87</f>
        <v>95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339</v>
      </c>
      <c r="F93" s="129"/>
      <c r="G93" s="108" t="s">
        <v>162</v>
      </c>
      <c r="H93" s="125"/>
      <c r="I93" s="125">
        <v>551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340</v>
      </c>
      <c r="F94" s="129"/>
      <c r="G94" s="108" t="s">
        <v>162</v>
      </c>
      <c r="H94" s="125"/>
      <c r="I94" s="125"/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221</v>
      </c>
      <c r="F95" s="116"/>
      <c r="G95" s="108" t="s">
        <v>162</v>
      </c>
      <c r="H95" s="125"/>
      <c r="I95" s="125">
        <v>2840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338</v>
      </c>
      <c r="F96" s="136"/>
      <c r="G96" s="108" t="s">
        <v>162</v>
      </c>
      <c r="H96" s="125"/>
      <c r="I96" s="125">
        <v>2500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341</v>
      </c>
      <c r="F97" s="129"/>
      <c r="G97" s="108" t="s">
        <v>162</v>
      </c>
      <c r="H97" s="125"/>
      <c r="I97" s="125">
        <v>2500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28</v>
      </c>
      <c r="P97" s="108" t="s">
        <v>25</v>
      </c>
      <c r="Q97" s="108"/>
      <c r="R97" s="108"/>
      <c r="S97" s="130" t="s">
        <v>177</v>
      </c>
      <c r="T97" s="138">
        <v>0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342</v>
      </c>
      <c r="F98" s="139"/>
      <c r="G98" s="108" t="s">
        <v>162</v>
      </c>
      <c r="H98" s="125"/>
      <c r="I98" s="125">
        <v>5002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3</v>
      </c>
      <c r="Q98" s="108" t="s">
        <v>180</v>
      </c>
      <c r="R98" s="108" t="s">
        <v>181</v>
      </c>
      <c r="S98" s="130"/>
      <c r="T98" s="140">
        <v>4</v>
      </c>
      <c r="U98" s="108" t="s">
        <v>180</v>
      </c>
      <c r="V98" s="108"/>
      <c r="W98" s="110" t="s">
        <v>182</v>
      </c>
      <c r="X98" s="140">
        <f>T98+P98-AA98</f>
        <v>7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349</v>
      </c>
      <c r="F99" s="142"/>
      <c r="G99" s="108" t="s">
        <v>162</v>
      </c>
      <c r="H99" s="125"/>
      <c r="I99" s="125">
        <v>4000</v>
      </c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0</v>
      </c>
      <c r="U99" s="108" t="s">
        <v>180</v>
      </c>
      <c r="V99" s="108"/>
      <c r="W99" s="110" t="s">
        <v>182</v>
      </c>
      <c r="X99" s="140">
        <f>T99+P99-AA99</f>
        <v>0</v>
      </c>
      <c r="Y99" s="127" t="s">
        <v>180</v>
      </c>
      <c r="Z99" s="103" t="s">
        <v>183</v>
      </c>
      <c r="AA99" s="146">
        <v>0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343</v>
      </c>
      <c r="F100" s="148"/>
      <c r="G100" s="108" t="s">
        <v>162</v>
      </c>
      <c r="H100" s="125"/>
      <c r="I100" s="125">
        <v>5000</v>
      </c>
      <c r="J100" s="117" t="s">
        <v>154</v>
      </c>
      <c r="K100" s="8"/>
      <c r="L100" s="149" t="s">
        <v>188</v>
      </c>
      <c r="M100" s="150"/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344</v>
      </c>
      <c r="F101" s="155"/>
      <c r="G101" s="108" t="s">
        <v>162</v>
      </c>
      <c r="H101" s="125"/>
      <c r="I101" s="125">
        <v>1030</v>
      </c>
      <c r="J101" s="117" t="s">
        <v>154</v>
      </c>
      <c r="K101" s="108"/>
      <c r="L101" s="149"/>
      <c r="M101" s="150"/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345</v>
      </c>
      <c r="F102" s="262"/>
      <c r="G102" s="108" t="s">
        <v>162</v>
      </c>
      <c r="H102" s="125"/>
      <c r="I102" s="125">
        <v>1100</v>
      </c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346</v>
      </c>
      <c r="F103" s="148"/>
      <c r="G103" s="108" t="s">
        <v>162</v>
      </c>
      <c r="H103" s="125"/>
      <c r="I103" s="125"/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/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58" t="s">
        <v>347</v>
      </c>
      <c r="F104" s="136"/>
      <c r="G104" s="108" t="s">
        <v>162</v>
      </c>
      <c r="H104" s="125"/>
      <c r="I104" s="125">
        <v>4000</v>
      </c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348</v>
      </c>
      <c r="F105" s="155"/>
      <c r="G105" s="108" t="s">
        <v>162</v>
      </c>
      <c r="H105" s="125"/>
      <c r="I105" s="125">
        <v>9745</v>
      </c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/>
      <c r="F106" s="155"/>
      <c r="G106" s="108"/>
      <c r="H106" s="125"/>
      <c r="I106" s="125"/>
      <c r="J106" s="117"/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/>
      <c r="F107" s="155"/>
      <c r="G107" s="108"/>
      <c r="H107" s="125"/>
      <c r="I107" s="125"/>
      <c r="J107" s="117"/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s="109" customFormat="1" ht="24" customHeight="1" x14ac:dyDescent="0.55000000000000004">
      <c r="A108" s="1"/>
      <c r="B108" s="161"/>
      <c r="C108" s="1"/>
      <c r="D108" s="1"/>
      <c r="E108" s="136"/>
      <c r="F108" s="155"/>
      <c r="G108" s="108"/>
      <c r="H108" s="125"/>
      <c r="I108" s="125"/>
      <c r="J108" s="117"/>
      <c r="K108" s="117"/>
      <c r="L108" s="149"/>
      <c r="M108" s="173"/>
      <c r="N108" s="165"/>
      <c r="O108" s="165"/>
      <c r="P108" s="165"/>
      <c r="Q108" s="165"/>
      <c r="R108" s="165"/>
      <c r="S108" s="166"/>
      <c r="T108" s="165"/>
      <c r="U108" s="167"/>
      <c r="V108" s="168"/>
      <c r="W108" s="169"/>
      <c r="X108" s="170"/>
      <c r="Y108" s="149"/>
      <c r="Z108" s="149"/>
      <c r="AA108" s="149"/>
      <c r="AB108" s="149"/>
      <c r="AC108" s="171"/>
      <c r="AD108" s="163"/>
      <c r="AK108" s="172"/>
    </row>
    <row r="109" spans="1:37" ht="24" customHeight="1" x14ac:dyDescent="0.55000000000000004">
      <c r="B109" s="161"/>
      <c r="F109" s="174"/>
      <c r="G109" s="175" t="s">
        <v>219</v>
      </c>
      <c r="H109" s="108"/>
      <c r="I109" s="176"/>
      <c r="J109" s="117"/>
      <c r="K109" s="8"/>
      <c r="L109" s="173"/>
      <c r="M109" s="173"/>
      <c r="N109" s="149"/>
      <c r="O109" s="149"/>
      <c r="P109" s="177"/>
      <c r="Q109" s="165"/>
      <c r="R109" s="165"/>
      <c r="S109" s="165"/>
      <c r="T109" s="167"/>
      <c r="U109" s="167"/>
      <c r="V109" s="168"/>
      <c r="W109" s="169"/>
      <c r="X109" s="149"/>
      <c r="Y109" s="149"/>
      <c r="Z109" s="149"/>
      <c r="AA109" s="149" t="s">
        <v>228</v>
      </c>
      <c r="AB109" s="149" t="s">
        <v>229</v>
      </c>
      <c r="AC109" s="149"/>
      <c r="AD109" s="163"/>
      <c r="AF109" s="109"/>
    </row>
    <row r="110" spans="1:37" ht="24" customHeight="1" x14ac:dyDescent="0.55000000000000004">
      <c r="B110" s="161"/>
      <c r="F110" s="133"/>
      <c r="G110" s="129"/>
      <c r="H110" s="108"/>
      <c r="I110" s="176"/>
      <c r="J110" s="117"/>
      <c r="K110" s="8"/>
      <c r="M110" s="173"/>
      <c r="N110" s="149"/>
      <c r="O110" s="149"/>
      <c r="P110" s="165"/>
      <c r="Q110" s="165"/>
      <c r="R110" s="165"/>
      <c r="S110" s="165"/>
      <c r="T110" s="167"/>
      <c r="U110" s="167"/>
      <c r="V110" s="168"/>
      <c r="W110" s="169"/>
      <c r="X110" s="169"/>
      <c r="Y110" s="149"/>
      <c r="Z110" s="149"/>
      <c r="AA110" s="149" t="s">
        <v>228</v>
      </c>
      <c r="AB110" s="149" t="s">
        <v>351</v>
      </c>
      <c r="AC110" s="149"/>
      <c r="AD110" s="163"/>
      <c r="AF110" s="109"/>
    </row>
    <row r="111" spans="1:37" ht="24" customHeight="1" x14ac:dyDescent="0.55000000000000004">
      <c r="A111" s="109"/>
      <c r="B111" s="109"/>
      <c r="C111" s="109"/>
      <c r="D111" s="109"/>
      <c r="E111" s="109"/>
      <c r="F111" s="136"/>
      <c r="G111" s="136"/>
      <c r="H111" s="108"/>
      <c r="I111" s="176"/>
      <c r="J111" s="117"/>
      <c r="K111" s="109"/>
      <c r="L111" s="167"/>
      <c r="M111" s="173"/>
      <c r="N111" s="149"/>
      <c r="O111" s="149"/>
      <c r="P111" s="165"/>
      <c r="Q111" s="177"/>
      <c r="R111" s="165"/>
      <c r="S111" s="165"/>
      <c r="T111" s="167"/>
      <c r="U111" s="167"/>
      <c r="V111" s="168"/>
      <c r="W111" s="169"/>
      <c r="X111" s="149"/>
      <c r="Y111" s="149"/>
      <c r="Z111" s="149"/>
      <c r="AA111" s="149"/>
      <c r="AB111" s="178"/>
      <c r="AC111" s="149" t="s">
        <v>0</v>
      </c>
      <c r="AD111" s="113"/>
      <c r="AF111" s="109"/>
    </row>
    <row r="112" spans="1:37" ht="24" customHeight="1" x14ac:dyDescent="0.5">
      <c r="A112" s="109"/>
      <c r="B112" s="109"/>
      <c r="C112" s="109"/>
      <c r="D112" s="109"/>
      <c r="E112" s="179"/>
      <c r="F112" s="180"/>
      <c r="G112" s="139"/>
      <c r="H112" s="174"/>
      <c r="I112" s="181"/>
      <c r="J112" s="182"/>
      <c r="K112" s="174"/>
      <c r="L112" s="109"/>
      <c r="M112" s="109"/>
      <c r="N112" s="109"/>
      <c r="O112" s="109"/>
      <c r="P112" s="109"/>
      <c r="Q112" s="109"/>
      <c r="R112" s="109"/>
      <c r="S112" s="183"/>
      <c r="T112" s="109"/>
      <c r="U112" s="109"/>
      <c r="V112" s="109"/>
      <c r="W112" s="184"/>
      <c r="X112" s="185"/>
      <c r="Y112" s="186"/>
      <c r="Z112" s="108"/>
      <c r="AA112" s="109"/>
      <c r="AB112" s="109"/>
      <c r="AC112" s="109"/>
      <c r="AD112" s="113"/>
      <c r="AF112" s="109"/>
    </row>
    <row r="113" spans="1:38" s="109" customFormat="1" ht="24" customHeight="1" x14ac:dyDescent="0.5">
      <c r="A113" s="187"/>
      <c r="B113" s="187"/>
      <c r="C113" s="187" t="s">
        <v>204</v>
      </c>
      <c r="D113" s="187"/>
      <c r="E113" s="187"/>
      <c r="F113" s="180"/>
      <c r="G113" s="139"/>
      <c r="H113" s="174"/>
      <c r="I113" s="175"/>
      <c r="J113" s="108"/>
      <c r="M113" s="373" t="s">
        <v>205</v>
      </c>
      <c r="N113" s="373"/>
      <c r="O113" s="373"/>
      <c r="P113" s="373"/>
      <c r="Q113" s="373"/>
      <c r="S113" s="183"/>
      <c r="W113" s="188"/>
      <c r="X113" s="373" t="s">
        <v>205</v>
      </c>
      <c r="Y113" s="373"/>
      <c r="Z113" s="373"/>
      <c r="AA113" s="373"/>
      <c r="AB113" s="373"/>
      <c r="AC113" s="373"/>
      <c r="AD113" s="373"/>
    </row>
    <row r="114" spans="1:38" s="109" customFormat="1" ht="24" customHeight="1" x14ac:dyDescent="0.5">
      <c r="A114" s="187"/>
      <c r="B114" s="187"/>
      <c r="C114" s="187" t="s">
        <v>206</v>
      </c>
      <c r="D114" s="187"/>
      <c r="E114" s="187"/>
      <c r="F114" s="189"/>
      <c r="G114" s="108"/>
      <c r="H114" s="108"/>
      <c r="I114" s="190"/>
      <c r="J114" s="117"/>
      <c r="K114" s="118"/>
      <c r="L114" s="118"/>
      <c r="M114" s="373" t="s">
        <v>151</v>
      </c>
      <c r="N114" s="373"/>
      <c r="O114" s="373"/>
      <c r="P114" s="373"/>
      <c r="Q114" s="373"/>
      <c r="R114" s="118"/>
      <c r="S114" s="191"/>
      <c r="T114" s="118"/>
      <c r="U114" s="118"/>
      <c r="V114" s="118"/>
      <c r="W114" s="192"/>
      <c r="X114" s="373" t="s">
        <v>206</v>
      </c>
      <c r="Y114" s="373"/>
      <c r="Z114" s="373"/>
      <c r="AA114" s="373"/>
      <c r="AB114" s="373"/>
      <c r="AC114" s="373"/>
      <c r="AD114" s="373"/>
    </row>
    <row r="115" spans="1:38" s="118" customFormat="1" ht="24" customHeight="1" x14ac:dyDescent="0.5">
      <c r="A115" s="187"/>
      <c r="B115" s="187"/>
      <c r="C115" s="187"/>
      <c r="D115" s="187"/>
      <c r="E115" s="187"/>
      <c r="F115" s="374"/>
      <c r="G115" s="374"/>
      <c r="H115" s="108"/>
      <c r="I115" s="190"/>
      <c r="J115" s="117"/>
      <c r="M115" s="187"/>
      <c r="N115" s="187"/>
      <c r="O115" s="187"/>
      <c r="P115" s="187"/>
      <c r="Q115" s="187"/>
      <c r="S115" s="191"/>
      <c r="W115" s="192"/>
      <c r="X115" s="187"/>
      <c r="Y115" s="187"/>
      <c r="Z115" s="187"/>
      <c r="AA115" s="187"/>
      <c r="AB115" s="187"/>
      <c r="AC115" s="187"/>
      <c r="AD115" s="187"/>
      <c r="AL115" s="193"/>
    </row>
    <row r="116" spans="1:38" s="118" customFormat="1" ht="24" customHeight="1" x14ac:dyDescent="0.5">
      <c r="A116" s="101"/>
      <c r="B116" s="194"/>
      <c r="C116" s="194"/>
      <c r="D116" s="195"/>
      <c r="E116" s="195"/>
      <c r="F116" s="195"/>
      <c r="G116" s="196"/>
      <c r="H116" s="196"/>
      <c r="I116" s="196"/>
      <c r="J116" s="196"/>
      <c r="K116" s="196"/>
      <c r="L116" s="196"/>
      <c r="M116" s="197"/>
      <c r="N116" s="197"/>
      <c r="O116" s="197"/>
      <c r="P116" s="197"/>
      <c r="Q116" s="198"/>
      <c r="R116" s="198"/>
      <c r="S116" s="199"/>
      <c r="T116" s="199"/>
      <c r="U116" s="198"/>
      <c r="V116" s="198"/>
      <c r="W116" s="199"/>
      <c r="X116" s="199"/>
      <c r="Y116" s="200"/>
      <c r="Z116" s="200"/>
      <c r="AA116" s="201"/>
      <c r="AB116" s="201"/>
      <c r="AC116" s="202"/>
      <c r="AD116" s="202"/>
      <c r="AL116" s="193"/>
    </row>
    <row r="119" spans="1:38" ht="18.75" thickBot="1" x14ac:dyDescent="0.45"/>
    <row r="120" spans="1:38" x14ac:dyDescent="0.4">
      <c r="A120" s="368" t="s">
        <v>1</v>
      </c>
      <c r="B120" s="349" t="s">
        <v>2</v>
      </c>
      <c r="C120" s="350"/>
      <c r="D120" s="5" t="s">
        <v>3</v>
      </c>
      <c r="E120" s="7"/>
      <c r="F120" s="7"/>
      <c r="G120" s="349" t="s">
        <v>4</v>
      </c>
      <c r="H120" s="350"/>
      <c r="I120" s="349" t="s">
        <v>5</v>
      </c>
      <c r="J120" s="350"/>
      <c r="K120" s="349" t="s">
        <v>6</v>
      </c>
      <c r="L120" s="350"/>
      <c r="M120" s="370" t="s">
        <v>7</v>
      </c>
      <c r="N120" s="371"/>
      <c r="O120" s="362" t="s">
        <v>7</v>
      </c>
      <c r="P120" s="363"/>
      <c r="Q120" s="364" t="s">
        <v>8</v>
      </c>
      <c r="R120" s="365"/>
      <c r="S120" s="349" t="s">
        <v>9</v>
      </c>
      <c r="T120" s="350"/>
      <c r="U120" s="366" t="s">
        <v>10</v>
      </c>
      <c r="V120" s="367"/>
      <c r="W120" s="349" t="s">
        <v>11</v>
      </c>
      <c r="X120" s="350"/>
      <c r="Y120" s="349" t="s">
        <v>12</v>
      </c>
      <c r="Z120" s="350"/>
      <c r="AA120" s="349" t="s">
        <v>13</v>
      </c>
      <c r="AB120" s="350"/>
      <c r="AC120" s="349" t="s">
        <v>14</v>
      </c>
      <c r="AD120" s="353"/>
    </row>
    <row r="121" spans="1:38" ht="21" x14ac:dyDescent="0.4">
      <c r="A121" s="369"/>
      <c r="B121" s="351"/>
      <c r="C121" s="352"/>
      <c r="D121" s="8" t="s">
        <v>15</v>
      </c>
      <c r="E121" s="205" t="s">
        <v>16</v>
      </c>
      <c r="F121" s="9" t="s">
        <v>17</v>
      </c>
      <c r="G121" s="351"/>
      <c r="H121" s="352"/>
      <c r="I121" s="351"/>
      <c r="J121" s="352"/>
      <c r="K121" s="351"/>
      <c r="L121" s="352"/>
      <c r="M121" s="354" t="s">
        <v>18</v>
      </c>
      <c r="N121" s="355"/>
      <c r="O121" s="356" t="s">
        <v>19</v>
      </c>
      <c r="P121" s="357"/>
      <c r="Q121" s="358" t="s">
        <v>20</v>
      </c>
      <c r="R121" s="359"/>
      <c r="S121" s="351" t="s">
        <v>21</v>
      </c>
      <c r="T121" s="352"/>
      <c r="U121" s="360" t="s">
        <v>22</v>
      </c>
      <c r="V121" s="359"/>
      <c r="W121" s="351" t="s">
        <v>23</v>
      </c>
      <c r="X121" s="352"/>
      <c r="Y121" s="351"/>
      <c r="Z121" s="352"/>
      <c r="AA121" s="351"/>
      <c r="AB121" s="352"/>
      <c r="AC121" s="351" t="s">
        <v>24</v>
      </c>
      <c r="AD121" s="361"/>
    </row>
    <row r="122" spans="1:38" ht="18.75" thickBot="1" x14ac:dyDescent="0.45">
      <c r="A122" s="10" t="s">
        <v>25</v>
      </c>
      <c r="B122" s="206" t="s">
        <v>207</v>
      </c>
      <c r="C122" s="12" t="s">
        <v>208</v>
      </c>
      <c r="D122" s="13" t="s">
        <v>28</v>
      </c>
      <c r="E122" s="207"/>
      <c r="F122" s="207"/>
      <c r="G122" s="12" t="s">
        <v>26</v>
      </c>
      <c r="H122" s="12" t="s">
        <v>27</v>
      </c>
      <c r="I122" s="11" t="s">
        <v>26</v>
      </c>
      <c r="J122" s="12" t="s">
        <v>27</v>
      </c>
      <c r="K122" s="11" t="s">
        <v>29</v>
      </c>
      <c r="L122" s="14" t="s">
        <v>30</v>
      </c>
      <c r="M122" s="208" t="s">
        <v>31</v>
      </c>
      <c r="N122" s="209" t="s">
        <v>32</v>
      </c>
      <c r="O122" s="210" t="s">
        <v>31</v>
      </c>
      <c r="P122" s="211" t="s">
        <v>32</v>
      </c>
      <c r="Q122" s="19" t="s">
        <v>26</v>
      </c>
      <c r="R122" s="12" t="s">
        <v>27</v>
      </c>
      <c r="S122" s="20" t="s">
        <v>26</v>
      </c>
      <c r="T122" s="12" t="s">
        <v>27</v>
      </c>
      <c r="U122" s="19" t="s">
        <v>26</v>
      </c>
      <c r="V122" s="12" t="s">
        <v>27</v>
      </c>
      <c r="W122" s="21" t="s">
        <v>26</v>
      </c>
      <c r="X122" s="12" t="s">
        <v>27</v>
      </c>
      <c r="Y122" s="22" t="s">
        <v>26</v>
      </c>
      <c r="Z122" s="23" t="s">
        <v>27</v>
      </c>
      <c r="AA122" s="19" t="s">
        <v>26</v>
      </c>
      <c r="AB122" s="12" t="s">
        <v>27</v>
      </c>
      <c r="AC122" s="11" t="s">
        <v>26</v>
      </c>
      <c r="AD122" s="24" t="s">
        <v>27</v>
      </c>
    </row>
    <row r="123" spans="1:38" ht="30" thickBot="1" x14ac:dyDescent="0.55000000000000004">
      <c r="A123" s="212" t="s">
        <v>130</v>
      </c>
      <c r="B123" s="213" t="s">
        <v>209</v>
      </c>
      <c r="C123" s="213" t="s">
        <v>210</v>
      </c>
      <c r="D123" s="258" t="s">
        <v>237</v>
      </c>
      <c r="E123" s="326">
        <v>69011618</v>
      </c>
      <c r="F123" s="73">
        <v>690133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>
        <v>1100</v>
      </c>
      <c r="R123" s="223"/>
      <c r="S123" s="224">
        <v>151</v>
      </c>
      <c r="T123" s="57"/>
      <c r="U123" s="59">
        <v>15</v>
      </c>
      <c r="V123" s="59"/>
      <c r="W123" s="39">
        <f>S123*1000/39.37/Q123*38.5</f>
        <v>134.23926847853696</v>
      </c>
      <c r="X123" s="39"/>
      <c r="Y123" s="40">
        <v>134.25</v>
      </c>
      <c r="Z123" s="40"/>
      <c r="AA123" s="225"/>
      <c r="AB123" s="226"/>
      <c r="AC123" s="227">
        <v>134.26</v>
      </c>
      <c r="AD123" s="228"/>
    </row>
    <row r="124" spans="1:38" ht="32.25" thickBot="1" x14ac:dyDescent="0.55000000000000004">
      <c r="A124" s="212" t="s">
        <v>72</v>
      </c>
      <c r="B124" s="213" t="s">
        <v>209</v>
      </c>
      <c r="C124" s="213" t="s">
        <v>210</v>
      </c>
      <c r="D124" s="258" t="s">
        <v>237</v>
      </c>
      <c r="E124" s="215"/>
      <c r="F124" s="73">
        <v>690133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22"/>
      <c r="R124" s="67"/>
      <c r="S124" s="229"/>
      <c r="T124" s="57"/>
      <c r="U124" s="58"/>
      <c r="V124" s="59"/>
      <c r="W124" s="39"/>
      <c r="X124" s="39"/>
      <c r="Y124" s="40"/>
      <c r="Z124" s="40"/>
      <c r="AA124" s="225"/>
      <c r="AB124" s="226"/>
      <c r="AC124" s="227"/>
      <c r="AD124" s="228"/>
    </row>
    <row r="125" spans="1:38" ht="32.25" thickBot="1" x14ac:dyDescent="0.55000000000000004">
      <c r="A125" s="212" t="s">
        <v>117</v>
      </c>
      <c r="B125" s="213" t="s">
        <v>209</v>
      </c>
      <c r="C125" s="213" t="s">
        <v>210</v>
      </c>
      <c r="D125" s="258" t="s">
        <v>237</v>
      </c>
      <c r="E125" s="215"/>
      <c r="F125" s="73">
        <v>690133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0" thickBot="1" x14ac:dyDescent="0.55000000000000004">
      <c r="A126" s="212" t="s">
        <v>86</v>
      </c>
      <c r="B126" s="213" t="s">
        <v>209</v>
      </c>
      <c r="C126" s="213" t="s">
        <v>210</v>
      </c>
      <c r="D126" s="258" t="s">
        <v>237</v>
      </c>
      <c r="E126" s="326"/>
      <c r="F126" s="73">
        <v>690133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54</v>
      </c>
      <c r="B127" s="213" t="s">
        <v>209</v>
      </c>
      <c r="C127" s="213" t="s">
        <v>210</v>
      </c>
      <c r="D127" s="258" t="s">
        <v>237</v>
      </c>
      <c r="E127" s="215"/>
      <c r="F127" s="73">
        <v>690133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30"/>
      <c r="R127" s="56"/>
      <c r="S127" s="231"/>
      <c r="T127" s="57"/>
      <c r="U127" s="58"/>
      <c r="V127" s="59"/>
      <c r="W127" s="39"/>
      <c r="X127" s="39"/>
      <c r="Y127" s="40"/>
      <c r="Z127" s="40"/>
      <c r="AA127" s="232"/>
      <c r="AB127" s="226"/>
      <c r="AC127" s="233"/>
      <c r="AD127" s="234"/>
    </row>
    <row r="128" spans="1:38" ht="32.25" thickBot="1" x14ac:dyDescent="0.55000000000000004">
      <c r="A128" s="212" t="s">
        <v>40</v>
      </c>
      <c r="B128" s="213" t="s">
        <v>209</v>
      </c>
      <c r="C128" s="213" t="s">
        <v>210</v>
      </c>
      <c r="D128" s="258" t="s">
        <v>237</v>
      </c>
      <c r="E128" s="215"/>
      <c r="F128" s="73">
        <v>690133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22"/>
      <c r="R128" s="67"/>
      <c r="S128" s="229"/>
      <c r="T128" s="57"/>
      <c r="U128" s="58"/>
      <c r="V128" s="59"/>
      <c r="W128" s="39"/>
      <c r="X128" s="39"/>
      <c r="Y128" s="40"/>
      <c r="Z128" s="40"/>
      <c r="AA128" s="225"/>
      <c r="AB128" s="226"/>
      <c r="AC128" s="227"/>
      <c r="AD128" s="228"/>
    </row>
    <row r="129" spans="1:30" ht="32.25" thickBot="1" x14ac:dyDescent="0.55000000000000004">
      <c r="A129" s="212" t="s">
        <v>125</v>
      </c>
      <c r="B129" s="213" t="s">
        <v>209</v>
      </c>
      <c r="C129" s="213" t="s">
        <v>210</v>
      </c>
      <c r="D129" s="258" t="s">
        <v>237</v>
      </c>
      <c r="E129" s="215"/>
      <c r="F129" s="73">
        <v>690133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30"/>
      <c r="R129" s="56"/>
      <c r="S129" s="231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86</v>
      </c>
      <c r="B130" s="213" t="s">
        <v>209</v>
      </c>
      <c r="C130" s="213" t="s">
        <v>210</v>
      </c>
      <c r="D130" s="258" t="s">
        <v>237</v>
      </c>
      <c r="E130" s="215"/>
      <c r="F130" s="73">
        <v>690133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22"/>
      <c r="R130" s="67"/>
      <c r="S130" s="229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74</v>
      </c>
      <c r="B131" s="213" t="s">
        <v>209</v>
      </c>
      <c r="C131" s="213" t="s">
        <v>210</v>
      </c>
      <c r="D131" s="258" t="s">
        <v>237</v>
      </c>
      <c r="E131" s="215"/>
      <c r="F131" s="73">
        <v>690133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30"/>
      <c r="R131" s="56"/>
      <c r="S131" s="231"/>
      <c r="T131" s="57"/>
      <c r="U131" s="58"/>
      <c r="V131" s="59"/>
      <c r="W131" s="39"/>
      <c r="X131" s="39"/>
      <c r="Y131" s="40"/>
      <c r="Z131" s="40"/>
      <c r="AA131" s="232"/>
      <c r="AB131" s="226"/>
      <c r="AC131" s="233"/>
      <c r="AD131" s="234"/>
    </row>
    <row r="132" spans="1:30" ht="32.25" thickBot="1" x14ac:dyDescent="0.55000000000000004">
      <c r="A132" s="212" t="s">
        <v>102</v>
      </c>
      <c r="B132" s="213" t="s">
        <v>209</v>
      </c>
      <c r="C132" s="213" t="s">
        <v>210</v>
      </c>
      <c r="D132" s="258" t="s">
        <v>211</v>
      </c>
      <c r="E132" s="215"/>
      <c r="F132" s="73">
        <v>690134</v>
      </c>
      <c r="G132" s="216"/>
      <c r="H132" s="217"/>
      <c r="I132" s="46">
        <v>800</v>
      </c>
      <c r="J132" s="32">
        <v>800</v>
      </c>
      <c r="K132" s="218"/>
      <c r="L132" s="218"/>
      <c r="M132" s="219"/>
      <c r="N132" s="220"/>
      <c r="O132" s="220"/>
      <c r="P132" s="221"/>
      <c r="Q132" s="222"/>
      <c r="R132" s="223"/>
      <c r="S132" s="224"/>
      <c r="T132" s="57"/>
      <c r="U132" s="59"/>
      <c r="V132" s="59"/>
      <c r="W132" s="39"/>
      <c r="X132" s="39"/>
      <c r="Y132" s="40"/>
      <c r="Z132" s="40"/>
      <c r="AA132" s="225"/>
      <c r="AB132" s="235"/>
      <c r="AC132" s="233"/>
      <c r="AD132" s="234"/>
    </row>
    <row r="133" spans="1:30" ht="24" thickBot="1" x14ac:dyDescent="0.45">
      <c r="A133" s="333" t="s">
        <v>150</v>
      </c>
      <c r="B133" s="83" t="s">
        <v>25</v>
      </c>
      <c r="C133" s="83" t="s">
        <v>25</v>
      </c>
      <c r="D133" s="84"/>
      <c r="E133" s="85"/>
      <c r="F133" s="84"/>
      <c r="G133" s="236">
        <f>SUM(G119:G119)</f>
        <v>0</v>
      </c>
      <c r="H133" s="236">
        <f>SUM(H119:H119)</f>
        <v>0</v>
      </c>
      <c r="I133" s="87"/>
      <c r="J133" s="87"/>
      <c r="K133" s="87"/>
      <c r="L133" s="88"/>
      <c r="M133" s="335"/>
      <c r="N133" s="336"/>
      <c r="O133" s="336"/>
      <c r="P133" s="337"/>
      <c r="Q133" s="237">
        <f t="shared" ref="Q133:AD133" si="5">SUM(Q123:Q132)</f>
        <v>1100</v>
      </c>
      <c r="R133" s="237">
        <f t="shared" si="5"/>
        <v>0</v>
      </c>
      <c r="S133" s="238">
        <f t="shared" si="5"/>
        <v>151</v>
      </c>
      <c r="T133" s="238">
        <f t="shared" si="5"/>
        <v>0</v>
      </c>
      <c r="U133" s="237">
        <f t="shared" si="5"/>
        <v>15</v>
      </c>
      <c r="V133" s="237">
        <f t="shared" si="5"/>
        <v>0</v>
      </c>
      <c r="W133" s="238">
        <f t="shared" si="5"/>
        <v>134.23926847853696</v>
      </c>
      <c r="X133" s="238">
        <f t="shared" si="5"/>
        <v>0</v>
      </c>
      <c r="Y133" s="95">
        <f t="shared" si="5"/>
        <v>134.25</v>
      </c>
      <c r="Z133" s="95">
        <f t="shared" si="5"/>
        <v>0</v>
      </c>
      <c r="AA133" s="238">
        <f t="shared" si="5"/>
        <v>0</v>
      </c>
      <c r="AB133" s="238">
        <f t="shared" si="5"/>
        <v>0</v>
      </c>
      <c r="AC133" s="98">
        <f t="shared" si="5"/>
        <v>134.26</v>
      </c>
      <c r="AD133" s="98">
        <f t="shared" si="5"/>
        <v>0</v>
      </c>
    </row>
    <row r="134" spans="1:30" ht="27" thickBot="1" x14ac:dyDescent="0.45">
      <c r="A134" s="334"/>
      <c r="B134" s="83">
        <v>2</v>
      </c>
      <c r="C134" s="83">
        <v>2</v>
      </c>
      <c r="D134" s="84"/>
      <c r="E134" s="84"/>
      <c r="F134" s="84"/>
      <c r="G134" s="99">
        <v>0</v>
      </c>
      <c r="H134" s="100"/>
      <c r="I134" s="99"/>
      <c r="J134" s="100"/>
      <c r="K134" s="341"/>
      <c r="L134" s="342"/>
      <c r="M134" s="338"/>
      <c r="N134" s="339"/>
      <c r="O134" s="339"/>
      <c r="P134" s="340"/>
      <c r="Q134" s="343">
        <f>Q133+R133</f>
        <v>1100</v>
      </c>
      <c r="R134" s="344"/>
      <c r="S134" s="345">
        <f>S133+T133</f>
        <v>151</v>
      </c>
      <c r="T134" s="346"/>
      <c r="U134" s="347">
        <f>U133+V133</f>
        <v>15</v>
      </c>
      <c r="V134" s="348"/>
      <c r="W134" s="327">
        <f>W133+X133</f>
        <v>134.23926847853696</v>
      </c>
      <c r="X134" s="328"/>
      <c r="Y134" s="329">
        <f>Y133+Z133</f>
        <v>134.25</v>
      </c>
      <c r="Z134" s="330"/>
      <c r="AA134" s="327">
        <f>AA133+AB133</f>
        <v>0</v>
      </c>
      <c r="AB134" s="328"/>
      <c r="AC134" s="331">
        <f>AC133+AD133</f>
        <v>134.26</v>
      </c>
      <c r="AD134" s="332"/>
    </row>
  </sheetData>
  <autoFilter ref="A5:AD113" xr:uid="{3D257094-AFCF-44D4-9CB6-CF8FC9C29795}">
    <filterColumn colId="6">
      <filters blank="1">
        <filter val="149"/>
        <filter val="18,900"/>
        <filter val="206"/>
        <filter val="304"/>
        <filter val="443"/>
        <filter val="480"/>
        <filter val="539"/>
        <filter val="577"/>
        <filter val="607"/>
        <filter val="618"/>
        <filter val="695"/>
        <filter val="702"/>
        <filter val="713"/>
        <filter val="715"/>
        <filter val="718"/>
        <filter val="771"/>
        <filter val="790"/>
        <filter val="800"/>
        <filter val="806"/>
        <filter val="815"/>
        <filter val="817"/>
        <filter val="818"/>
        <filter val="820"/>
        <filter val="830"/>
        <filter val="840"/>
        <filter val="862"/>
        <filter val="865"/>
        <filter val="898"/>
        <filter val="จำนวน"/>
        <filter val="จำนวน 31ม้วน"/>
      </filters>
    </filterColumn>
  </autoFilter>
  <mergeCells count="73"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E90:J90"/>
    <mergeCell ref="M113:Q113"/>
    <mergeCell ref="X113:AD113"/>
    <mergeCell ref="M114:Q114"/>
    <mergeCell ref="X114:AD114"/>
    <mergeCell ref="F115:G115"/>
    <mergeCell ref="A120:A121"/>
    <mergeCell ref="B120:C121"/>
    <mergeCell ref="G120:H121"/>
    <mergeCell ref="I120:J121"/>
    <mergeCell ref="K120:L121"/>
    <mergeCell ref="M120:N120"/>
    <mergeCell ref="AA120:AB121"/>
    <mergeCell ref="AC120:AD120"/>
    <mergeCell ref="M121:N121"/>
    <mergeCell ref="O121:P121"/>
    <mergeCell ref="Q121:R121"/>
    <mergeCell ref="S121:T121"/>
    <mergeCell ref="U121:V121"/>
    <mergeCell ref="W121:X121"/>
    <mergeCell ref="AC121:AD121"/>
    <mergeCell ref="O120:P120"/>
    <mergeCell ref="Q120:R120"/>
    <mergeCell ref="S120:T120"/>
    <mergeCell ref="U120:V120"/>
    <mergeCell ref="W120:X120"/>
    <mergeCell ref="Y120:Z121"/>
    <mergeCell ref="W134:X134"/>
    <mergeCell ref="Y134:Z134"/>
    <mergeCell ref="AA134:AB134"/>
    <mergeCell ref="AC134:AD134"/>
    <mergeCell ref="U134:V134"/>
    <mergeCell ref="A133:A134"/>
    <mergeCell ref="M133:P134"/>
    <mergeCell ref="K134:L134"/>
    <mergeCell ref="Q134:R134"/>
    <mergeCell ref="S134:T134"/>
  </mergeCells>
  <phoneticPr fontId="58" type="noConversion"/>
  <dataValidations count="1">
    <dataValidation type="list" allowBlank="1" showInputMessage="1" showErrorMessage="1" sqref="B10:C10 B54:C54" xr:uid="{FE5D83B7-C995-4AAB-9495-49FEEA1AF4B4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C367-FAC0-4CE9-8D86-B28A8648AE44}">
  <sheetPr>
    <tabColor rgb="FF00B050"/>
  </sheetPr>
  <dimension ref="A1:AL153"/>
  <sheetViews>
    <sheetView zoomScale="78" zoomScaleNormal="78" zoomScaleSheetLayoutView="70" workbookViewId="0">
      <pane xSplit="4" ySplit="5" topLeftCell="E128" activePane="bottomRight" state="frozen"/>
      <selection activeCell="M107" sqref="M107"/>
      <selection pane="topRight" activeCell="M107" sqref="M107"/>
      <selection pane="bottomLeft" activeCell="M107" sqref="M107"/>
      <selection pane="bottomRight" activeCell="X84" sqref="X84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310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296</v>
      </c>
      <c r="E6" s="28">
        <v>69011425</v>
      </c>
      <c r="F6" s="29">
        <v>690126</v>
      </c>
      <c r="G6" s="30">
        <f t="array" ref="G6:G85">[1]!'!เหมา!R1763C10:R1842C10'</f>
        <v>922</v>
      </c>
      <c r="H6" s="31">
        <v>701</v>
      </c>
      <c r="I6" s="32">
        <v>750</v>
      </c>
      <c r="J6" s="32">
        <v>750</v>
      </c>
      <c r="K6" s="33">
        <f>G6*8/100</f>
        <v>73.760000000000005</v>
      </c>
      <c r="L6" s="34">
        <f>H6*8/100</f>
        <v>56.08</v>
      </c>
      <c r="M6" s="303">
        <v>954</v>
      </c>
      <c r="N6" s="318">
        <v>1876</v>
      </c>
      <c r="O6" s="318">
        <v>1876</v>
      </c>
      <c r="P6" s="318">
        <v>577</v>
      </c>
      <c r="Q6" s="35">
        <v>2000</v>
      </c>
      <c r="R6" s="35"/>
      <c r="S6" s="36">
        <v>184.8</v>
      </c>
      <c r="T6" s="36"/>
      <c r="U6" s="37">
        <v>20</v>
      </c>
      <c r="V6" s="38"/>
      <c r="W6" s="39">
        <f>S6*1000/39.37/Q6*44.5</f>
        <v>104.43992887985776</v>
      </c>
      <c r="X6" s="39"/>
      <c r="Y6" s="40">
        <f t="shared" ref="Y6:Y8" si="0">(AC6+W6)/2</f>
        <v>105.79496443992889</v>
      </c>
      <c r="Z6" s="40"/>
      <c r="AA6" s="41"/>
      <c r="AB6" s="42"/>
      <c r="AC6" s="43">
        <v>107.15</v>
      </c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101</v>
      </c>
      <c r="E7" s="28">
        <v>69011426</v>
      </c>
      <c r="F7" s="29">
        <v>690126</v>
      </c>
      <c r="G7" s="45">
        <v>902</v>
      </c>
      <c r="H7" s="31">
        <v>630</v>
      </c>
      <c r="I7" s="46">
        <v>750</v>
      </c>
      <c r="J7" s="32">
        <v>750</v>
      </c>
      <c r="K7" s="33">
        <f t="shared" ref="K7:L38" si="1">G7*8/100</f>
        <v>72.16</v>
      </c>
      <c r="L7" s="47">
        <f t="shared" si="1"/>
        <v>50.4</v>
      </c>
      <c r="M7" s="303">
        <v>57</v>
      </c>
      <c r="N7" s="318">
        <v>959</v>
      </c>
      <c r="O7" s="318">
        <v>959</v>
      </c>
      <c r="P7" s="318">
        <v>1589</v>
      </c>
      <c r="Q7" s="35">
        <v>2000</v>
      </c>
      <c r="R7" s="48"/>
      <c r="S7" s="36">
        <v>198.5</v>
      </c>
      <c r="T7" s="36"/>
      <c r="U7" s="37">
        <v>20</v>
      </c>
      <c r="V7" s="38"/>
      <c r="W7" s="39">
        <f>S7*1000/39.37/Q7*44.5</f>
        <v>112.18249936499872</v>
      </c>
      <c r="X7" s="39"/>
      <c r="Y7" s="40">
        <f t="shared" si="0"/>
        <v>113.78124968249935</v>
      </c>
      <c r="Z7" s="40"/>
      <c r="AA7" s="41"/>
      <c r="AB7" s="42"/>
      <c r="AC7" s="43">
        <v>115.38</v>
      </c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69011432</v>
      </c>
      <c r="F8" s="29">
        <v>690111</v>
      </c>
      <c r="G8" s="45">
        <v>1201</v>
      </c>
      <c r="H8" s="31">
        <v>800</v>
      </c>
      <c r="I8" s="46">
        <v>750</v>
      </c>
      <c r="J8" s="32">
        <v>750</v>
      </c>
      <c r="K8" s="33">
        <f t="shared" si="1"/>
        <v>96.08</v>
      </c>
      <c r="L8" s="47">
        <f t="shared" si="1"/>
        <v>64</v>
      </c>
      <c r="M8" s="303">
        <v>920</v>
      </c>
      <c r="N8" s="318">
        <v>2121</v>
      </c>
      <c r="O8" s="318">
        <v>2121</v>
      </c>
      <c r="P8" s="318">
        <v>421</v>
      </c>
      <c r="Q8" s="35">
        <v>2178</v>
      </c>
      <c r="R8" s="48"/>
      <c r="S8" s="36">
        <v>149.19999999999999</v>
      </c>
      <c r="T8" s="36"/>
      <c r="U8" s="37">
        <v>20</v>
      </c>
      <c r="V8" s="38"/>
      <c r="W8" s="39">
        <f>S8*1000/39.37/Q8*38.5</f>
        <v>66.989426908146754</v>
      </c>
      <c r="X8" s="39"/>
      <c r="Y8" s="40">
        <f t="shared" si="0"/>
        <v>66.829713454073385</v>
      </c>
      <c r="Z8" s="40"/>
      <c r="AA8" s="41"/>
      <c r="AB8" s="42"/>
      <c r="AC8" s="43">
        <v>66.67</v>
      </c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314</v>
      </c>
      <c r="E9" s="28">
        <v>69011451</v>
      </c>
      <c r="F9" s="29">
        <v>690119</v>
      </c>
      <c r="G9" s="45">
        <v>467</v>
      </c>
      <c r="H9" s="31">
        <v>753</v>
      </c>
      <c r="I9" s="46">
        <v>110</v>
      </c>
      <c r="J9" s="32">
        <v>110</v>
      </c>
      <c r="K9" s="33">
        <f t="shared" si="1"/>
        <v>37.36</v>
      </c>
      <c r="L9" s="47">
        <f t="shared" si="1"/>
        <v>60.24</v>
      </c>
      <c r="M9" s="303"/>
      <c r="N9" s="318">
        <v>467</v>
      </c>
      <c r="O9" s="318">
        <v>467</v>
      </c>
      <c r="P9" s="318">
        <v>1220</v>
      </c>
      <c r="Q9" s="35"/>
      <c r="R9" s="48">
        <v>2543</v>
      </c>
      <c r="S9" s="36"/>
      <c r="T9" s="36">
        <v>216.9</v>
      </c>
      <c r="U9" s="37"/>
      <c r="V9" s="38">
        <v>25</v>
      </c>
      <c r="W9" s="39"/>
      <c r="X9" s="39">
        <f>T9*1000/39.37/R9*38.5</f>
        <v>83.408153446271498</v>
      </c>
      <c r="Y9" s="40"/>
      <c r="Z9" s="40">
        <v>84.31</v>
      </c>
      <c r="AA9" s="41"/>
      <c r="AB9" s="42"/>
      <c r="AC9" s="43"/>
      <c r="AD9" s="43">
        <v>85.2</v>
      </c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47</v>
      </c>
      <c r="E10" s="28"/>
      <c r="F10" s="29">
        <v>690136</v>
      </c>
      <c r="G10" s="51">
        <v>0</v>
      </c>
      <c r="H10" s="31">
        <v>0</v>
      </c>
      <c r="I10" s="46">
        <v>110</v>
      </c>
      <c r="J10" s="32">
        <v>110</v>
      </c>
      <c r="K10" s="33">
        <f t="shared" si="1"/>
        <v>0</v>
      </c>
      <c r="L10" s="47">
        <f t="shared" si="1"/>
        <v>0</v>
      </c>
      <c r="M10" s="303">
        <v>2030</v>
      </c>
      <c r="N10" s="318">
        <v>2030</v>
      </c>
      <c r="O10" s="318">
        <v>2030</v>
      </c>
      <c r="P10" s="318">
        <v>0</v>
      </c>
      <c r="Q10" s="35"/>
      <c r="R10" s="48"/>
      <c r="S10" s="36"/>
      <c r="T10" s="36"/>
      <c r="U10" s="37"/>
      <c r="V10" s="38"/>
      <c r="W10" s="39"/>
      <c r="X10" s="39"/>
      <c r="Y10" s="40"/>
      <c r="Z10" s="40"/>
      <c r="AA10" s="41"/>
      <c r="AB10" s="42"/>
      <c r="AC10" s="43"/>
      <c r="AD10" s="43"/>
      <c r="AE10" s="260" t="s">
        <v>287</v>
      </c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101</v>
      </c>
      <c r="E11" s="28"/>
      <c r="F11" s="29">
        <v>690126</v>
      </c>
      <c r="G11" s="45">
        <v>557</v>
      </c>
      <c r="H11" s="31">
        <v>500</v>
      </c>
      <c r="I11" s="46">
        <v>800</v>
      </c>
      <c r="J11" s="32">
        <v>800</v>
      </c>
      <c r="K11" s="33">
        <f t="shared" si="1"/>
        <v>44.56</v>
      </c>
      <c r="L11" s="47">
        <f>H11*8/100</f>
        <v>40</v>
      </c>
      <c r="M11" s="304">
        <v>945</v>
      </c>
      <c r="N11" s="319">
        <v>1502</v>
      </c>
      <c r="O11" s="319">
        <v>1502</v>
      </c>
      <c r="P11" s="319">
        <v>2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285</v>
      </c>
      <c r="E12" s="28">
        <v>69011420</v>
      </c>
      <c r="F12" s="29">
        <v>690143</v>
      </c>
      <c r="G12" s="45">
        <v>522</v>
      </c>
      <c r="H12" s="31">
        <v>480</v>
      </c>
      <c r="I12" s="46">
        <v>800</v>
      </c>
      <c r="J12" s="32">
        <v>800</v>
      </c>
      <c r="K12" s="33">
        <f t="shared" si="1"/>
        <v>41.76</v>
      </c>
      <c r="L12" s="47">
        <f t="shared" si="1"/>
        <v>38.4</v>
      </c>
      <c r="M12" s="303">
        <v>188</v>
      </c>
      <c r="N12" s="318">
        <v>710</v>
      </c>
      <c r="O12" s="318">
        <v>710</v>
      </c>
      <c r="P12" s="318">
        <v>1190</v>
      </c>
      <c r="Q12" s="35">
        <v>2500</v>
      </c>
      <c r="R12" s="48"/>
      <c r="S12" s="36">
        <v>184.5</v>
      </c>
      <c r="T12" s="36"/>
      <c r="U12" s="37">
        <v>25</v>
      </c>
      <c r="V12" s="38"/>
      <c r="W12" s="39">
        <f>S12*1000/39.37/Q12*35.5</f>
        <v>66.545593091186191</v>
      </c>
      <c r="X12" s="39"/>
      <c r="Y12" s="40">
        <f t="shared" ref="Y12" si="2">(AC12+W12)/2</f>
        <v>66.997796545593104</v>
      </c>
      <c r="Z12" s="40"/>
      <c r="AA12" s="41"/>
      <c r="AB12" s="42"/>
      <c r="AC12" s="43">
        <v>67.45</v>
      </c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285</v>
      </c>
      <c r="E13" s="28"/>
      <c r="F13" s="29">
        <v>690143</v>
      </c>
      <c r="G13" s="45">
        <v>586</v>
      </c>
      <c r="H13" s="31">
        <v>361</v>
      </c>
      <c r="I13" s="46">
        <v>800</v>
      </c>
      <c r="J13" s="32">
        <v>800</v>
      </c>
      <c r="K13" s="33">
        <f t="shared" si="1"/>
        <v>46.88</v>
      </c>
      <c r="L13" s="47">
        <f t="shared" si="1"/>
        <v>28.88</v>
      </c>
      <c r="M13" s="303">
        <v>1914</v>
      </c>
      <c r="N13" s="318">
        <v>0</v>
      </c>
      <c r="O13" s="318">
        <v>0</v>
      </c>
      <c r="P13" s="318">
        <v>361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730</v>
      </c>
      <c r="H14" s="31">
        <v>404</v>
      </c>
      <c r="I14" s="46">
        <v>800</v>
      </c>
      <c r="J14" s="32">
        <v>800</v>
      </c>
      <c r="K14" s="33">
        <f t="shared" si="1"/>
        <v>58.4</v>
      </c>
      <c r="L14" s="47">
        <f t="shared" si="1"/>
        <v>32.32</v>
      </c>
      <c r="M14" s="303">
        <v>347</v>
      </c>
      <c r="N14" s="318">
        <v>1077</v>
      </c>
      <c r="O14" s="318">
        <v>1077</v>
      </c>
      <c r="P14" s="318">
        <v>1481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314</v>
      </c>
      <c r="E15" s="28"/>
      <c r="F15" s="29">
        <v>690119</v>
      </c>
      <c r="G15" s="55">
        <v>772</v>
      </c>
      <c r="H15" s="31">
        <v>885</v>
      </c>
      <c r="I15" s="46">
        <v>800</v>
      </c>
      <c r="J15" s="32">
        <v>800</v>
      </c>
      <c r="K15" s="33">
        <f t="shared" si="1"/>
        <v>61.76</v>
      </c>
      <c r="L15" s="47">
        <f t="shared" si="1"/>
        <v>70.8</v>
      </c>
      <c r="M15" s="303">
        <v>1343</v>
      </c>
      <c r="N15" s="318">
        <v>2115</v>
      </c>
      <c r="O15" s="318">
        <v>2115</v>
      </c>
      <c r="P15" s="318">
        <v>500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/>
      <c r="F16" s="29">
        <v>690106</v>
      </c>
      <c r="G16" s="55">
        <v>836</v>
      </c>
      <c r="H16" s="31">
        <v>945</v>
      </c>
      <c r="I16" s="46">
        <v>800</v>
      </c>
      <c r="J16" s="32">
        <v>800</v>
      </c>
      <c r="K16" s="33">
        <f t="shared" si="1"/>
        <v>66.88</v>
      </c>
      <c r="L16" s="47">
        <f t="shared" si="1"/>
        <v>75.599999999999994</v>
      </c>
      <c r="M16" s="303">
        <v>930</v>
      </c>
      <c r="N16" s="318">
        <v>1766</v>
      </c>
      <c r="O16" s="318">
        <v>1766</v>
      </c>
      <c r="P16" s="318">
        <v>211</v>
      </c>
      <c r="Q16" s="35"/>
      <c r="R16" s="48"/>
      <c r="S16" s="36"/>
      <c r="T16" s="36"/>
      <c r="U16" s="37"/>
      <c r="V16" s="38"/>
      <c r="W16" s="39"/>
      <c r="X16" s="39"/>
      <c r="Y16" s="40"/>
      <c r="Z16" s="40"/>
      <c r="AA16" s="41"/>
      <c r="AB16" s="42"/>
      <c r="AC16" s="43"/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61</v>
      </c>
      <c r="E17" s="28">
        <v>69011441</v>
      </c>
      <c r="F17" s="29">
        <v>690106</v>
      </c>
      <c r="G17" s="55">
        <v>929</v>
      </c>
      <c r="H17" s="31">
        <v>1059</v>
      </c>
      <c r="I17" s="46">
        <v>800</v>
      </c>
      <c r="J17" s="32">
        <v>800</v>
      </c>
      <c r="K17" s="33">
        <f t="shared" si="1"/>
        <v>74.319999999999993</v>
      </c>
      <c r="L17" s="47">
        <f t="shared" si="1"/>
        <v>84.72</v>
      </c>
      <c r="M17" s="303">
        <v>1854</v>
      </c>
      <c r="N17" s="318">
        <v>783</v>
      </c>
      <c r="O17" s="318">
        <v>783</v>
      </c>
      <c r="P17" s="318">
        <v>1842</v>
      </c>
      <c r="Q17" s="35"/>
      <c r="R17" s="48">
        <v>2000</v>
      </c>
      <c r="S17" s="36"/>
      <c r="T17" s="36">
        <v>156.80000000000001</v>
      </c>
      <c r="U17" s="37"/>
      <c r="V17" s="38"/>
      <c r="W17" s="39"/>
      <c r="X17" s="39">
        <f>T17*1000/39.37/R17*38.5</f>
        <v>76.667513335026669</v>
      </c>
      <c r="Y17" s="40"/>
      <c r="Z17" s="40">
        <v>77.900000000000006</v>
      </c>
      <c r="AA17" s="41"/>
      <c r="AB17" s="42"/>
      <c r="AC17" s="43"/>
      <c r="AD17" s="43">
        <v>79.13</v>
      </c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61</v>
      </c>
      <c r="E18" s="28">
        <v>69011440</v>
      </c>
      <c r="F18" s="29">
        <v>690106</v>
      </c>
      <c r="G18" s="55">
        <v>842</v>
      </c>
      <c r="H18" s="31">
        <v>1200</v>
      </c>
      <c r="I18" s="46">
        <v>800</v>
      </c>
      <c r="J18" s="32">
        <v>800</v>
      </c>
      <c r="K18" s="33">
        <f t="shared" si="1"/>
        <v>67.36</v>
      </c>
      <c r="L18" s="47">
        <f t="shared" si="1"/>
        <v>96</v>
      </c>
      <c r="M18" s="303">
        <v>1800</v>
      </c>
      <c r="N18" s="318">
        <v>642</v>
      </c>
      <c r="O18" s="318">
        <v>642</v>
      </c>
      <c r="P18" s="318">
        <v>1842</v>
      </c>
      <c r="Q18" s="35"/>
      <c r="R18" s="48">
        <v>2000</v>
      </c>
      <c r="S18" s="36"/>
      <c r="T18" s="36">
        <v>157.30000000000001</v>
      </c>
      <c r="U18" s="37"/>
      <c r="V18" s="38"/>
      <c r="W18" s="39"/>
      <c r="X18" s="39">
        <f>T18*1000/39.37/R18*38.5</f>
        <v>76.911988823977651</v>
      </c>
      <c r="Y18" s="40"/>
      <c r="Z18" s="40">
        <v>77.180000000000007</v>
      </c>
      <c r="AA18" s="41"/>
      <c r="AB18" s="42"/>
      <c r="AC18" s="43"/>
      <c r="AD18" s="43">
        <v>77.44</v>
      </c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61</v>
      </c>
      <c r="E19" s="28">
        <v>69011419</v>
      </c>
      <c r="F19" s="29">
        <v>690112</v>
      </c>
      <c r="G19" s="45">
        <v>814</v>
      </c>
      <c r="H19" s="31">
        <v>516</v>
      </c>
      <c r="I19" s="46">
        <v>750</v>
      </c>
      <c r="J19" s="32">
        <v>750</v>
      </c>
      <c r="K19" s="33">
        <f t="shared" si="1"/>
        <v>65.12</v>
      </c>
      <c r="L19" s="47">
        <f t="shared" si="1"/>
        <v>41.28</v>
      </c>
      <c r="M19" s="303">
        <v>319</v>
      </c>
      <c r="N19" s="318">
        <v>1133</v>
      </c>
      <c r="O19" s="318">
        <v>1133</v>
      </c>
      <c r="P19" s="318">
        <v>1649</v>
      </c>
      <c r="Q19" s="35">
        <v>2000</v>
      </c>
      <c r="R19" s="48"/>
      <c r="S19" s="36">
        <v>155.4</v>
      </c>
      <c r="T19" s="36"/>
      <c r="U19" s="37"/>
      <c r="V19" s="38"/>
      <c r="W19" s="39">
        <f>S19*1000/39.37/Q19*38.5</f>
        <v>75.98298196596393</v>
      </c>
      <c r="X19" s="39"/>
      <c r="Y19" s="40">
        <f t="shared" ref="Y19" si="3">(AC19+W19)/2</f>
        <v>76.471490982981962</v>
      </c>
      <c r="Z19" s="40"/>
      <c r="AA19" s="41"/>
      <c r="AB19" s="42"/>
      <c r="AC19" s="43">
        <v>76.959999999999994</v>
      </c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140</v>
      </c>
      <c r="E20" s="28">
        <v>69011435</v>
      </c>
      <c r="F20" s="29">
        <v>690119</v>
      </c>
      <c r="G20" s="45">
        <v>1052</v>
      </c>
      <c r="H20" s="31">
        <v>750</v>
      </c>
      <c r="I20" s="46">
        <v>750</v>
      </c>
      <c r="J20" s="32">
        <v>750</v>
      </c>
      <c r="K20" s="33">
        <f t="shared" si="1"/>
        <v>84.16</v>
      </c>
      <c r="L20" s="47">
        <f t="shared" si="1"/>
        <v>60</v>
      </c>
      <c r="M20" s="303">
        <v>464</v>
      </c>
      <c r="N20" s="318">
        <v>1516</v>
      </c>
      <c r="O20" s="318">
        <v>1516</v>
      </c>
      <c r="P20" s="318">
        <v>266</v>
      </c>
      <c r="Q20" s="35"/>
      <c r="R20" s="48">
        <v>2000</v>
      </c>
      <c r="S20" s="36"/>
      <c r="T20" s="36">
        <v>153.9</v>
      </c>
      <c r="U20" s="37"/>
      <c r="V20" s="38">
        <v>20</v>
      </c>
      <c r="W20" s="39"/>
      <c r="X20" s="39">
        <f>T20*1000/39.37/R20*38.5</f>
        <v>75.249555499110997</v>
      </c>
      <c r="Y20" s="40"/>
      <c r="Z20" s="40">
        <f t="shared" ref="Z20" si="4">(AD20+X20)/2</f>
        <v>76.319777749555499</v>
      </c>
      <c r="AA20" s="41"/>
      <c r="AB20" s="42"/>
      <c r="AC20" s="43"/>
      <c r="AD20" s="43">
        <v>77.39</v>
      </c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140</v>
      </c>
      <c r="E21" s="28">
        <v>69011408</v>
      </c>
      <c r="F21" s="29">
        <v>690119</v>
      </c>
      <c r="G21" s="45">
        <v>1149</v>
      </c>
      <c r="H21" s="31">
        <v>785</v>
      </c>
      <c r="I21" s="46">
        <v>750</v>
      </c>
      <c r="J21" s="32">
        <v>750</v>
      </c>
      <c r="K21" s="33">
        <f t="shared" si="1"/>
        <v>91.92</v>
      </c>
      <c r="L21" s="47">
        <f t="shared" si="1"/>
        <v>62.8</v>
      </c>
      <c r="M21" s="303">
        <v>1016</v>
      </c>
      <c r="N21" s="318">
        <v>165</v>
      </c>
      <c r="O21" s="318">
        <v>165</v>
      </c>
      <c r="P21" s="318">
        <v>950</v>
      </c>
      <c r="Q21" s="35">
        <v>2000</v>
      </c>
      <c r="R21" s="48"/>
      <c r="S21" s="36">
        <v>149.4</v>
      </c>
      <c r="T21" s="36"/>
      <c r="U21" s="37"/>
      <c r="V21" s="38"/>
      <c r="W21" s="39">
        <f>S21*1000/39.37/Q21*38.5</f>
        <v>73.049276098552212</v>
      </c>
      <c r="X21" s="39"/>
      <c r="Y21" s="40">
        <f t="shared" ref="Y21" si="5">(AC21+W21)/2</f>
        <v>73.544638049276102</v>
      </c>
      <c r="Z21" s="40"/>
      <c r="AA21" s="41"/>
      <c r="AB21" s="42"/>
      <c r="AC21" s="43">
        <v>74.040000000000006</v>
      </c>
      <c r="AD21" s="43"/>
    </row>
    <row r="22" spans="1:35" ht="26.25" customHeight="1" x14ac:dyDescent="0.4">
      <c r="A22" s="249" t="s">
        <v>68</v>
      </c>
      <c r="B22" s="246" t="s">
        <v>42</v>
      </c>
      <c r="C22" s="253" t="s">
        <v>41</v>
      </c>
      <c r="D22" s="256" t="s">
        <v>59</v>
      </c>
      <c r="E22" s="28">
        <v>69011417</v>
      </c>
      <c r="F22" s="29">
        <v>690112</v>
      </c>
      <c r="G22" s="45">
        <v>1212</v>
      </c>
      <c r="H22" s="31">
        <v>967</v>
      </c>
      <c r="I22" s="46">
        <v>750</v>
      </c>
      <c r="J22" s="32">
        <v>750</v>
      </c>
      <c r="K22" s="33">
        <f t="shared" si="1"/>
        <v>96.96</v>
      </c>
      <c r="L22" s="47">
        <f t="shared" si="1"/>
        <v>77.36</v>
      </c>
      <c r="M22" s="305">
        <v>1680</v>
      </c>
      <c r="N22" s="318">
        <v>892</v>
      </c>
      <c r="O22" s="318">
        <v>892</v>
      </c>
      <c r="P22" s="321">
        <v>1859</v>
      </c>
      <c r="Q22" s="35">
        <v>2000</v>
      </c>
      <c r="R22" s="48"/>
      <c r="S22" s="36">
        <v>156.69999999999999</v>
      </c>
      <c r="T22" s="36"/>
      <c r="U22" s="37"/>
      <c r="V22" s="38"/>
      <c r="W22" s="39">
        <f>S22*1000/39.37/Q22*38.5</f>
        <v>76.61861823723649</v>
      </c>
      <c r="X22" s="39"/>
      <c r="Y22" s="40">
        <v>76.59</v>
      </c>
      <c r="Z22" s="40"/>
      <c r="AA22" s="41"/>
      <c r="AB22" s="42"/>
      <c r="AC22" s="43">
        <v>76.56</v>
      </c>
      <c r="AD22" s="43"/>
    </row>
    <row r="23" spans="1:35" ht="24" customHeight="1" x14ac:dyDescent="0.5">
      <c r="A23" s="249" t="s">
        <v>72</v>
      </c>
      <c r="B23" s="246" t="s">
        <v>42</v>
      </c>
      <c r="C23" s="253" t="s">
        <v>41</v>
      </c>
      <c r="D23" s="258" t="s">
        <v>316</v>
      </c>
      <c r="E23" s="28">
        <v>69011447</v>
      </c>
      <c r="F23" s="29">
        <v>690133</v>
      </c>
      <c r="G23" s="45">
        <v>1123</v>
      </c>
      <c r="H23" s="31">
        <v>769</v>
      </c>
      <c r="I23" s="46">
        <v>750</v>
      </c>
      <c r="J23" s="32">
        <v>750</v>
      </c>
      <c r="K23" s="33">
        <f t="shared" si="1"/>
        <v>89.84</v>
      </c>
      <c r="L23" s="47">
        <f t="shared" si="1"/>
        <v>61.52</v>
      </c>
      <c r="M23" s="303">
        <v>1793</v>
      </c>
      <c r="N23" s="318">
        <v>2454</v>
      </c>
      <c r="O23" s="318">
        <v>2454</v>
      </c>
      <c r="P23" s="318">
        <v>723</v>
      </c>
      <c r="Q23" s="35"/>
      <c r="R23" s="48">
        <v>2000</v>
      </c>
      <c r="S23" s="36"/>
      <c r="T23" s="36">
        <v>170.2</v>
      </c>
      <c r="U23" s="37"/>
      <c r="V23" s="38"/>
      <c r="W23" s="39"/>
      <c r="X23" s="39">
        <f>T23*1000/39.37/R23*38.5</f>
        <v>83.219456438912871</v>
      </c>
      <c r="Y23" s="40"/>
      <c r="Z23" s="40">
        <v>85.53</v>
      </c>
      <c r="AA23" s="41"/>
      <c r="AB23" s="42"/>
      <c r="AC23" s="43"/>
      <c r="AD23" s="43">
        <v>87.83</v>
      </c>
    </row>
    <row r="24" spans="1:35" ht="24" customHeight="1" x14ac:dyDescent="0.4">
      <c r="A24" s="249" t="s">
        <v>70</v>
      </c>
      <c r="B24" s="246" t="s">
        <v>42</v>
      </c>
      <c r="C24" s="253" t="s">
        <v>41</v>
      </c>
      <c r="D24" s="256" t="s">
        <v>57</v>
      </c>
      <c r="E24" s="28"/>
      <c r="F24" s="29">
        <v>690104</v>
      </c>
      <c r="G24" s="45">
        <v>981</v>
      </c>
      <c r="H24" s="31">
        <v>722</v>
      </c>
      <c r="I24" s="46">
        <v>750</v>
      </c>
      <c r="J24" s="32">
        <v>750</v>
      </c>
      <c r="K24" s="33">
        <f t="shared" ref="K24" si="6">G24*8/100</f>
        <v>78.48</v>
      </c>
      <c r="L24" s="47">
        <f t="shared" ref="L24" si="7">H24*8/100</f>
        <v>57.76</v>
      </c>
      <c r="M24" s="303">
        <v>1331</v>
      </c>
      <c r="N24" s="318">
        <v>774</v>
      </c>
      <c r="O24" s="318">
        <v>774</v>
      </c>
      <c r="P24" s="318">
        <v>1496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101</v>
      </c>
      <c r="E25" s="259">
        <v>69011452</v>
      </c>
      <c r="F25" s="29">
        <v>690126</v>
      </c>
      <c r="G25" s="45">
        <v>713</v>
      </c>
      <c r="H25" s="31">
        <v>512</v>
      </c>
      <c r="I25" s="46">
        <v>750</v>
      </c>
      <c r="J25" s="32">
        <v>750</v>
      </c>
      <c r="K25" s="33">
        <f t="shared" si="1"/>
        <v>57.04</v>
      </c>
      <c r="L25" s="47">
        <f t="shared" si="1"/>
        <v>40.96</v>
      </c>
      <c r="M25" s="306">
        <v>1752</v>
      </c>
      <c r="N25" s="318">
        <v>465</v>
      </c>
      <c r="O25" s="318">
        <v>465</v>
      </c>
      <c r="P25" s="323">
        <v>977</v>
      </c>
      <c r="Q25" s="35"/>
      <c r="R25" s="48">
        <v>2000</v>
      </c>
      <c r="S25" s="36"/>
      <c r="T25" s="36">
        <v>198.7</v>
      </c>
      <c r="U25" s="37"/>
      <c r="V25" s="38">
        <v>20</v>
      </c>
      <c r="W25" s="39"/>
      <c r="X25" s="39">
        <f>T25*1000/39.37/R25*44.5</f>
        <v>112.29552959105919</v>
      </c>
      <c r="Y25" s="40"/>
      <c r="Z25" s="40"/>
      <c r="AA25" s="41"/>
      <c r="AB25" s="42">
        <v>116.38</v>
      </c>
      <c r="AC25" s="239"/>
      <c r="AD25" s="43">
        <v>120.45</v>
      </c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314</v>
      </c>
      <c r="E26" s="28"/>
      <c r="F26" s="29">
        <v>690119</v>
      </c>
      <c r="G26" s="55">
        <v>716</v>
      </c>
      <c r="H26" s="31">
        <v>804</v>
      </c>
      <c r="I26" s="46">
        <v>800</v>
      </c>
      <c r="J26" s="32">
        <v>800</v>
      </c>
      <c r="K26" s="33">
        <f t="shared" si="1"/>
        <v>57.28</v>
      </c>
      <c r="L26" s="47">
        <f t="shared" si="1"/>
        <v>64.319999999999993</v>
      </c>
      <c r="M26" s="303">
        <v>1056</v>
      </c>
      <c r="N26" s="318">
        <v>554</v>
      </c>
      <c r="O26" s="318">
        <v>554</v>
      </c>
      <c r="P26" s="318">
        <v>1358</v>
      </c>
      <c r="Q26" s="35"/>
      <c r="R26" s="35"/>
      <c r="S26" s="36"/>
      <c r="T26" s="36"/>
      <c r="U26" s="37"/>
      <c r="V26" s="38"/>
      <c r="W26" s="39"/>
      <c r="X26" s="39"/>
      <c r="Y26" s="40"/>
      <c r="Z26" s="40"/>
      <c r="AA26" s="41"/>
      <c r="AB26" s="42"/>
      <c r="AC26" s="43"/>
      <c r="AD26" s="43"/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59</v>
      </c>
      <c r="E27" s="28">
        <v>69011418</v>
      </c>
      <c r="F27" s="29">
        <v>690112</v>
      </c>
      <c r="G27" s="55">
        <v>825</v>
      </c>
      <c r="H27" s="31">
        <v>830</v>
      </c>
      <c r="I27" s="46">
        <v>800</v>
      </c>
      <c r="J27" s="32">
        <v>800</v>
      </c>
      <c r="K27" s="33">
        <f t="shared" si="1"/>
        <v>66</v>
      </c>
      <c r="L27" s="47">
        <f t="shared" si="1"/>
        <v>66.400000000000006</v>
      </c>
      <c r="M27" s="303">
        <v>360</v>
      </c>
      <c r="N27" s="318">
        <v>1185</v>
      </c>
      <c r="O27" s="318">
        <v>1185</v>
      </c>
      <c r="P27" s="318">
        <v>15</v>
      </c>
      <c r="Q27" s="35">
        <v>2000</v>
      </c>
      <c r="R27" s="35"/>
      <c r="S27" s="57">
        <v>156.1</v>
      </c>
      <c r="T27" s="57"/>
      <c r="U27" s="58"/>
      <c r="V27" s="59"/>
      <c r="W27" s="39">
        <f>S27*1000/39.37/Q27*38.5</f>
        <v>76.325247650495299</v>
      </c>
      <c r="X27" s="39"/>
      <c r="Y27" s="40">
        <v>76.989999999999995</v>
      </c>
      <c r="Z27" s="40"/>
      <c r="AA27" s="41"/>
      <c r="AB27" s="42"/>
      <c r="AC27" s="43">
        <v>77.650000000000006</v>
      </c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59</v>
      </c>
      <c r="E28" s="259">
        <v>69011416</v>
      </c>
      <c r="F28" s="29">
        <v>690112</v>
      </c>
      <c r="G28" s="45">
        <v>838</v>
      </c>
      <c r="H28" s="31">
        <v>809</v>
      </c>
      <c r="I28" s="46">
        <v>800</v>
      </c>
      <c r="J28" s="32">
        <v>800</v>
      </c>
      <c r="K28" s="33">
        <f t="shared" si="1"/>
        <v>67.040000000000006</v>
      </c>
      <c r="L28" s="47">
        <f t="shared" si="1"/>
        <v>64.72</v>
      </c>
      <c r="M28" s="303">
        <v>864</v>
      </c>
      <c r="N28" s="318">
        <v>1702</v>
      </c>
      <c r="O28" s="318">
        <v>1702</v>
      </c>
      <c r="P28" s="318">
        <v>511</v>
      </c>
      <c r="Q28" s="35">
        <v>2000</v>
      </c>
      <c r="R28" s="48"/>
      <c r="S28" s="36">
        <v>160.5</v>
      </c>
      <c r="T28" s="36"/>
      <c r="U28" s="37"/>
      <c r="V28" s="38"/>
      <c r="W28" s="39">
        <f>S28*1000/39.37/Q28*38.5</f>
        <v>78.476631953263919</v>
      </c>
      <c r="X28" s="39"/>
      <c r="Y28" s="40">
        <v>78.83</v>
      </c>
      <c r="Z28" s="40"/>
      <c r="AA28" s="41"/>
      <c r="AB28" s="42"/>
      <c r="AC28" s="43">
        <v>79.180000000000007</v>
      </c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146</v>
      </c>
      <c r="E29" s="28">
        <v>69011434</v>
      </c>
      <c r="F29" s="29">
        <v>690119</v>
      </c>
      <c r="G29" s="45">
        <v>807</v>
      </c>
      <c r="H29" s="31">
        <v>875</v>
      </c>
      <c r="I29" s="46">
        <v>800</v>
      </c>
      <c r="J29" s="32">
        <v>800</v>
      </c>
      <c r="K29" s="33">
        <f t="shared" si="1"/>
        <v>64.56</v>
      </c>
      <c r="L29" s="47">
        <f t="shared" si="1"/>
        <v>70</v>
      </c>
      <c r="M29" s="303">
        <v>607</v>
      </c>
      <c r="N29" s="318">
        <v>1414</v>
      </c>
      <c r="O29" s="318">
        <v>1414</v>
      </c>
      <c r="P29" s="318">
        <v>289</v>
      </c>
      <c r="Q29" s="35"/>
      <c r="R29" s="48">
        <v>2000</v>
      </c>
      <c r="S29" s="36"/>
      <c r="T29" s="36">
        <v>152.69999999999999</v>
      </c>
      <c r="U29" s="37"/>
      <c r="V29" s="38">
        <v>20</v>
      </c>
      <c r="W29" s="39"/>
      <c r="X29" s="39">
        <f>T29*1000/39.37/R29*38.5</f>
        <v>74.662814325628659</v>
      </c>
      <c r="Y29" s="40"/>
      <c r="Z29" s="40">
        <f t="shared" ref="Z29:Z30" si="8">(AD29+X29)/2</f>
        <v>75.966407162814335</v>
      </c>
      <c r="AA29" s="41"/>
      <c r="AB29" s="42"/>
      <c r="AC29" s="43"/>
      <c r="AD29" s="43">
        <v>77.27</v>
      </c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140</v>
      </c>
      <c r="E30" s="28">
        <v>69011433</v>
      </c>
      <c r="F30" s="29">
        <v>690108</v>
      </c>
      <c r="G30" s="45">
        <v>837</v>
      </c>
      <c r="H30" s="31">
        <v>1199</v>
      </c>
      <c r="I30" s="46">
        <v>800</v>
      </c>
      <c r="J30" s="32">
        <v>800</v>
      </c>
      <c r="K30" s="33">
        <f t="shared" si="1"/>
        <v>66.959999999999994</v>
      </c>
      <c r="L30" s="47">
        <f t="shared" si="1"/>
        <v>95.92</v>
      </c>
      <c r="M30" s="303">
        <v>149</v>
      </c>
      <c r="N30" s="318">
        <v>986</v>
      </c>
      <c r="O30" s="318">
        <v>986</v>
      </c>
      <c r="P30" s="318">
        <v>185</v>
      </c>
      <c r="Q30" s="35"/>
      <c r="R30" s="35">
        <v>2000</v>
      </c>
      <c r="S30" s="36"/>
      <c r="T30" s="36">
        <v>151.30000000000001</v>
      </c>
      <c r="U30" s="37"/>
      <c r="V30" s="38">
        <v>20</v>
      </c>
      <c r="W30" s="39"/>
      <c r="X30" s="39">
        <f>T30*1000/39.37/R30*38.5</f>
        <v>73.97828295656592</v>
      </c>
      <c r="Y30" s="40"/>
      <c r="Z30" s="40">
        <f t="shared" si="8"/>
        <v>74.664141478282957</v>
      </c>
      <c r="AA30" s="41"/>
      <c r="AB30" s="42"/>
      <c r="AC30" s="43"/>
      <c r="AD30" s="43">
        <v>75.349999999999994</v>
      </c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1"/>
        <v>0</v>
      </c>
      <c r="L31" s="47">
        <f t="shared" si="1"/>
        <v>0</v>
      </c>
      <c r="M31" s="303">
        <v>0</v>
      </c>
      <c r="N31" s="318">
        <v>0</v>
      </c>
      <c r="O31" s="318">
        <v>0</v>
      </c>
      <c r="P31" s="318"/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1"/>
        <v>0</v>
      </c>
      <c r="L32" s="47">
        <f t="shared" si="1"/>
        <v>0</v>
      </c>
      <c r="M32" s="303">
        <v>0</v>
      </c>
      <c r="N32" s="318">
        <v>0</v>
      </c>
      <c r="O32" s="318">
        <v>0</v>
      </c>
      <c r="P32" s="318"/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1"/>
        <v>0</v>
      </c>
      <c r="L33" s="47">
        <f t="shared" si="1"/>
        <v>0</v>
      </c>
      <c r="M33" s="303">
        <v>0</v>
      </c>
      <c r="N33" s="318">
        <v>0</v>
      </c>
      <c r="O33" s="318">
        <v>0</v>
      </c>
      <c r="P33" s="318"/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/>
      <c r="F34" s="29">
        <v>690119</v>
      </c>
      <c r="G34" s="60">
        <v>442</v>
      </c>
      <c r="H34" s="31">
        <v>544</v>
      </c>
      <c r="I34" s="46">
        <v>110</v>
      </c>
      <c r="J34" s="32">
        <v>110</v>
      </c>
      <c r="K34" s="33">
        <f t="shared" si="1"/>
        <v>35.36</v>
      </c>
      <c r="L34" s="47">
        <f t="shared" si="1"/>
        <v>43.52</v>
      </c>
      <c r="M34" s="303">
        <v>455</v>
      </c>
      <c r="N34" s="318">
        <v>897</v>
      </c>
      <c r="O34" s="318">
        <v>897</v>
      </c>
      <c r="P34" s="318">
        <v>1441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733</v>
      </c>
      <c r="H35" s="31">
        <v>887</v>
      </c>
      <c r="I35" s="46">
        <v>110</v>
      </c>
      <c r="J35" s="32">
        <v>110</v>
      </c>
      <c r="K35" s="33">
        <f t="shared" si="1"/>
        <v>58.64</v>
      </c>
      <c r="L35" s="47">
        <f t="shared" si="1"/>
        <v>70.959999999999994</v>
      </c>
      <c r="M35" s="303">
        <v>975</v>
      </c>
      <c r="N35" s="318">
        <v>158</v>
      </c>
      <c r="O35" s="318">
        <v>158</v>
      </c>
      <c r="P35" s="318">
        <v>1045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71</v>
      </c>
      <c r="E36" s="28"/>
      <c r="F36" s="29">
        <v>690106</v>
      </c>
      <c r="G36" s="45">
        <v>0</v>
      </c>
      <c r="H36" s="31">
        <v>0</v>
      </c>
      <c r="I36" s="46">
        <v>115</v>
      </c>
      <c r="J36" s="32">
        <v>115</v>
      </c>
      <c r="K36" s="33">
        <f t="shared" si="1"/>
        <v>0</v>
      </c>
      <c r="L36" s="47">
        <f t="shared" si="1"/>
        <v>0</v>
      </c>
      <c r="M36" s="303">
        <v>551</v>
      </c>
      <c r="N36" s="318">
        <v>551</v>
      </c>
      <c r="O36" s="318">
        <v>551</v>
      </c>
      <c r="P36" s="318">
        <v>551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71</v>
      </c>
      <c r="E37" s="28"/>
      <c r="F37" s="29">
        <v>690106</v>
      </c>
      <c r="G37" s="45">
        <v>0</v>
      </c>
      <c r="H37" s="31">
        <v>0</v>
      </c>
      <c r="I37" s="46">
        <v>115</v>
      </c>
      <c r="J37" s="32">
        <v>115</v>
      </c>
      <c r="K37" s="33">
        <f t="shared" si="1"/>
        <v>0</v>
      </c>
      <c r="L37" s="47">
        <f t="shared" si="1"/>
        <v>0</v>
      </c>
      <c r="M37" s="303">
        <v>21</v>
      </c>
      <c r="N37" s="318">
        <v>21</v>
      </c>
      <c r="O37" s="318">
        <v>21</v>
      </c>
      <c r="P37" s="318">
        <v>21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71</v>
      </c>
      <c r="E38" s="28"/>
      <c r="F38" s="29">
        <v>690106</v>
      </c>
      <c r="G38" s="45">
        <v>0</v>
      </c>
      <c r="H38" s="31">
        <v>0</v>
      </c>
      <c r="I38" s="46">
        <v>115</v>
      </c>
      <c r="J38" s="32">
        <v>115</v>
      </c>
      <c r="K38" s="33">
        <f t="shared" si="1"/>
        <v>0</v>
      </c>
      <c r="L38" s="47">
        <f t="shared" si="1"/>
        <v>0</v>
      </c>
      <c r="M38" s="303">
        <v>31</v>
      </c>
      <c r="N38" s="318">
        <v>31</v>
      </c>
      <c r="O38" s="318">
        <v>31</v>
      </c>
      <c r="P38" s="318">
        <v>31</v>
      </c>
      <c r="Q38" s="35"/>
      <c r="R38" s="35"/>
      <c r="S38" s="31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/>
      <c r="F39" s="29">
        <v>690107</v>
      </c>
      <c r="G39" s="45">
        <v>336</v>
      </c>
      <c r="H39" s="31">
        <v>548</v>
      </c>
      <c r="I39" s="63">
        <v>115</v>
      </c>
      <c r="J39" s="64">
        <v>115</v>
      </c>
      <c r="K39" s="65">
        <f t="shared" ref="K39:L55" si="9">G39*8/100</f>
        <v>26.88</v>
      </c>
      <c r="L39" s="68">
        <f t="shared" si="9"/>
        <v>43.84</v>
      </c>
      <c r="M39" s="303">
        <v>768</v>
      </c>
      <c r="N39" s="318">
        <v>1104</v>
      </c>
      <c r="O39" s="318">
        <v>1104</v>
      </c>
      <c r="P39" s="318">
        <v>548</v>
      </c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43</v>
      </c>
      <c r="E40" s="28"/>
      <c r="F40" s="29">
        <v>690106</v>
      </c>
      <c r="G40" s="45">
        <v>492</v>
      </c>
      <c r="H40" s="31">
        <v>720</v>
      </c>
      <c r="I40" s="63">
        <v>115</v>
      </c>
      <c r="J40" s="64">
        <v>115</v>
      </c>
      <c r="K40" s="65">
        <f t="shared" si="9"/>
        <v>39.36</v>
      </c>
      <c r="L40" s="68">
        <f t="shared" si="9"/>
        <v>57.6</v>
      </c>
      <c r="M40" s="303">
        <v>1720</v>
      </c>
      <c r="N40" s="318">
        <v>2212</v>
      </c>
      <c r="O40" s="318">
        <v>2212</v>
      </c>
      <c r="P40" s="318">
        <v>407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>
        <v>69011427</v>
      </c>
      <c r="F41" s="29">
        <v>690119</v>
      </c>
      <c r="G41" s="45">
        <v>126</v>
      </c>
      <c r="H41" s="31">
        <v>653</v>
      </c>
      <c r="I41" s="46">
        <v>120</v>
      </c>
      <c r="J41" s="32">
        <v>120</v>
      </c>
      <c r="K41" s="33">
        <f t="shared" si="9"/>
        <v>10.08</v>
      </c>
      <c r="L41" s="47">
        <f t="shared" si="9"/>
        <v>52.24</v>
      </c>
      <c r="M41" s="303">
        <v>258</v>
      </c>
      <c r="N41" s="318">
        <v>384</v>
      </c>
      <c r="O41" s="318">
        <v>384</v>
      </c>
      <c r="P41" s="318">
        <v>1037</v>
      </c>
      <c r="Q41" s="35">
        <v>1740</v>
      </c>
      <c r="R41" s="48"/>
      <c r="S41" s="36">
        <v>147.69999999999999</v>
      </c>
      <c r="T41" s="36"/>
      <c r="U41" s="37">
        <v>15</v>
      </c>
      <c r="V41" s="38"/>
      <c r="W41" s="39">
        <f>S41*1000/39.37/Q41*38.5</f>
        <v>83.009263719676866</v>
      </c>
      <c r="X41" s="39"/>
      <c r="Y41" s="40">
        <f t="shared" ref="Y41" si="10">(AC41+W41)/2</f>
        <v>84.834631859838424</v>
      </c>
      <c r="Z41" s="40"/>
      <c r="AA41" s="41"/>
      <c r="AB41" s="42"/>
      <c r="AC41" s="43">
        <v>86.66</v>
      </c>
      <c r="AD41" s="43"/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47</v>
      </c>
      <c r="E42" s="28"/>
      <c r="F42" s="29">
        <v>690119</v>
      </c>
      <c r="G42" s="45">
        <v>0</v>
      </c>
      <c r="H42" s="31">
        <v>126</v>
      </c>
      <c r="I42" s="46">
        <v>120</v>
      </c>
      <c r="J42" s="32">
        <v>120</v>
      </c>
      <c r="K42" s="33">
        <f t="shared" si="9"/>
        <v>0</v>
      </c>
      <c r="L42" s="47">
        <f t="shared" si="9"/>
        <v>10.08</v>
      </c>
      <c r="M42" s="303">
        <v>0</v>
      </c>
      <c r="N42" s="318">
        <v>0</v>
      </c>
      <c r="O42" s="318">
        <v>0</v>
      </c>
      <c r="P42" s="318">
        <v>126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314</v>
      </c>
      <c r="E43" s="28"/>
      <c r="F43" s="29">
        <v>690136</v>
      </c>
      <c r="G43" s="45">
        <v>548</v>
      </c>
      <c r="H43" s="31">
        <v>713</v>
      </c>
      <c r="I43" s="46">
        <v>120</v>
      </c>
      <c r="J43" s="32">
        <v>120</v>
      </c>
      <c r="K43" s="33">
        <f t="shared" si="9"/>
        <v>43.84</v>
      </c>
      <c r="L43" s="47">
        <f t="shared" si="9"/>
        <v>57.04</v>
      </c>
      <c r="M43" s="303">
        <v>1436</v>
      </c>
      <c r="N43" s="318">
        <v>1984</v>
      </c>
      <c r="O43" s="318">
        <v>1984</v>
      </c>
      <c r="P43" s="318">
        <v>197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/>
      <c r="F44" s="29">
        <v>690128</v>
      </c>
      <c r="G44" s="69">
        <v>414</v>
      </c>
      <c r="H44" s="31">
        <v>587</v>
      </c>
      <c r="I44" s="46">
        <v>120</v>
      </c>
      <c r="J44" s="32">
        <v>120</v>
      </c>
      <c r="K44" s="33">
        <f t="shared" si="9"/>
        <v>33.119999999999997</v>
      </c>
      <c r="L44" s="47">
        <f t="shared" si="9"/>
        <v>46.96</v>
      </c>
      <c r="M44" s="303">
        <v>1098</v>
      </c>
      <c r="N44" s="318">
        <v>1512</v>
      </c>
      <c r="O44" s="318">
        <v>1512</v>
      </c>
      <c r="P44" s="318">
        <v>327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314</v>
      </c>
      <c r="E45" s="28"/>
      <c r="F45" s="29">
        <v>690136</v>
      </c>
      <c r="G45" s="45">
        <v>0</v>
      </c>
      <c r="H45" s="31">
        <v>0</v>
      </c>
      <c r="I45" s="63">
        <v>120</v>
      </c>
      <c r="J45" s="64">
        <v>120</v>
      </c>
      <c r="K45" s="65">
        <f t="shared" si="9"/>
        <v>0</v>
      </c>
      <c r="L45" s="68">
        <f t="shared" si="9"/>
        <v>0</v>
      </c>
      <c r="M45" s="308">
        <v>716</v>
      </c>
      <c r="N45" s="320">
        <v>716</v>
      </c>
      <c r="O45" s="320">
        <v>716</v>
      </c>
      <c r="P45" s="320">
        <v>716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/>
      <c r="F46" s="29">
        <v>690128</v>
      </c>
      <c r="G46" s="45">
        <v>0</v>
      </c>
      <c r="H46" s="31">
        <v>0</v>
      </c>
      <c r="I46" s="46">
        <v>650</v>
      </c>
      <c r="J46" s="32">
        <v>650</v>
      </c>
      <c r="K46" s="33">
        <f t="shared" si="9"/>
        <v>0</v>
      </c>
      <c r="L46" s="47">
        <f t="shared" si="9"/>
        <v>0</v>
      </c>
      <c r="M46" s="305">
        <v>1265</v>
      </c>
      <c r="N46" s="321">
        <v>1265</v>
      </c>
      <c r="O46" s="321">
        <v>1265</v>
      </c>
      <c r="P46" s="321">
        <v>1265</v>
      </c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239"/>
      <c r="AD46" s="43"/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59"/>
      <c r="F47" s="29">
        <v>690128</v>
      </c>
      <c r="G47" s="45">
        <v>0</v>
      </c>
      <c r="H47" s="31">
        <v>0</v>
      </c>
      <c r="I47" s="63">
        <v>650</v>
      </c>
      <c r="J47" s="64">
        <v>650</v>
      </c>
      <c r="K47" s="65">
        <f t="shared" si="9"/>
        <v>0</v>
      </c>
      <c r="L47" s="68">
        <f t="shared" si="9"/>
        <v>0</v>
      </c>
      <c r="M47" s="303">
        <v>1062</v>
      </c>
      <c r="N47" s="318">
        <v>1062</v>
      </c>
      <c r="O47" s="318">
        <v>1062</v>
      </c>
      <c r="P47" s="318">
        <v>1062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/>
      <c r="F48" s="29">
        <v>690128</v>
      </c>
      <c r="G48" s="69">
        <v>0</v>
      </c>
      <c r="H48" s="31">
        <v>0</v>
      </c>
      <c r="I48" s="63">
        <v>650</v>
      </c>
      <c r="J48" s="64">
        <v>650</v>
      </c>
      <c r="K48" s="65">
        <f t="shared" si="9"/>
        <v>0</v>
      </c>
      <c r="L48" s="68">
        <f t="shared" si="9"/>
        <v>0</v>
      </c>
      <c r="M48" s="303">
        <v>845</v>
      </c>
      <c r="N48" s="318">
        <v>845</v>
      </c>
      <c r="O48" s="318">
        <v>845</v>
      </c>
      <c r="P48" s="318">
        <v>845</v>
      </c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239"/>
      <c r="AD48" s="43"/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314</v>
      </c>
      <c r="E49" s="28"/>
      <c r="F49" s="29">
        <v>690136</v>
      </c>
      <c r="G49" s="73">
        <v>0</v>
      </c>
      <c r="H49" s="31">
        <v>0</v>
      </c>
      <c r="I49" s="46">
        <v>650</v>
      </c>
      <c r="J49" s="32">
        <v>650</v>
      </c>
      <c r="K49" s="33">
        <f t="shared" si="9"/>
        <v>0</v>
      </c>
      <c r="L49" s="47">
        <f t="shared" si="9"/>
        <v>0</v>
      </c>
      <c r="M49" s="303">
        <v>1180</v>
      </c>
      <c r="N49" s="318">
        <v>1180</v>
      </c>
      <c r="O49" s="318">
        <v>1180</v>
      </c>
      <c r="P49" s="318">
        <v>1180</v>
      </c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314</v>
      </c>
      <c r="E50" s="28"/>
      <c r="F50" s="29">
        <v>690136</v>
      </c>
      <c r="G50" s="74">
        <v>0</v>
      </c>
      <c r="H50" s="31">
        <v>0</v>
      </c>
      <c r="I50" s="46">
        <v>650</v>
      </c>
      <c r="J50" s="32">
        <v>650</v>
      </c>
      <c r="K50" s="33">
        <f t="shared" si="9"/>
        <v>0</v>
      </c>
      <c r="L50" s="47">
        <f t="shared" si="9"/>
        <v>0</v>
      </c>
      <c r="M50" s="309">
        <v>1593</v>
      </c>
      <c r="N50" s="322">
        <v>1593</v>
      </c>
      <c r="O50" s="322">
        <v>1593</v>
      </c>
      <c r="P50" s="322">
        <v>1593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285</v>
      </c>
      <c r="E51" s="28"/>
      <c r="F51" s="29">
        <v>690143</v>
      </c>
      <c r="G51" s="45">
        <v>735</v>
      </c>
      <c r="H51" s="31">
        <v>850</v>
      </c>
      <c r="I51" s="46">
        <v>650</v>
      </c>
      <c r="J51" s="32">
        <v>650</v>
      </c>
      <c r="K51" s="33">
        <f t="shared" si="9"/>
        <v>58.8</v>
      </c>
      <c r="L51" s="47">
        <f t="shared" si="9"/>
        <v>68</v>
      </c>
      <c r="M51" s="310">
        <v>1765</v>
      </c>
      <c r="N51" s="318">
        <v>0</v>
      </c>
      <c r="O51" s="318">
        <v>0</v>
      </c>
      <c r="P51" s="325">
        <v>850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" customHeight="1" x14ac:dyDescent="0.4">
      <c r="A52" s="251" t="s">
        <v>110</v>
      </c>
      <c r="B52" s="246" t="s">
        <v>46</v>
      </c>
      <c r="C52" s="253" t="s">
        <v>45</v>
      </c>
      <c r="D52" s="256" t="s">
        <v>314</v>
      </c>
      <c r="E52" s="28"/>
      <c r="F52" s="29">
        <v>690136</v>
      </c>
      <c r="G52" s="45">
        <v>905</v>
      </c>
      <c r="H52" s="31">
        <v>855</v>
      </c>
      <c r="I52" s="46">
        <v>125</v>
      </c>
      <c r="J52" s="32">
        <v>125</v>
      </c>
      <c r="K52" s="33">
        <f t="shared" si="9"/>
        <v>72.400000000000006</v>
      </c>
      <c r="L52" s="47">
        <f t="shared" si="9"/>
        <v>68.400000000000006</v>
      </c>
      <c r="M52" s="307">
        <v>1270</v>
      </c>
      <c r="N52" s="318">
        <v>2175</v>
      </c>
      <c r="O52" s="318">
        <v>2175</v>
      </c>
      <c r="P52" s="324">
        <v>460</v>
      </c>
      <c r="Q52" s="35"/>
      <c r="R52" s="48"/>
      <c r="S52" s="36"/>
      <c r="T52" s="36"/>
      <c r="U52" s="37"/>
      <c r="V52" s="38"/>
      <c r="W52" s="39"/>
      <c r="X52" s="39"/>
      <c r="Y52" s="40"/>
      <c r="Z52" s="40"/>
      <c r="AA52" s="41"/>
      <c r="AB52" s="42"/>
      <c r="AC52" s="43"/>
      <c r="AD52" s="43"/>
    </row>
    <row r="53" spans="1:35" ht="24" customHeight="1" x14ac:dyDescent="0.4">
      <c r="A53" s="251" t="s">
        <v>111</v>
      </c>
      <c r="B53" s="246" t="s">
        <v>46</v>
      </c>
      <c r="C53" s="253" t="s">
        <v>45</v>
      </c>
      <c r="D53" s="256" t="s">
        <v>285</v>
      </c>
      <c r="E53" s="28">
        <v>69011429</v>
      </c>
      <c r="F53" s="29">
        <v>690143</v>
      </c>
      <c r="G53" s="69">
        <v>1020</v>
      </c>
      <c r="H53" s="31">
        <v>1020</v>
      </c>
      <c r="I53" s="46">
        <v>125</v>
      </c>
      <c r="J53" s="32">
        <v>125</v>
      </c>
      <c r="K53" s="33">
        <f t="shared" si="9"/>
        <v>81.599999999999994</v>
      </c>
      <c r="L53" s="47">
        <f t="shared" si="9"/>
        <v>81.599999999999994</v>
      </c>
      <c r="M53" s="303">
        <v>1460</v>
      </c>
      <c r="N53" s="318">
        <v>2480</v>
      </c>
      <c r="O53" s="318">
        <v>2480</v>
      </c>
      <c r="P53" s="318">
        <v>1000</v>
      </c>
      <c r="Q53" s="35">
        <v>2570</v>
      </c>
      <c r="R53" s="48"/>
      <c r="S53" s="36">
        <v>190.4</v>
      </c>
      <c r="T53" s="36"/>
      <c r="U53" s="37">
        <v>25</v>
      </c>
      <c r="V53" s="38"/>
      <c r="W53" s="39">
        <f>S53*1000/39.37/Q53*35.5</f>
        <v>66.803121933092129</v>
      </c>
      <c r="X53" s="39"/>
      <c r="Y53" s="40">
        <f t="shared" ref="Y53:Y54" si="11">(AC53+W53)/2</f>
        <v>69.10156096654606</v>
      </c>
      <c r="Z53" s="40"/>
      <c r="AA53" s="41"/>
      <c r="AB53" s="42"/>
      <c r="AC53" s="43">
        <v>71.400000000000006</v>
      </c>
      <c r="AD53" s="43"/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47</v>
      </c>
      <c r="E54" s="28">
        <v>69011431</v>
      </c>
      <c r="F54" s="29">
        <v>690106</v>
      </c>
      <c r="G54" s="69">
        <v>825</v>
      </c>
      <c r="H54" s="31">
        <v>810</v>
      </c>
      <c r="I54" s="63">
        <v>125</v>
      </c>
      <c r="J54" s="64">
        <v>125</v>
      </c>
      <c r="K54" s="65">
        <f t="shared" si="9"/>
        <v>66</v>
      </c>
      <c r="L54" s="68">
        <f t="shared" si="9"/>
        <v>64.8</v>
      </c>
      <c r="M54" s="303">
        <v>185</v>
      </c>
      <c r="N54" s="318">
        <v>1010</v>
      </c>
      <c r="O54" s="318">
        <v>1010</v>
      </c>
      <c r="P54" s="318">
        <v>1820</v>
      </c>
      <c r="Q54" s="35">
        <v>2500</v>
      </c>
      <c r="R54" s="48"/>
      <c r="S54" s="36">
        <v>214.3</v>
      </c>
      <c r="T54" s="36"/>
      <c r="U54" s="37">
        <v>25</v>
      </c>
      <c r="V54" s="38"/>
      <c r="W54" s="39">
        <f>S54*1000/39.37/Q54*38.5</f>
        <v>83.825755651511315</v>
      </c>
      <c r="X54" s="39"/>
      <c r="Y54" s="40">
        <f t="shared" si="11"/>
        <v>85.022877825755657</v>
      </c>
      <c r="Z54" s="40"/>
      <c r="AA54" s="41"/>
      <c r="AB54" s="42"/>
      <c r="AC54" s="43">
        <v>86.22</v>
      </c>
      <c r="AD54" s="43"/>
    </row>
    <row r="55" spans="1:35" ht="24" customHeight="1" x14ac:dyDescent="0.4">
      <c r="A55" s="251" t="s">
        <v>113</v>
      </c>
      <c r="B55" s="246" t="s">
        <v>46</v>
      </c>
      <c r="C55" s="253" t="s">
        <v>45</v>
      </c>
      <c r="D55" s="256" t="s">
        <v>314</v>
      </c>
      <c r="E55" s="28"/>
      <c r="F55" s="29">
        <v>690136</v>
      </c>
      <c r="G55" s="45">
        <v>905</v>
      </c>
      <c r="H55" s="31">
        <v>840</v>
      </c>
      <c r="I55" s="46">
        <v>125</v>
      </c>
      <c r="J55" s="32">
        <v>125</v>
      </c>
      <c r="K55" s="33">
        <f t="shared" si="9"/>
        <v>72.400000000000006</v>
      </c>
      <c r="L55" s="47">
        <f t="shared" si="9"/>
        <v>67.2</v>
      </c>
      <c r="M55" s="303">
        <v>1165</v>
      </c>
      <c r="N55" s="318">
        <v>2070</v>
      </c>
      <c r="O55" s="318">
        <v>2070</v>
      </c>
      <c r="P55" s="318">
        <v>410</v>
      </c>
      <c r="Q55" s="35"/>
      <c r="R55" s="48"/>
      <c r="S55" s="36"/>
      <c r="T55" s="36"/>
      <c r="U55" s="37"/>
      <c r="V55" s="38"/>
      <c r="W55" s="39"/>
      <c r="X55" s="39"/>
      <c r="Y55" s="40"/>
      <c r="Z55" s="40"/>
      <c r="AA55" s="41"/>
      <c r="AB55" s="42"/>
      <c r="AC55" s="43"/>
      <c r="AD55" s="43"/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/>
      <c r="F56" s="29">
        <v>690106</v>
      </c>
      <c r="G56" s="45">
        <v>600</v>
      </c>
      <c r="H56" s="31">
        <v>1049</v>
      </c>
      <c r="I56" s="63">
        <v>115</v>
      </c>
      <c r="J56" s="64">
        <v>115</v>
      </c>
      <c r="K56" s="65">
        <v>0</v>
      </c>
      <c r="L56" s="68">
        <v>0</v>
      </c>
      <c r="M56" s="303">
        <v>1053</v>
      </c>
      <c r="N56" s="318">
        <v>1653</v>
      </c>
      <c r="O56" s="318">
        <v>1653</v>
      </c>
      <c r="P56" s="318">
        <v>202</v>
      </c>
      <c r="Q56" s="35"/>
      <c r="R56" s="48"/>
      <c r="S56" s="36"/>
      <c r="T56" s="36"/>
      <c r="U56" s="37"/>
      <c r="V56" s="38"/>
      <c r="W56" s="39"/>
      <c r="X56" s="39"/>
      <c r="Y56" s="40"/>
      <c r="Z56" s="40"/>
      <c r="AA56" s="41"/>
      <c r="AB56" s="41"/>
      <c r="AC56" s="43"/>
      <c r="AD56" s="43"/>
    </row>
    <row r="57" spans="1:35" ht="24" customHeight="1" thickBot="1" x14ac:dyDescent="0.55000000000000004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701</v>
      </c>
      <c r="H57" s="31">
        <v>824</v>
      </c>
      <c r="I57" s="46">
        <v>115</v>
      </c>
      <c r="J57" s="32">
        <v>115</v>
      </c>
      <c r="K57" s="33">
        <f t="shared" ref="K57:L83" si="12">G57*8/100</f>
        <v>56.08</v>
      </c>
      <c r="L57" s="47">
        <f t="shared" si="12"/>
        <v>65.92</v>
      </c>
      <c r="M57" s="308">
        <v>87</v>
      </c>
      <c r="N57" s="318">
        <v>788</v>
      </c>
      <c r="O57" s="318">
        <v>788</v>
      </c>
      <c r="P57" s="320">
        <v>112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297</v>
      </c>
      <c r="E58" s="28"/>
      <c r="F58" s="29">
        <v>690107</v>
      </c>
      <c r="G58" s="45">
        <v>460</v>
      </c>
      <c r="H58" s="31">
        <v>610</v>
      </c>
      <c r="I58" s="46">
        <v>135</v>
      </c>
      <c r="J58" s="32">
        <v>135</v>
      </c>
      <c r="K58" s="33">
        <f t="shared" si="12"/>
        <v>36.799999999999997</v>
      </c>
      <c r="L58" s="47">
        <f t="shared" si="12"/>
        <v>48.8</v>
      </c>
      <c r="M58" s="305">
        <v>1860</v>
      </c>
      <c r="N58" s="318">
        <v>0</v>
      </c>
      <c r="O58" s="318">
        <v>0</v>
      </c>
      <c r="P58" s="321">
        <v>610</v>
      </c>
      <c r="Q58" s="35"/>
      <c r="R58" s="48"/>
      <c r="S58" s="36"/>
      <c r="T58" s="36"/>
      <c r="U58" s="37"/>
      <c r="V58" s="38"/>
      <c r="W58" s="39"/>
      <c r="X58" s="39"/>
      <c r="Y58" s="40"/>
      <c r="Z58" s="40"/>
      <c r="AA58" s="41"/>
      <c r="AB58" s="41"/>
      <c r="AC58" s="43"/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71</v>
      </c>
      <c r="E59" s="28">
        <v>69011411</v>
      </c>
      <c r="F59" s="29">
        <v>690106</v>
      </c>
      <c r="G59" s="45">
        <v>1080</v>
      </c>
      <c r="H59" s="31">
        <v>625</v>
      </c>
      <c r="I59" s="46">
        <v>135</v>
      </c>
      <c r="J59" s="32">
        <v>135</v>
      </c>
      <c r="K59" s="33">
        <f t="shared" si="12"/>
        <v>86.4</v>
      </c>
      <c r="L59" s="47">
        <f t="shared" si="12"/>
        <v>50</v>
      </c>
      <c r="M59" s="303">
        <v>690</v>
      </c>
      <c r="N59" s="318">
        <v>1770</v>
      </c>
      <c r="O59" s="318">
        <v>1770</v>
      </c>
      <c r="P59" s="318">
        <v>2395</v>
      </c>
      <c r="Q59" s="35">
        <v>2320</v>
      </c>
      <c r="R59" s="48"/>
      <c r="S59" s="36">
        <v>160.6</v>
      </c>
      <c r="T59" s="36"/>
      <c r="U59" s="37">
        <v>25</v>
      </c>
      <c r="V59" s="38"/>
      <c r="W59" s="39">
        <f>S59*1000/39.37/Q59*31.5</f>
        <v>55.386343531307752</v>
      </c>
      <c r="X59" s="39"/>
      <c r="Y59" s="40">
        <f t="shared" ref="Y59:Y60" si="13">(AC59+W59)/2</f>
        <v>58.018171765653875</v>
      </c>
      <c r="Z59" s="40"/>
      <c r="AA59" s="41"/>
      <c r="AB59" s="42"/>
      <c r="AC59" s="43">
        <v>60.65</v>
      </c>
      <c r="AD59" s="43"/>
      <c r="AI59" s="75"/>
    </row>
    <row r="60" spans="1:35" ht="26.25" customHeight="1" x14ac:dyDescent="0.4">
      <c r="A60" s="251" t="s">
        <v>123</v>
      </c>
      <c r="B60" s="246" t="s">
        <v>121</v>
      </c>
      <c r="C60" s="253" t="s">
        <v>120</v>
      </c>
      <c r="D60" s="256" t="s">
        <v>71</v>
      </c>
      <c r="E60" s="28">
        <v>69011410</v>
      </c>
      <c r="F60" s="29">
        <v>690106</v>
      </c>
      <c r="G60" s="45">
        <v>993</v>
      </c>
      <c r="H60" s="31">
        <v>622</v>
      </c>
      <c r="I60" s="46">
        <v>135</v>
      </c>
      <c r="J60" s="64">
        <v>135</v>
      </c>
      <c r="K60" s="65">
        <f t="shared" si="12"/>
        <v>79.44</v>
      </c>
      <c r="L60" s="68">
        <f t="shared" si="12"/>
        <v>49.76</v>
      </c>
      <c r="M60" s="303">
        <v>757</v>
      </c>
      <c r="N60" s="318">
        <v>1750</v>
      </c>
      <c r="O60" s="318">
        <v>1750</v>
      </c>
      <c r="P60" s="318">
        <v>2372</v>
      </c>
      <c r="Q60" s="35">
        <v>2362</v>
      </c>
      <c r="R60" s="48"/>
      <c r="S60" s="36">
        <v>166.8</v>
      </c>
      <c r="T60" s="36"/>
      <c r="U60" s="37">
        <v>25</v>
      </c>
      <c r="V60" s="38"/>
      <c r="W60" s="39">
        <f>S60*1000/39.37/Q60*31.5</f>
        <v>56.501671005035497</v>
      </c>
      <c r="X60" s="39"/>
      <c r="Y60" s="40">
        <f t="shared" si="13"/>
        <v>56.655835502517746</v>
      </c>
      <c r="Z60" s="40"/>
      <c r="AA60" s="41"/>
      <c r="AB60" s="42"/>
      <c r="AC60" s="43">
        <v>56.81</v>
      </c>
      <c r="AD60" s="43"/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94</v>
      </c>
      <c r="E61" s="28">
        <v>69011448</v>
      </c>
      <c r="F61" s="29">
        <v>690136</v>
      </c>
      <c r="G61" s="45">
        <v>983</v>
      </c>
      <c r="H61" s="31">
        <v>525</v>
      </c>
      <c r="I61" s="46">
        <v>135</v>
      </c>
      <c r="J61" s="64">
        <v>135</v>
      </c>
      <c r="K61" s="65">
        <f t="shared" si="12"/>
        <v>78.64</v>
      </c>
      <c r="L61" s="68">
        <f t="shared" si="12"/>
        <v>42</v>
      </c>
      <c r="M61" s="303">
        <v>1947</v>
      </c>
      <c r="N61" s="318">
        <v>830</v>
      </c>
      <c r="O61" s="318">
        <v>830</v>
      </c>
      <c r="P61" s="318">
        <v>1355</v>
      </c>
      <c r="Q61" s="35"/>
      <c r="R61" s="48">
        <v>2103</v>
      </c>
      <c r="S61" s="36"/>
      <c r="T61" s="36">
        <v>151.6</v>
      </c>
      <c r="U61" s="37"/>
      <c r="V61" s="38">
        <v>20</v>
      </c>
      <c r="W61" s="39"/>
      <c r="X61" s="39">
        <f>T61*1000/39.37/R61*38.5</f>
        <v>70.494501426473136</v>
      </c>
      <c r="Y61" s="40"/>
      <c r="Z61" s="40">
        <v>71.25</v>
      </c>
      <c r="AA61" s="41"/>
      <c r="AB61" s="42"/>
      <c r="AC61" s="43"/>
      <c r="AD61" s="43">
        <v>72.010000000000005</v>
      </c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94</v>
      </c>
      <c r="E62" s="28">
        <v>69011450</v>
      </c>
      <c r="F62" s="29">
        <v>690108</v>
      </c>
      <c r="G62" s="45">
        <v>1088</v>
      </c>
      <c r="H62" s="31">
        <v>521</v>
      </c>
      <c r="I62" s="46">
        <v>135</v>
      </c>
      <c r="J62" s="32">
        <v>135</v>
      </c>
      <c r="K62" s="33">
        <f t="shared" si="12"/>
        <v>87.04</v>
      </c>
      <c r="L62" s="47">
        <f t="shared" si="12"/>
        <v>41.68</v>
      </c>
      <c r="M62" s="306">
        <v>1941</v>
      </c>
      <c r="N62" s="318">
        <v>809</v>
      </c>
      <c r="O62" s="318">
        <v>809</v>
      </c>
      <c r="P62" s="323">
        <v>1330</v>
      </c>
      <c r="Q62" s="35"/>
      <c r="R62" s="48">
        <v>2230</v>
      </c>
      <c r="S62" s="36"/>
      <c r="T62" s="36">
        <v>161.30000000000001</v>
      </c>
      <c r="U62" s="37"/>
      <c r="V62" s="38">
        <v>20</v>
      </c>
      <c r="W62" s="39"/>
      <c r="X62" s="39">
        <f>T62*1000/39.37/R62*38.5</f>
        <v>70.733446399628235</v>
      </c>
      <c r="Y62" s="40"/>
      <c r="Z62" s="40">
        <v>72.16</v>
      </c>
      <c r="AA62" s="41"/>
      <c r="AB62" s="42"/>
      <c r="AC62" s="43"/>
      <c r="AD62" s="43">
        <v>73.58</v>
      </c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71</v>
      </c>
      <c r="E63" s="28">
        <v>69011412</v>
      </c>
      <c r="F63" s="29">
        <v>690106</v>
      </c>
      <c r="G63" s="45">
        <v>750</v>
      </c>
      <c r="H63" s="31">
        <v>1080</v>
      </c>
      <c r="I63" s="46">
        <v>135</v>
      </c>
      <c r="J63" s="64">
        <v>135</v>
      </c>
      <c r="K63" s="65">
        <f t="shared" si="12"/>
        <v>60</v>
      </c>
      <c r="L63" s="68">
        <f t="shared" si="12"/>
        <v>86.4</v>
      </c>
      <c r="M63" s="303">
        <v>370</v>
      </c>
      <c r="N63" s="318">
        <v>1120</v>
      </c>
      <c r="O63" s="318">
        <v>1120</v>
      </c>
      <c r="P63" s="318">
        <v>2200</v>
      </c>
      <c r="Q63" s="35">
        <v>2550</v>
      </c>
      <c r="R63" s="48"/>
      <c r="S63" s="36">
        <v>181.3</v>
      </c>
      <c r="T63" s="36"/>
      <c r="U63" s="37">
        <v>25</v>
      </c>
      <c r="V63" s="38"/>
      <c r="W63" s="39">
        <f>S63*1000/39.37/Q63*31.5</f>
        <v>56.885654947780488</v>
      </c>
      <c r="X63" s="39"/>
      <c r="Y63" s="40">
        <f t="shared" ref="Y63:Y64" si="14">(AC63+W63)/2</f>
        <v>57.552827473890247</v>
      </c>
      <c r="Z63" s="40"/>
      <c r="AA63" s="41"/>
      <c r="AB63" s="42"/>
      <c r="AC63" s="43">
        <v>58.22</v>
      </c>
      <c r="AD63" s="43"/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71</v>
      </c>
      <c r="E64" s="28">
        <v>69011409</v>
      </c>
      <c r="F64" s="29">
        <v>690106</v>
      </c>
      <c r="G64" s="45">
        <v>920</v>
      </c>
      <c r="H64" s="31">
        <v>1070</v>
      </c>
      <c r="I64" s="46">
        <v>135</v>
      </c>
      <c r="J64" s="64">
        <v>135</v>
      </c>
      <c r="K64" s="65">
        <f t="shared" si="12"/>
        <v>73.599999999999994</v>
      </c>
      <c r="L64" s="76">
        <f t="shared" si="12"/>
        <v>85.6</v>
      </c>
      <c r="M64" s="303">
        <v>330</v>
      </c>
      <c r="N64" s="318">
        <v>1250</v>
      </c>
      <c r="O64" s="318">
        <v>1250</v>
      </c>
      <c r="P64" s="318">
        <v>2320</v>
      </c>
      <c r="Q64" s="35">
        <v>2550</v>
      </c>
      <c r="R64" s="48"/>
      <c r="S64" s="36">
        <v>175.5</v>
      </c>
      <c r="T64" s="36"/>
      <c r="U64" s="37">
        <v>25</v>
      </c>
      <c r="V64" s="38"/>
      <c r="W64" s="39">
        <f>S64*1000/39.37/Q64*31.5</f>
        <v>55.065816013984978</v>
      </c>
      <c r="X64" s="39"/>
      <c r="Y64" s="40">
        <f t="shared" si="14"/>
        <v>56.107908006992488</v>
      </c>
      <c r="Z64" s="40"/>
      <c r="AA64" s="41"/>
      <c r="AB64" s="42"/>
      <c r="AC64" s="43">
        <v>57.15</v>
      </c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71</v>
      </c>
      <c r="E65" s="28">
        <v>69011449</v>
      </c>
      <c r="F65" s="29">
        <v>690106</v>
      </c>
      <c r="G65" s="69">
        <v>870</v>
      </c>
      <c r="H65" s="31">
        <v>1050</v>
      </c>
      <c r="I65" s="46">
        <v>135</v>
      </c>
      <c r="J65" s="32">
        <v>135</v>
      </c>
      <c r="K65" s="33">
        <f t="shared" si="12"/>
        <v>69.599999999999994</v>
      </c>
      <c r="L65" s="47">
        <f t="shared" si="12"/>
        <v>84</v>
      </c>
      <c r="M65" s="303">
        <v>1860</v>
      </c>
      <c r="N65" s="318">
        <v>630</v>
      </c>
      <c r="O65" s="318">
        <v>630</v>
      </c>
      <c r="P65" s="318">
        <v>1680</v>
      </c>
      <c r="Q65" s="35"/>
      <c r="R65" s="48">
        <v>2100</v>
      </c>
      <c r="S65" s="36"/>
      <c r="T65" s="36">
        <v>146.6</v>
      </c>
      <c r="U65" s="37"/>
      <c r="V65" s="38"/>
      <c r="W65" s="39"/>
      <c r="X65" s="39">
        <f>T65*1000/39.37/R65*31.5</f>
        <v>55.85471170942342</v>
      </c>
      <c r="Y65" s="40"/>
      <c r="Z65" s="40">
        <v>56.7</v>
      </c>
      <c r="AA65" s="41"/>
      <c r="AB65" s="42"/>
      <c r="AC65" s="43"/>
      <c r="AD65" s="43">
        <v>57.55</v>
      </c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910</v>
      </c>
      <c r="H66" s="31">
        <v>1080</v>
      </c>
      <c r="I66" s="46">
        <v>135</v>
      </c>
      <c r="J66" s="32">
        <v>135</v>
      </c>
      <c r="K66" s="33">
        <f t="shared" si="12"/>
        <v>72.8</v>
      </c>
      <c r="L66" s="47">
        <f t="shared" si="12"/>
        <v>86.4</v>
      </c>
      <c r="M66" s="303">
        <v>610</v>
      </c>
      <c r="N66" s="318">
        <v>0</v>
      </c>
      <c r="O66" s="318">
        <v>0</v>
      </c>
      <c r="P66" s="318">
        <v>1080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>
        <v>69011424</v>
      </c>
      <c r="F67" s="29">
        <v>690128</v>
      </c>
      <c r="G67" s="45">
        <v>640</v>
      </c>
      <c r="H67" s="31">
        <v>820</v>
      </c>
      <c r="I67" s="46">
        <v>135</v>
      </c>
      <c r="J67" s="32">
        <v>135</v>
      </c>
      <c r="K67" s="33">
        <f t="shared" si="12"/>
        <v>51.2</v>
      </c>
      <c r="L67" s="47">
        <f t="shared" si="12"/>
        <v>65.599999999999994</v>
      </c>
      <c r="M67" s="303">
        <v>210</v>
      </c>
      <c r="N67" s="318">
        <v>850</v>
      </c>
      <c r="O67" s="318">
        <v>850</v>
      </c>
      <c r="P67" s="318">
        <v>0</v>
      </c>
      <c r="Q67" s="35">
        <v>1600</v>
      </c>
      <c r="R67" s="48"/>
      <c r="S67" s="36">
        <v>179.1</v>
      </c>
      <c r="T67" s="36"/>
      <c r="U67" s="37">
        <v>15</v>
      </c>
      <c r="V67" s="38"/>
      <c r="W67" s="39">
        <f>S67*1000/39.37/Q67*42.5</f>
        <v>120.83677292354585</v>
      </c>
      <c r="X67" s="39"/>
      <c r="Y67" s="40">
        <f t="shared" ref="Y67:Y68" si="15">(AC67+W67)/2</f>
        <v>122.49338646177293</v>
      </c>
      <c r="Z67" s="40"/>
      <c r="AA67" s="41"/>
      <c r="AB67" s="235"/>
      <c r="AC67" s="239">
        <v>124.15</v>
      </c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47</v>
      </c>
      <c r="E68" s="28">
        <v>69011422</v>
      </c>
      <c r="F68" s="29">
        <v>690119</v>
      </c>
      <c r="G68" s="69">
        <v>809</v>
      </c>
      <c r="H68" s="31">
        <v>862</v>
      </c>
      <c r="I68" s="46">
        <v>130</v>
      </c>
      <c r="J68" s="32">
        <v>130</v>
      </c>
      <c r="K68" s="33">
        <f t="shared" si="12"/>
        <v>64.72</v>
      </c>
      <c r="L68" s="47">
        <f t="shared" si="12"/>
        <v>68.959999999999994</v>
      </c>
      <c r="M68" s="303">
        <v>700</v>
      </c>
      <c r="N68" s="318">
        <v>1509</v>
      </c>
      <c r="O68" s="318">
        <v>1509</v>
      </c>
      <c r="P68" s="318">
        <v>2371</v>
      </c>
      <c r="Q68" s="35">
        <v>940</v>
      </c>
      <c r="R68" s="48"/>
      <c r="S68" s="36">
        <v>77.3</v>
      </c>
      <c r="T68" s="36"/>
      <c r="U68" s="37">
        <v>10</v>
      </c>
      <c r="V68" s="38"/>
      <c r="W68" s="39">
        <f>S68*1000/39.37/Q68*38.5</f>
        <v>80.416831046428058</v>
      </c>
      <c r="X68" s="39"/>
      <c r="Y68" s="40">
        <f t="shared" si="15"/>
        <v>81.228415523214039</v>
      </c>
      <c r="Z68" s="40"/>
      <c r="AA68" s="41"/>
      <c r="AB68" s="42"/>
      <c r="AC68" s="43">
        <v>82.04</v>
      </c>
      <c r="AD68" s="43"/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140</v>
      </c>
      <c r="E69" s="28">
        <v>69011436</v>
      </c>
      <c r="F69" s="29">
        <v>690119</v>
      </c>
      <c r="G69" s="69">
        <v>1176</v>
      </c>
      <c r="H69" s="31">
        <v>774</v>
      </c>
      <c r="I69" s="46">
        <v>780</v>
      </c>
      <c r="J69" s="32">
        <v>780</v>
      </c>
      <c r="K69" s="33">
        <f t="shared" si="12"/>
        <v>94.08</v>
      </c>
      <c r="L69" s="47">
        <f t="shared" si="12"/>
        <v>61.92</v>
      </c>
      <c r="M69" s="303">
        <v>23</v>
      </c>
      <c r="N69" s="318">
        <v>1199</v>
      </c>
      <c r="O69" s="318">
        <v>1199</v>
      </c>
      <c r="P69" s="318">
        <v>1973</v>
      </c>
      <c r="Q69" s="35"/>
      <c r="R69" s="48">
        <v>2000</v>
      </c>
      <c r="S69" s="36"/>
      <c r="T69" s="36">
        <v>151</v>
      </c>
      <c r="U69" s="37"/>
      <c r="V69" s="38">
        <v>20</v>
      </c>
      <c r="W69" s="39"/>
      <c r="X69" s="39">
        <f>T69*1000/39.37/R69*38.5</f>
        <v>73.831597663195339</v>
      </c>
      <c r="Y69" s="40"/>
      <c r="Z69" s="40">
        <f t="shared" ref="Z69" si="16">(AD69+X69)/2</f>
        <v>75.105798831597667</v>
      </c>
      <c r="AA69" s="41"/>
      <c r="AB69" s="42"/>
      <c r="AC69" s="43"/>
      <c r="AD69" s="43">
        <v>76.38</v>
      </c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71</v>
      </c>
      <c r="E70" s="28">
        <v>69011413</v>
      </c>
      <c r="F70" s="29">
        <v>690119</v>
      </c>
      <c r="G70" s="45">
        <v>951</v>
      </c>
      <c r="H70" s="31">
        <v>702</v>
      </c>
      <c r="I70" s="46">
        <v>780</v>
      </c>
      <c r="J70" s="32">
        <v>780</v>
      </c>
      <c r="K70" s="33">
        <f t="shared" si="12"/>
        <v>76.08</v>
      </c>
      <c r="L70" s="47">
        <f t="shared" si="12"/>
        <v>56.16</v>
      </c>
      <c r="M70" s="308">
        <v>525</v>
      </c>
      <c r="N70" s="320">
        <v>1476</v>
      </c>
      <c r="O70" s="320">
        <v>1476</v>
      </c>
      <c r="P70" s="320">
        <v>2178</v>
      </c>
      <c r="Q70" s="35">
        <v>2500</v>
      </c>
      <c r="R70" s="48"/>
      <c r="S70" s="36">
        <v>180.8</v>
      </c>
      <c r="T70" s="36"/>
      <c r="U70" s="37">
        <v>25</v>
      </c>
      <c r="V70" s="38"/>
      <c r="W70" s="39">
        <f>S70*1000/39.37/Q70*31.5</f>
        <v>57.863347726695459</v>
      </c>
      <c r="X70" s="39"/>
      <c r="Y70" s="40">
        <f t="shared" ref="Y70:Y71" si="17">(AC70+W70)/2</f>
        <v>56.861673863347733</v>
      </c>
      <c r="Z70" s="40"/>
      <c r="AA70" s="41"/>
      <c r="AB70" s="42"/>
      <c r="AC70" s="43">
        <v>55.86</v>
      </c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71</v>
      </c>
      <c r="E71" s="28">
        <v>69011414</v>
      </c>
      <c r="F71" s="29">
        <v>690106</v>
      </c>
      <c r="G71" s="45">
        <v>1044</v>
      </c>
      <c r="H71" s="31">
        <v>718</v>
      </c>
      <c r="I71" s="46">
        <v>780</v>
      </c>
      <c r="J71" s="32">
        <v>780</v>
      </c>
      <c r="K71" s="33">
        <f t="shared" si="12"/>
        <v>83.52</v>
      </c>
      <c r="L71" s="47">
        <f t="shared" si="12"/>
        <v>57.44</v>
      </c>
      <c r="M71" s="305">
        <v>866</v>
      </c>
      <c r="N71" s="321">
        <v>1910</v>
      </c>
      <c r="O71" s="321">
        <v>1910</v>
      </c>
      <c r="P71" s="321">
        <v>128</v>
      </c>
      <c r="Q71" s="35">
        <v>2333</v>
      </c>
      <c r="R71" s="48"/>
      <c r="S71" s="36">
        <v>165</v>
      </c>
      <c r="T71" s="36"/>
      <c r="U71" s="37">
        <v>25</v>
      </c>
      <c r="V71" s="38"/>
      <c r="W71" s="39">
        <f>S71*1000/39.37/Q71*31.5</f>
        <v>56.586696971079334</v>
      </c>
      <c r="X71" s="39"/>
      <c r="Y71" s="40">
        <f t="shared" si="17"/>
        <v>56.803348485539672</v>
      </c>
      <c r="Z71" s="40"/>
      <c r="AA71" s="41"/>
      <c r="AB71" s="42"/>
      <c r="AC71" s="43">
        <v>57.02</v>
      </c>
      <c r="AD71" s="43"/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304</v>
      </c>
      <c r="E72" s="28">
        <v>69011415</v>
      </c>
      <c r="F72" s="29">
        <v>690104</v>
      </c>
      <c r="G72" s="77">
        <v>800</v>
      </c>
      <c r="H72" s="31">
        <v>636</v>
      </c>
      <c r="I72" s="63">
        <v>780</v>
      </c>
      <c r="J72" s="64">
        <v>780</v>
      </c>
      <c r="K72" s="65">
        <f t="shared" si="12"/>
        <v>64</v>
      </c>
      <c r="L72" s="47">
        <f t="shared" si="12"/>
        <v>50.88</v>
      </c>
      <c r="M72" s="303">
        <v>1243</v>
      </c>
      <c r="N72" s="318">
        <v>191</v>
      </c>
      <c r="O72" s="318">
        <v>191</v>
      </c>
      <c r="P72" s="318">
        <v>827</v>
      </c>
      <c r="Q72" s="35">
        <v>2000</v>
      </c>
      <c r="R72" s="48"/>
      <c r="S72" s="36">
        <v>143.69999999999999</v>
      </c>
      <c r="T72" s="36"/>
      <c r="U72" s="37"/>
      <c r="V72" s="38"/>
      <c r="W72" s="39">
        <f>S72*1000/39.37/Q72*31.5</f>
        <v>57.487299974599949</v>
      </c>
      <c r="X72" s="39"/>
      <c r="Y72" s="40">
        <v>58.1</v>
      </c>
      <c r="Z72" s="40"/>
      <c r="AA72" s="41"/>
      <c r="AB72" s="42"/>
      <c r="AC72" s="43">
        <v>58.71</v>
      </c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314</v>
      </c>
      <c r="E73" s="28"/>
      <c r="F73" s="29">
        <v>690136</v>
      </c>
      <c r="G73" s="78">
        <v>815</v>
      </c>
      <c r="H73" s="31">
        <v>612</v>
      </c>
      <c r="I73" s="63">
        <v>780</v>
      </c>
      <c r="J73" s="64">
        <v>780</v>
      </c>
      <c r="K73" s="65">
        <f t="shared" si="12"/>
        <v>65.2</v>
      </c>
      <c r="L73" s="47">
        <f t="shared" si="12"/>
        <v>48.96</v>
      </c>
      <c r="M73" s="303">
        <v>2346</v>
      </c>
      <c r="N73" s="318">
        <v>661</v>
      </c>
      <c r="O73" s="318">
        <v>661</v>
      </c>
      <c r="P73" s="318">
        <v>1273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x14ac:dyDescent="0.4">
      <c r="A74" s="249" t="s">
        <v>136</v>
      </c>
      <c r="B74" s="246" t="s">
        <v>64</v>
      </c>
      <c r="C74" s="253" t="s">
        <v>34</v>
      </c>
      <c r="D74" s="256" t="s">
        <v>286</v>
      </c>
      <c r="E74" s="28">
        <v>69011445</v>
      </c>
      <c r="F74" s="29">
        <v>690136</v>
      </c>
      <c r="G74" s="78">
        <v>0</v>
      </c>
      <c r="H74" s="31">
        <v>0</v>
      </c>
      <c r="I74" s="63">
        <v>780</v>
      </c>
      <c r="J74" s="64">
        <v>780</v>
      </c>
      <c r="K74" s="65">
        <f t="shared" ref="K74" si="18">G74*8/100</f>
        <v>0</v>
      </c>
      <c r="L74" s="47">
        <f t="shared" ref="L74" si="19">H74*8/100</f>
        <v>0</v>
      </c>
      <c r="M74" s="303">
        <v>2346</v>
      </c>
      <c r="N74" s="318">
        <v>173</v>
      </c>
      <c r="O74" s="318">
        <v>173</v>
      </c>
      <c r="P74" s="318">
        <v>173</v>
      </c>
      <c r="Q74" s="35"/>
      <c r="R74" s="48">
        <v>1852</v>
      </c>
      <c r="S74" s="36"/>
      <c r="T74" s="36">
        <v>132.5</v>
      </c>
      <c r="U74" s="37"/>
      <c r="V74" s="38"/>
      <c r="W74" s="39"/>
      <c r="X74" s="39">
        <f>T74*1000/39.37/R74*31.5</f>
        <v>57.242690079332647</v>
      </c>
      <c r="Y74" s="40"/>
      <c r="Z74" s="40">
        <v>57.56</v>
      </c>
      <c r="AA74" s="41"/>
      <c r="AB74" s="42"/>
      <c r="AC74" s="43"/>
      <c r="AD74" s="43">
        <v>57.87</v>
      </c>
    </row>
    <row r="75" spans="1:30" ht="24" customHeight="1" x14ac:dyDescent="0.4">
      <c r="A75" s="249" t="s">
        <v>138</v>
      </c>
      <c r="B75" s="246" t="s">
        <v>76</v>
      </c>
      <c r="C75" s="253" t="s">
        <v>34</v>
      </c>
      <c r="D75" s="256" t="s">
        <v>47</v>
      </c>
      <c r="E75" s="28">
        <v>69011430</v>
      </c>
      <c r="F75" s="29">
        <v>690107</v>
      </c>
      <c r="G75" s="79">
        <v>1093</v>
      </c>
      <c r="H75" s="31">
        <v>1132</v>
      </c>
      <c r="I75" s="63">
        <v>780</v>
      </c>
      <c r="J75" s="64">
        <v>780</v>
      </c>
      <c r="K75" s="65">
        <f t="shared" si="12"/>
        <v>87.44</v>
      </c>
      <c r="L75" s="68">
        <f t="shared" si="12"/>
        <v>90.56</v>
      </c>
      <c r="M75" s="303">
        <v>173</v>
      </c>
      <c r="N75" s="318">
        <v>1242</v>
      </c>
      <c r="O75" s="318">
        <v>1242</v>
      </c>
      <c r="P75" s="318">
        <v>374</v>
      </c>
      <c r="Q75" s="35">
        <v>2460</v>
      </c>
      <c r="R75" s="48"/>
      <c r="S75" s="36">
        <v>202</v>
      </c>
      <c r="T75" s="36"/>
      <c r="U75" s="37">
        <v>25</v>
      </c>
      <c r="V75" s="38"/>
      <c r="W75" s="39">
        <f>S75*1000/39.37/Q75*38.5</f>
        <v>80.299266289589497</v>
      </c>
      <c r="X75" s="39"/>
      <c r="Y75" s="40">
        <f t="shared" ref="Y75" si="20">(AC75+W75)/2</f>
        <v>81.244633144794747</v>
      </c>
      <c r="Z75" s="40"/>
      <c r="AA75" s="41"/>
      <c r="AB75" s="42"/>
      <c r="AC75" s="43">
        <v>82.19</v>
      </c>
      <c r="AD75" s="43"/>
    </row>
    <row r="76" spans="1:30" ht="31.5" x14ac:dyDescent="0.4">
      <c r="A76" s="249" t="s">
        <v>139</v>
      </c>
      <c r="B76" s="246" t="s">
        <v>85</v>
      </c>
      <c r="C76" s="253" t="s">
        <v>234</v>
      </c>
      <c r="D76" s="256" t="s">
        <v>146</v>
      </c>
      <c r="E76" s="28">
        <v>69011407</v>
      </c>
      <c r="F76" s="29">
        <v>690109</v>
      </c>
      <c r="G76" s="80">
        <v>1018</v>
      </c>
      <c r="H76" s="31">
        <v>1152</v>
      </c>
      <c r="I76" s="46">
        <v>800</v>
      </c>
      <c r="J76" s="32">
        <v>800</v>
      </c>
      <c r="K76" s="33">
        <f t="shared" si="12"/>
        <v>81.44</v>
      </c>
      <c r="L76" s="47">
        <f t="shared" si="12"/>
        <v>92.16</v>
      </c>
      <c r="M76" s="303">
        <v>149</v>
      </c>
      <c r="N76" s="318">
        <v>1583</v>
      </c>
      <c r="O76" s="318">
        <v>1583</v>
      </c>
      <c r="P76" s="318">
        <v>735</v>
      </c>
      <c r="Q76" s="48">
        <v>800</v>
      </c>
      <c r="R76" s="48"/>
      <c r="S76" s="317">
        <v>59.4</v>
      </c>
      <c r="T76" s="36"/>
      <c r="U76" s="37"/>
      <c r="V76" s="38"/>
      <c r="W76" s="39">
        <f>S76*1000/39.37/Q76*38.5</f>
        <v>72.609220218440441</v>
      </c>
      <c r="X76" s="39"/>
      <c r="Y76" s="40">
        <f t="shared" ref="Y76:Y77" si="21">(AC76+W76)/2</f>
        <v>74.559610109220216</v>
      </c>
      <c r="Z76" s="40"/>
      <c r="AA76" s="41"/>
      <c r="AB76" s="42"/>
      <c r="AC76" s="43">
        <v>76.510000000000005</v>
      </c>
      <c r="AD76" s="43"/>
    </row>
    <row r="77" spans="1:30" ht="24" customHeight="1" x14ac:dyDescent="0.4">
      <c r="A77" s="249" t="s">
        <v>141</v>
      </c>
      <c r="B77" s="246" t="s">
        <v>85</v>
      </c>
      <c r="C77" s="253" t="s">
        <v>234</v>
      </c>
      <c r="D77" s="256" t="s">
        <v>140</v>
      </c>
      <c r="E77" s="28">
        <v>69011406</v>
      </c>
      <c r="F77" s="29">
        <v>690109</v>
      </c>
      <c r="G77" s="45">
        <v>1037</v>
      </c>
      <c r="H77" s="31">
        <v>1225</v>
      </c>
      <c r="I77" s="46">
        <v>800</v>
      </c>
      <c r="J77" s="32">
        <v>800</v>
      </c>
      <c r="K77" s="33">
        <f t="shared" si="12"/>
        <v>82.96</v>
      </c>
      <c r="L77" s="47">
        <f t="shared" si="12"/>
        <v>98</v>
      </c>
      <c r="M77" s="303">
        <v>565</v>
      </c>
      <c r="N77" s="318">
        <v>430</v>
      </c>
      <c r="O77" s="318">
        <v>430</v>
      </c>
      <c r="P77" s="318">
        <v>1655</v>
      </c>
      <c r="Q77" s="35">
        <v>2000</v>
      </c>
      <c r="R77" s="48"/>
      <c r="S77" s="36">
        <v>152.6</v>
      </c>
      <c r="T77" s="36"/>
      <c r="U77" s="37"/>
      <c r="V77" s="38"/>
      <c r="W77" s="39">
        <f>S77*1000/39.37/Q77*38.5</f>
        <v>74.613919227838466</v>
      </c>
      <c r="X77" s="39"/>
      <c r="Y77" s="40">
        <f t="shared" si="21"/>
        <v>75.616959613919235</v>
      </c>
      <c r="Z77" s="40"/>
      <c r="AA77" s="41"/>
      <c r="AB77" s="42"/>
      <c r="AC77" s="43">
        <v>76.62</v>
      </c>
      <c r="AD77" s="43"/>
    </row>
    <row r="78" spans="1:30" ht="24" customHeight="1" x14ac:dyDescent="0.4">
      <c r="A78" s="249" t="s">
        <v>142</v>
      </c>
      <c r="B78" s="246" t="s">
        <v>85</v>
      </c>
      <c r="C78" s="253" t="s">
        <v>234</v>
      </c>
      <c r="D78" s="256" t="s">
        <v>140</v>
      </c>
      <c r="E78" s="28">
        <v>69011443</v>
      </c>
      <c r="F78" s="29">
        <v>690109</v>
      </c>
      <c r="G78" s="45">
        <v>1216</v>
      </c>
      <c r="H78" s="31">
        <v>1101</v>
      </c>
      <c r="I78" s="46">
        <v>800</v>
      </c>
      <c r="J78" s="32">
        <v>800</v>
      </c>
      <c r="K78" s="33">
        <f t="shared" si="12"/>
        <v>97.28</v>
      </c>
      <c r="L78" s="47">
        <f t="shared" si="12"/>
        <v>88.08</v>
      </c>
      <c r="M78" s="303">
        <v>1393</v>
      </c>
      <c r="N78" s="318">
        <v>290</v>
      </c>
      <c r="O78" s="318">
        <v>290</v>
      </c>
      <c r="P78" s="318">
        <v>1391</v>
      </c>
      <c r="Q78" s="35"/>
      <c r="R78" s="48">
        <v>2000</v>
      </c>
      <c r="S78" s="36"/>
      <c r="T78" s="36">
        <v>145.9</v>
      </c>
      <c r="U78" s="37"/>
      <c r="V78" s="38"/>
      <c r="W78" s="39"/>
      <c r="X78" s="39">
        <f>T78*1000/39.37/R78*38.5</f>
        <v>71.33794767589535</v>
      </c>
      <c r="Y78" s="40"/>
      <c r="Z78" s="40">
        <v>73.44</v>
      </c>
      <c r="AA78" s="41"/>
      <c r="AB78" s="42"/>
      <c r="AC78" s="43"/>
      <c r="AD78" s="43">
        <v>75.540000000000006</v>
      </c>
    </row>
    <row r="79" spans="1:30" ht="24" customHeight="1" x14ac:dyDescent="0.4">
      <c r="A79" s="249" t="s">
        <v>143</v>
      </c>
      <c r="B79" s="246" t="s">
        <v>85</v>
      </c>
      <c r="C79" s="253" t="s">
        <v>234</v>
      </c>
      <c r="D79" s="256" t="s">
        <v>295</v>
      </c>
      <c r="E79" s="259" t="s">
        <v>315</v>
      </c>
      <c r="F79" s="29">
        <v>690106</v>
      </c>
      <c r="G79" s="45">
        <v>880</v>
      </c>
      <c r="H79" s="31">
        <v>1120</v>
      </c>
      <c r="I79" s="46">
        <v>800</v>
      </c>
      <c r="J79" s="32">
        <v>800</v>
      </c>
      <c r="K79" s="33">
        <f t="shared" si="12"/>
        <v>70.400000000000006</v>
      </c>
      <c r="L79" s="47">
        <f t="shared" si="12"/>
        <v>89.6</v>
      </c>
      <c r="M79" s="303">
        <v>1074</v>
      </c>
      <c r="N79" s="318">
        <v>393</v>
      </c>
      <c r="O79" s="318">
        <v>393</v>
      </c>
      <c r="P79" s="318">
        <v>1513</v>
      </c>
      <c r="Q79" s="35">
        <v>2000</v>
      </c>
      <c r="R79" s="48">
        <v>1750</v>
      </c>
      <c r="S79" s="36">
        <v>152.1</v>
      </c>
      <c r="T79" s="36">
        <v>131.6</v>
      </c>
      <c r="U79" s="37"/>
      <c r="V79" s="38"/>
      <c r="W79" s="39">
        <f>S79*1000/39.37/Q79*39.5</f>
        <v>76.301117602235209</v>
      </c>
      <c r="X79" s="39">
        <f>T79*1000/39.37/R79*39.5</f>
        <v>75.448310896621791</v>
      </c>
      <c r="Y79" s="40">
        <f t="shared" ref="Y79:Y83" si="22">(AC79+W79)/2</f>
        <v>76.400558801117597</v>
      </c>
      <c r="Z79" s="40">
        <v>76.03</v>
      </c>
      <c r="AA79" s="41"/>
      <c r="AB79" s="42"/>
      <c r="AC79" s="43">
        <v>76.5</v>
      </c>
      <c r="AD79" s="43">
        <v>76.599999999999994</v>
      </c>
    </row>
    <row r="80" spans="1:30" ht="24" customHeight="1" x14ac:dyDescent="0.4">
      <c r="A80" s="249" t="s">
        <v>144</v>
      </c>
      <c r="B80" s="246" t="s">
        <v>116</v>
      </c>
      <c r="C80" s="253" t="s">
        <v>63</v>
      </c>
      <c r="D80" s="256" t="s">
        <v>146</v>
      </c>
      <c r="E80" s="28">
        <v>69011402</v>
      </c>
      <c r="F80" s="29">
        <v>690109</v>
      </c>
      <c r="G80" s="45">
        <v>845</v>
      </c>
      <c r="H80" s="31">
        <v>1100</v>
      </c>
      <c r="I80" s="46">
        <v>800</v>
      </c>
      <c r="J80" s="32">
        <v>800</v>
      </c>
      <c r="K80" s="33"/>
      <c r="L80" s="47">
        <f t="shared" si="12"/>
        <v>88</v>
      </c>
      <c r="M80" s="303">
        <v>1513</v>
      </c>
      <c r="N80" s="318">
        <v>292</v>
      </c>
      <c r="O80" s="318">
        <v>292</v>
      </c>
      <c r="P80" s="318">
        <v>1392</v>
      </c>
      <c r="Q80" s="48">
        <v>2000</v>
      </c>
      <c r="R80" s="48"/>
      <c r="S80" s="36">
        <v>152</v>
      </c>
      <c r="T80" s="36"/>
      <c r="U80" s="37"/>
      <c r="V80" s="38"/>
      <c r="W80" s="39">
        <f>S80*1000/39.37/Q80*38.5</f>
        <v>74.32054864109729</v>
      </c>
      <c r="X80" s="39"/>
      <c r="Y80" s="40">
        <f t="shared" si="22"/>
        <v>75.340274320548644</v>
      </c>
      <c r="Z80" s="40"/>
      <c r="AA80" s="41"/>
      <c r="AB80" s="42"/>
      <c r="AC80" s="43">
        <v>76.36</v>
      </c>
      <c r="AD80" s="43"/>
    </row>
    <row r="81" spans="1:30" ht="24" customHeight="1" x14ac:dyDescent="0.4">
      <c r="A81" s="249" t="s">
        <v>145</v>
      </c>
      <c r="B81" s="246" t="s">
        <v>116</v>
      </c>
      <c r="C81" s="253" t="s">
        <v>63</v>
      </c>
      <c r="D81" s="256" t="s">
        <v>146</v>
      </c>
      <c r="E81" s="28">
        <v>69011403</v>
      </c>
      <c r="F81" s="29">
        <v>690109</v>
      </c>
      <c r="G81" s="45">
        <v>778</v>
      </c>
      <c r="H81" s="31">
        <v>1110</v>
      </c>
      <c r="I81" s="46">
        <v>800</v>
      </c>
      <c r="J81" s="32">
        <v>800</v>
      </c>
      <c r="K81" s="33">
        <f t="shared" si="12"/>
        <v>62.24</v>
      </c>
      <c r="L81" s="47">
        <f t="shared" si="12"/>
        <v>88.8</v>
      </c>
      <c r="M81" s="303">
        <v>1447</v>
      </c>
      <c r="N81" s="318">
        <v>1498</v>
      </c>
      <c r="O81" s="318">
        <v>1498</v>
      </c>
      <c r="P81" s="318">
        <v>608</v>
      </c>
      <c r="Q81" s="35">
        <v>2000</v>
      </c>
      <c r="R81" s="48"/>
      <c r="S81" s="36">
        <v>149.5</v>
      </c>
      <c r="T81" s="36"/>
      <c r="U81" s="37"/>
      <c r="V81" s="38"/>
      <c r="W81" s="39">
        <f>S81*1000/39.37/Q81*38.5</f>
        <v>73.098171196342392</v>
      </c>
      <c r="X81" s="39"/>
      <c r="Y81" s="40">
        <f t="shared" si="22"/>
        <v>73.859085598171191</v>
      </c>
      <c r="Z81" s="40"/>
      <c r="AA81" s="41"/>
      <c r="AB81" s="42"/>
      <c r="AC81" s="43">
        <v>74.62</v>
      </c>
      <c r="AD81" s="43"/>
    </row>
    <row r="82" spans="1:30" ht="23.25" customHeight="1" x14ac:dyDescent="0.4">
      <c r="A82" s="249" t="s">
        <v>147</v>
      </c>
      <c r="B82" s="246" t="s">
        <v>116</v>
      </c>
      <c r="C82" s="253" t="s">
        <v>63</v>
      </c>
      <c r="D82" s="256" t="s">
        <v>140</v>
      </c>
      <c r="E82" s="28">
        <v>69011404</v>
      </c>
      <c r="F82" s="29">
        <v>690109</v>
      </c>
      <c r="G82" s="45">
        <v>875</v>
      </c>
      <c r="H82" s="31">
        <v>1100</v>
      </c>
      <c r="I82" s="46">
        <v>800</v>
      </c>
      <c r="J82" s="32">
        <v>800</v>
      </c>
      <c r="K82" s="33">
        <f t="shared" si="12"/>
        <v>70</v>
      </c>
      <c r="L82" s="47">
        <f t="shared" si="12"/>
        <v>88</v>
      </c>
      <c r="M82" s="303">
        <v>720</v>
      </c>
      <c r="N82" s="318">
        <v>310</v>
      </c>
      <c r="O82" s="318">
        <v>310</v>
      </c>
      <c r="P82" s="318">
        <v>1410</v>
      </c>
      <c r="Q82" s="35">
        <v>2000</v>
      </c>
      <c r="R82" s="48"/>
      <c r="S82" s="36">
        <v>151.6</v>
      </c>
      <c r="T82" s="36"/>
      <c r="U82" s="37"/>
      <c r="V82" s="38"/>
      <c r="W82" s="39">
        <f>S82*1000/39.37/Q82*38.5</f>
        <v>74.124968249936515</v>
      </c>
      <c r="X82" s="39"/>
      <c r="Y82" s="40">
        <f t="shared" si="22"/>
        <v>74.372484124968253</v>
      </c>
      <c r="Z82" s="40"/>
      <c r="AA82" s="41"/>
      <c r="AB82" s="42"/>
      <c r="AC82" s="43">
        <v>74.62</v>
      </c>
      <c r="AD82" s="43"/>
    </row>
    <row r="83" spans="1:30" ht="24" customHeight="1" x14ac:dyDescent="0.4">
      <c r="A83" s="249" t="s">
        <v>148</v>
      </c>
      <c r="B83" s="246" t="s">
        <v>116</v>
      </c>
      <c r="C83" s="253" t="s">
        <v>63</v>
      </c>
      <c r="D83" s="256" t="s">
        <v>146</v>
      </c>
      <c r="E83" s="28">
        <v>69011401</v>
      </c>
      <c r="F83" s="29">
        <v>690109</v>
      </c>
      <c r="G83" s="45">
        <v>0</v>
      </c>
      <c r="H83" s="31">
        <v>0</v>
      </c>
      <c r="I83" s="46">
        <v>800</v>
      </c>
      <c r="J83" s="32">
        <v>800</v>
      </c>
      <c r="K83" s="33">
        <f t="shared" si="12"/>
        <v>0</v>
      </c>
      <c r="L83" s="47">
        <f t="shared" si="12"/>
        <v>0</v>
      </c>
      <c r="M83" s="303">
        <v>1435</v>
      </c>
      <c r="N83" s="31"/>
      <c r="O83" s="31"/>
      <c r="P83" s="303">
        <v>230</v>
      </c>
      <c r="Q83" s="35">
        <v>2000</v>
      </c>
      <c r="R83" s="48"/>
      <c r="S83" s="36">
        <v>149.4</v>
      </c>
      <c r="T83" s="36"/>
      <c r="U83" s="37"/>
      <c r="V83" s="38"/>
      <c r="W83" s="39">
        <f>S83*1000/39.37/Q83*38.5</f>
        <v>73.049276098552212</v>
      </c>
      <c r="X83" s="39"/>
      <c r="Y83" s="40">
        <f t="shared" si="22"/>
        <v>73.919638049276102</v>
      </c>
      <c r="Z83" s="40"/>
      <c r="AA83" s="41"/>
      <c r="AB83" s="42"/>
      <c r="AC83" s="43">
        <v>74.790000000000006</v>
      </c>
      <c r="AD83" s="43"/>
    </row>
    <row r="84" spans="1:30" ht="24" customHeight="1" x14ac:dyDescent="0.4">
      <c r="A84" s="249" t="s">
        <v>139</v>
      </c>
      <c r="B84" s="246" t="s">
        <v>85</v>
      </c>
      <c r="C84" s="253" t="s">
        <v>234</v>
      </c>
      <c r="D84" s="256" t="s">
        <v>59</v>
      </c>
      <c r="E84" s="28">
        <v>69011444</v>
      </c>
      <c r="F84" s="29">
        <v>690109</v>
      </c>
      <c r="G84" s="45">
        <v>0</v>
      </c>
      <c r="H84" s="31">
        <v>0</v>
      </c>
      <c r="I84" s="46">
        <v>800</v>
      </c>
      <c r="J84" s="32">
        <v>800</v>
      </c>
      <c r="K84" s="33">
        <f t="shared" ref="K84" si="23">G84*8/100</f>
        <v>0</v>
      </c>
      <c r="L84" s="47">
        <f t="shared" ref="L84" si="24">H84*8/100</f>
        <v>0</v>
      </c>
      <c r="M84" s="303">
        <v>1435</v>
      </c>
      <c r="N84" s="31"/>
      <c r="O84" s="31"/>
      <c r="P84" s="303">
        <v>34</v>
      </c>
      <c r="Q84" s="35"/>
      <c r="R84" s="48">
        <v>2000</v>
      </c>
      <c r="S84" s="36"/>
      <c r="T84" s="36">
        <v>158.69999999999999</v>
      </c>
      <c r="U84" s="37"/>
      <c r="V84" s="38"/>
      <c r="W84" s="39"/>
      <c r="X84" s="39">
        <f>T84*1000/39.37/R84*38.5</f>
        <v>77.596520193040391</v>
      </c>
      <c r="Y84" s="40"/>
      <c r="Z84" s="40">
        <v>78.459999999999994</v>
      </c>
      <c r="AA84" s="41"/>
      <c r="AB84" s="42"/>
      <c r="AC84" s="43"/>
      <c r="AD84" s="43">
        <v>79.31</v>
      </c>
    </row>
    <row r="85" spans="1:30" ht="24" customHeight="1" x14ac:dyDescent="0.4">
      <c r="A85" s="251" t="s">
        <v>148</v>
      </c>
      <c r="B85" s="246" t="s">
        <v>116</v>
      </c>
      <c r="C85" s="253" t="s">
        <v>63</v>
      </c>
      <c r="D85" s="256" t="s">
        <v>140</v>
      </c>
      <c r="E85" s="28">
        <v>69011437</v>
      </c>
      <c r="F85" s="29">
        <v>690128</v>
      </c>
      <c r="G85" s="45">
        <v>0</v>
      </c>
      <c r="H85" s="31">
        <v>0</v>
      </c>
      <c r="I85" s="46">
        <v>750</v>
      </c>
      <c r="J85" s="32">
        <v>750</v>
      </c>
      <c r="K85" s="33">
        <f t="shared" ref="K85:L85" si="25">G85*8/100</f>
        <v>0</v>
      </c>
      <c r="L85" s="47">
        <f t="shared" si="25"/>
        <v>0</v>
      </c>
      <c r="M85" s="303">
        <v>230</v>
      </c>
      <c r="N85" s="31"/>
      <c r="O85" s="31"/>
      <c r="P85" s="311">
        <v>62</v>
      </c>
      <c r="Q85" s="35"/>
      <c r="R85" s="48">
        <v>2000</v>
      </c>
      <c r="S85" s="36"/>
      <c r="T85" s="36">
        <v>147.1</v>
      </c>
      <c r="U85" s="37"/>
      <c r="V85" s="38"/>
      <c r="W85" s="39"/>
      <c r="X85" s="39">
        <f>T85*1000/39.37/R85*38.5</f>
        <v>71.924688849377702</v>
      </c>
      <c r="Y85" s="40"/>
      <c r="Z85" s="40">
        <v>72.760000000000005</v>
      </c>
      <c r="AA85" s="41"/>
      <c r="AB85" s="42"/>
      <c r="AC85" s="43"/>
      <c r="AD85" s="43">
        <v>73.599999999999994</v>
      </c>
    </row>
    <row r="86" spans="1:30" ht="24" customHeight="1" x14ac:dyDescent="0.4">
      <c r="A86" s="251" t="s">
        <v>144</v>
      </c>
      <c r="B86" s="246" t="s">
        <v>116</v>
      </c>
      <c r="C86" s="253" t="s">
        <v>63</v>
      </c>
      <c r="D86" s="256" t="s">
        <v>140</v>
      </c>
      <c r="E86" s="28">
        <v>69011438</v>
      </c>
      <c r="F86" s="29">
        <v>690119</v>
      </c>
      <c r="G86" s="45">
        <v>0</v>
      </c>
      <c r="H86" s="31">
        <v>0</v>
      </c>
      <c r="I86" s="63">
        <v>115</v>
      </c>
      <c r="J86" s="64">
        <v>115</v>
      </c>
      <c r="K86" s="65">
        <v>0</v>
      </c>
      <c r="L86" s="68">
        <v>0</v>
      </c>
      <c r="M86" s="303">
        <v>34</v>
      </c>
      <c r="N86" s="31"/>
      <c r="O86" s="31"/>
      <c r="P86" s="31"/>
      <c r="Q86" s="35"/>
      <c r="R86" s="48">
        <v>2000</v>
      </c>
      <c r="S86" s="36"/>
      <c r="T86" s="36">
        <v>150.30000000000001</v>
      </c>
      <c r="U86" s="37"/>
      <c r="V86" s="38"/>
      <c r="W86" s="39"/>
      <c r="X86" s="39">
        <f>T86*1000/39.37/R86*38.5</f>
        <v>73.489331978663969</v>
      </c>
      <c r="Y86" s="40"/>
      <c r="Z86" s="40">
        <v>74.680000000000007</v>
      </c>
      <c r="AA86" s="41"/>
      <c r="AB86" s="41"/>
      <c r="AC86" s="43"/>
      <c r="AD86" s="43">
        <v>75.86</v>
      </c>
    </row>
    <row r="87" spans="1:30" ht="24" customHeight="1" x14ac:dyDescent="0.4">
      <c r="A87" s="71" t="s">
        <v>145</v>
      </c>
      <c r="B87" s="246" t="s">
        <v>116</v>
      </c>
      <c r="C87" s="253" t="s">
        <v>63</v>
      </c>
      <c r="D87" s="256" t="s">
        <v>140</v>
      </c>
      <c r="E87" s="28">
        <v>69011439</v>
      </c>
      <c r="F87" s="29">
        <v>690128</v>
      </c>
      <c r="G87" s="45">
        <v>0</v>
      </c>
      <c r="H87" s="31">
        <v>0</v>
      </c>
      <c r="I87" s="46">
        <v>800</v>
      </c>
      <c r="J87" s="32">
        <v>800</v>
      </c>
      <c r="K87" s="33">
        <f t="shared" ref="K87:L88" si="26">G87*8/100</f>
        <v>0</v>
      </c>
      <c r="L87" s="47">
        <f t="shared" si="26"/>
        <v>0</v>
      </c>
      <c r="M87" s="311">
        <v>62</v>
      </c>
      <c r="N87" s="81"/>
      <c r="O87" s="81"/>
      <c r="P87" s="81"/>
      <c r="Q87" s="35"/>
      <c r="R87" s="48">
        <v>2000</v>
      </c>
      <c r="S87" s="36"/>
      <c r="T87" s="36">
        <v>148.5</v>
      </c>
      <c r="U87" s="37"/>
      <c r="V87" s="38"/>
      <c r="W87" s="39"/>
      <c r="X87" s="39">
        <f>T87*1000/39.37/R87*38.5</f>
        <v>72.609220218440441</v>
      </c>
      <c r="Y87" s="40"/>
      <c r="Z87" s="40">
        <v>73.45</v>
      </c>
      <c r="AA87" s="41"/>
      <c r="AB87" s="42"/>
      <c r="AC87" s="43"/>
      <c r="AD87" s="43">
        <v>74.28</v>
      </c>
    </row>
    <row r="88" spans="1:30" ht="24" customHeight="1" thickBot="1" x14ac:dyDescent="0.45">
      <c r="A88" s="249" t="s">
        <v>68</v>
      </c>
      <c r="B88" s="246" t="s">
        <v>42</v>
      </c>
      <c r="C88" s="253" t="s">
        <v>41</v>
      </c>
      <c r="D88" s="256" t="s">
        <v>61</v>
      </c>
      <c r="E88" s="28">
        <v>69011442</v>
      </c>
      <c r="F88" s="29">
        <v>690104</v>
      </c>
      <c r="G88" s="45">
        <v>0</v>
      </c>
      <c r="H88" s="31">
        <v>0</v>
      </c>
      <c r="I88" s="46">
        <v>750</v>
      </c>
      <c r="J88" s="32">
        <v>750</v>
      </c>
      <c r="K88" s="33">
        <f t="shared" si="26"/>
        <v>0</v>
      </c>
      <c r="L88" s="47">
        <f t="shared" si="26"/>
        <v>0</v>
      </c>
      <c r="M88" s="303">
        <v>1331</v>
      </c>
      <c r="N88" s="31"/>
      <c r="O88" s="31"/>
      <c r="P88" s="303">
        <v>723</v>
      </c>
      <c r="Q88" s="35"/>
      <c r="R88" s="48">
        <v>2000</v>
      </c>
      <c r="S88" s="36"/>
      <c r="T88" s="36">
        <v>156.9</v>
      </c>
      <c r="U88" s="37"/>
      <c r="V88" s="38"/>
      <c r="W88" s="39"/>
      <c r="X88" s="39">
        <f>T88*1000/39.37/R88*38.5</f>
        <v>76.716408432816863</v>
      </c>
      <c r="Y88" s="40"/>
      <c r="Z88" s="40">
        <v>77.569999999999993</v>
      </c>
      <c r="AA88" s="41"/>
      <c r="AB88" s="42"/>
      <c r="AC88" s="43"/>
      <c r="AD88" s="43">
        <v>78.41</v>
      </c>
    </row>
    <row r="89" spans="1:30" ht="24" customHeight="1" thickBot="1" x14ac:dyDescent="0.45">
      <c r="A89" s="333" t="s">
        <v>150</v>
      </c>
      <c r="B89" s="83" t="s">
        <v>25</v>
      </c>
      <c r="C89" s="83" t="s">
        <v>25</v>
      </c>
      <c r="D89" s="84"/>
      <c r="E89" s="85"/>
      <c r="F89" s="84" t="s">
        <v>151</v>
      </c>
      <c r="G89" s="86">
        <f>SUM(G6:G83)</f>
        <v>51146</v>
      </c>
      <c r="H89" s="86">
        <f>SUM(H6:H83)</f>
        <v>50629</v>
      </c>
      <c r="I89" s="87"/>
      <c r="J89" s="87"/>
      <c r="K89" s="87"/>
      <c r="L89" s="88"/>
      <c r="M89" s="335"/>
      <c r="N89" s="336"/>
      <c r="O89" s="336"/>
      <c r="P89" s="337"/>
      <c r="Q89" s="89">
        <f>SUM(Q6:Q88)</f>
        <v>59903</v>
      </c>
      <c r="R89" s="89">
        <f>SUM(R6:R88)</f>
        <v>40578</v>
      </c>
      <c r="S89" s="90">
        <f>SUM(S6:S88)</f>
        <v>4646.2000000000007</v>
      </c>
      <c r="T89" s="91">
        <f>SUM(T6:T88)</f>
        <v>3139.7999999999997</v>
      </c>
      <c r="U89" s="89">
        <f>SUM(U6:U88)</f>
        <v>350</v>
      </c>
      <c r="V89" s="89">
        <f>SUM(V6:V86)</f>
        <v>165</v>
      </c>
      <c r="W89" s="92">
        <f>SUM(W6:W88)</f>
        <v>2159.6952671184713</v>
      </c>
      <c r="X89" s="93">
        <f>SUM(X6:X88)</f>
        <v>1503.6726699394628</v>
      </c>
      <c r="Y89" s="94">
        <f>SUM(Y6:Y88)</f>
        <v>2183.9237346514374</v>
      </c>
      <c r="Z89" s="95">
        <f>SUM(Z6:Z88)</f>
        <v>1411.0361252222506</v>
      </c>
      <c r="AA89" s="96">
        <f>SUM(AA6:AA83)</f>
        <v>0</v>
      </c>
      <c r="AB89" s="97">
        <f>SUM(AB6:AB83)</f>
        <v>116.38</v>
      </c>
      <c r="AC89" s="98">
        <f>SUM(AC6:AC88)</f>
        <v>2208.14</v>
      </c>
      <c r="AD89" s="98">
        <f>SUM(AD6:AD88)</f>
        <v>1551.0499999999997</v>
      </c>
    </row>
    <row r="90" spans="1:30" ht="24" customHeight="1" thickBot="1" x14ac:dyDescent="0.45">
      <c r="A90" s="334"/>
      <c r="B90" s="83">
        <v>62</v>
      </c>
      <c r="C90" s="83">
        <v>63</v>
      </c>
      <c r="D90" s="84"/>
      <c r="E90" s="84"/>
      <c r="F90" s="84"/>
      <c r="G90" s="341">
        <f>G89+H89</f>
        <v>101775</v>
      </c>
      <c r="H90" s="342"/>
      <c r="I90" s="341"/>
      <c r="J90" s="342"/>
      <c r="K90" s="341"/>
      <c r="L90" s="342"/>
      <c r="M90" s="338"/>
      <c r="N90" s="339"/>
      <c r="O90" s="339"/>
      <c r="P90" s="340"/>
      <c r="Q90" s="341">
        <f>Q89+R89+Q137+Q153</f>
        <v>104955</v>
      </c>
      <c r="R90" s="342"/>
      <c r="S90" s="375">
        <f>S89+T89+S137+S153</f>
        <v>8395.1</v>
      </c>
      <c r="T90" s="376"/>
      <c r="U90" s="341">
        <f>U89+V89+U137+U153</f>
        <v>560</v>
      </c>
      <c r="V90" s="342"/>
      <c r="W90" s="375">
        <f>W89+X89+W137+W153</f>
        <v>4062.7974745158481</v>
      </c>
      <c r="X90" s="376"/>
      <c r="Y90" s="375">
        <f>Y89+Z89+Y137+Y153</f>
        <v>3995.3446286026451</v>
      </c>
      <c r="Z90" s="376"/>
      <c r="AA90" s="375">
        <f>AA89+AB89+AA137</f>
        <v>116.38</v>
      </c>
      <c r="AB90" s="376"/>
      <c r="AC90" s="375">
        <f>AC89+AD89+AC137+AC153</f>
        <v>4160.53</v>
      </c>
      <c r="AD90" s="376"/>
    </row>
    <row r="91" spans="1:30" ht="24" customHeight="1" x14ac:dyDescent="0.4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 t="s">
        <v>0</v>
      </c>
      <c r="AD91" s="102"/>
    </row>
    <row r="92" spans="1:30" ht="24" customHeight="1" x14ac:dyDescent="0.5">
      <c r="A92" s="103" t="s">
        <v>152</v>
      </c>
      <c r="B92" s="8"/>
      <c r="C92" s="104"/>
      <c r="D92" s="105"/>
      <c r="E92" s="372" t="s">
        <v>309</v>
      </c>
      <c r="F92" s="372"/>
      <c r="G92" s="372"/>
      <c r="H92" s="372"/>
      <c r="I92" s="372"/>
      <c r="J92" s="372"/>
      <c r="K92" s="103"/>
      <c r="L92" s="103" t="s">
        <v>153</v>
      </c>
      <c r="M92" s="103"/>
      <c r="N92" s="106">
        <f>Q90</f>
        <v>104955</v>
      </c>
      <c r="O92" s="103" t="s">
        <v>154</v>
      </c>
      <c r="P92" s="103"/>
      <c r="Q92" s="103"/>
      <c r="R92" s="103"/>
      <c r="S92" s="107"/>
      <c r="T92" s="108"/>
      <c r="U92" s="103"/>
      <c r="V92" s="109"/>
      <c r="W92" s="110"/>
      <c r="X92" s="103"/>
      <c r="Y92" s="111" t="s">
        <v>155</v>
      </c>
      <c r="Z92" s="109"/>
      <c r="AA92" s="112">
        <f>AA93+AA94</f>
        <v>515</v>
      </c>
      <c r="AB92" s="109"/>
      <c r="AC92" s="109"/>
      <c r="AD92" s="113"/>
    </row>
    <row r="93" spans="1:30" ht="24" customHeight="1" x14ac:dyDescent="0.65">
      <c r="A93" s="114" t="s">
        <v>156</v>
      </c>
      <c r="B93" s="104"/>
      <c r="C93" s="114"/>
      <c r="D93" s="105"/>
      <c r="E93" s="105" t="s">
        <v>0</v>
      </c>
      <c r="F93" s="115"/>
      <c r="G93" s="116"/>
      <c r="H93" s="108"/>
      <c r="I93" s="113"/>
      <c r="J93" s="117"/>
      <c r="K93" s="118"/>
      <c r="L93" s="108" t="s">
        <v>157</v>
      </c>
      <c r="M93" s="108"/>
      <c r="N93" s="119">
        <f>G89</f>
        <v>51146</v>
      </c>
      <c r="O93" s="108" t="s">
        <v>158</v>
      </c>
      <c r="P93" s="108"/>
      <c r="Q93" s="108" t="s">
        <v>159</v>
      </c>
      <c r="R93" s="109"/>
      <c r="S93" s="120">
        <f>H89</f>
        <v>50629</v>
      </c>
      <c r="T93" s="108"/>
      <c r="U93" s="108" t="s">
        <v>158</v>
      </c>
      <c r="V93" s="109"/>
      <c r="W93" s="110"/>
      <c r="X93" s="108"/>
      <c r="Y93" s="121" t="s">
        <v>160</v>
      </c>
      <c r="Z93" s="109"/>
      <c r="AA93" s="122">
        <f>U89</f>
        <v>350</v>
      </c>
      <c r="AB93" s="109"/>
      <c r="AC93" s="109"/>
      <c r="AD93" s="113"/>
    </row>
    <row r="94" spans="1:30" s="109" customFormat="1" ht="24" customHeight="1" x14ac:dyDescent="0.65">
      <c r="A94" s="114" t="s">
        <v>161</v>
      </c>
      <c r="B94" s="114"/>
      <c r="C94" s="114"/>
      <c r="D94" s="104"/>
      <c r="E94" s="123" t="s">
        <v>289</v>
      </c>
      <c r="F94" s="124"/>
      <c r="G94" s="108" t="s">
        <v>162</v>
      </c>
      <c r="H94" s="125"/>
      <c r="I94" s="125">
        <v>2000</v>
      </c>
      <c r="J94" s="117" t="s">
        <v>154</v>
      </c>
      <c r="K94" s="108"/>
      <c r="L94" s="108" t="s">
        <v>163</v>
      </c>
      <c r="M94" s="108"/>
      <c r="N94" s="126">
        <f>G89/B90</f>
        <v>824.93548387096769</v>
      </c>
      <c r="O94" s="108" t="s">
        <v>158</v>
      </c>
      <c r="P94" s="108"/>
      <c r="Q94" s="108" t="s">
        <v>164</v>
      </c>
      <c r="S94" s="126">
        <f>H89/C90</f>
        <v>803.6349206349206</v>
      </c>
      <c r="T94" s="108"/>
      <c r="U94" s="108" t="s">
        <v>158</v>
      </c>
      <c r="W94" s="110"/>
      <c r="X94" s="108"/>
      <c r="Y94" s="127" t="s">
        <v>165</v>
      </c>
      <c r="AA94" s="122">
        <f>V89</f>
        <v>165</v>
      </c>
      <c r="AD94" s="113"/>
    </row>
    <row r="95" spans="1:30" s="109" customFormat="1" ht="24" customHeight="1" x14ac:dyDescent="0.5">
      <c r="A95" s="114" t="s">
        <v>166</v>
      </c>
      <c r="B95" s="114"/>
      <c r="C95" s="114"/>
      <c r="D95" s="104"/>
      <c r="E95" s="128" t="s">
        <v>300</v>
      </c>
      <c r="F95" s="129"/>
      <c r="G95" s="108" t="s">
        <v>162</v>
      </c>
      <c r="H95" s="125"/>
      <c r="I95" s="125">
        <v>8000</v>
      </c>
      <c r="J95" s="117" t="s">
        <v>154</v>
      </c>
      <c r="P95" s="108"/>
      <c r="Q95" s="108"/>
      <c r="R95" s="108"/>
      <c r="S95" s="130"/>
      <c r="T95" s="131"/>
      <c r="U95" s="108"/>
      <c r="V95" s="108"/>
      <c r="W95" s="110"/>
      <c r="X95" s="131" t="s">
        <v>0</v>
      </c>
      <c r="Y95" s="127"/>
      <c r="Z95" s="131"/>
      <c r="AA95" s="131"/>
      <c r="AB95" s="131"/>
      <c r="AC95" s="131"/>
      <c r="AD95" s="132"/>
    </row>
    <row r="96" spans="1:30" s="109" customFormat="1" ht="24" customHeight="1" x14ac:dyDescent="0.5">
      <c r="A96" s="114"/>
      <c r="B96" s="114"/>
      <c r="C96" s="114"/>
      <c r="D96" s="104"/>
      <c r="E96" s="133" t="s">
        <v>290</v>
      </c>
      <c r="F96" s="129"/>
      <c r="G96" s="108" t="s">
        <v>162</v>
      </c>
      <c r="H96" s="125"/>
      <c r="I96" s="125">
        <v>16715</v>
      </c>
      <c r="J96" s="117" t="s">
        <v>154</v>
      </c>
      <c r="P96" s="108"/>
      <c r="Q96" s="108"/>
      <c r="R96" s="108"/>
      <c r="S96" s="130"/>
      <c r="T96" s="131"/>
      <c r="U96" s="108"/>
      <c r="V96" s="108"/>
      <c r="W96" s="110"/>
      <c r="X96" s="131"/>
      <c r="Y96" s="127"/>
      <c r="Z96" s="131"/>
      <c r="AA96" s="131"/>
      <c r="AB96" s="131"/>
      <c r="AC96" s="131"/>
      <c r="AD96" s="132"/>
    </row>
    <row r="97" spans="1:37" s="109" customFormat="1" ht="24" customHeight="1" x14ac:dyDescent="0.5">
      <c r="A97" s="108"/>
      <c r="B97" s="114"/>
      <c r="C97" s="108"/>
      <c r="D97" s="108"/>
      <c r="E97" s="115" t="s">
        <v>301</v>
      </c>
      <c r="F97" s="116"/>
      <c r="G97" s="108" t="s">
        <v>162</v>
      </c>
      <c r="H97" s="125"/>
      <c r="I97" s="125">
        <v>2000</v>
      </c>
      <c r="J97" s="117" t="s">
        <v>154</v>
      </c>
      <c r="K97" s="103"/>
      <c r="L97" s="134" t="s">
        <v>170</v>
      </c>
      <c r="M97" s="134"/>
      <c r="N97" s="134"/>
      <c r="O97" s="108"/>
      <c r="P97" s="108"/>
      <c r="Q97" s="108"/>
      <c r="R97" s="108"/>
      <c r="S97" s="130"/>
      <c r="T97" s="108"/>
      <c r="U97" s="108"/>
      <c r="V97" s="108"/>
      <c r="W97" s="110" t="s">
        <v>0</v>
      </c>
      <c r="X97" s="108"/>
      <c r="Y97" s="127"/>
      <c r="Z97" s="108"/>
      <c r="AA97" s="108"/>
      <c r="AB97" s="108"/>
      <c r="AC97" s="108"/>
      <c r="AD97" s="135"/>
      <c r="AH97" s="109" t="s">
        <v>0</v>
      </c>
    </row>
    <row r="98" spans="1:37" s="109" customFormat="1" ht="24" customHeight="1" x14ac:dyDescent="0.5">
      <c r="A98" s="103" t="s">
        <v>171</v>
      </c>
      <c r="B98" s="108"/>
      <c r="D98" s="108" t="s">
        <v>0</v>
      </c>
      <c r="E98" s="136" t="s">
        <v>308</v>
      </c>
      <c r="F98" s="136"/>
      <c r="G98" s="108" t="s">
        <v>162</v>
      </c>
      <c r="H98" s="125"/>
      <c r="I98" s="125">
        <v>4000</v>
      </c>
      <c r="J98" s="117" t="s">
        <v>154</v>
      </c>
      <c r="K98" s="108"/>
      <c r="L98" s="108"/>
      <c r="M98" s="108"/>
      <c r="N98" s="108"/>
      <c r="O98" s="108"/>
      <c r="P98" s="108"/>
      <c r="Q98" s="108"/>
      <c r="R98" s="108"/>
      <c r="S98" s="130"/>
      <c r="T98" s="108"/>
      <c r="U98" s="108"/>
      <c r="V98" s="108"/>
      <c r="W98" s="110" t="s">
        <v>0</v>
      </c>
      <c r="X98" s="108"/>
      <c r="Y98" s="127"/>
      <c r="Z98" s="108"/>
      <c r="AA98" s="108"/>
      <c r="AB98" s="108"/>
      <c r="AC98" s="108"/>
      <c r="AD98" s="135"/>
    </row>
    <row r="99" spans="1:37" s="109" customFormat="1" ht="24" customHeight="1" x14ac:dyDescent="0.5">
      <c r="A99" s="108" t="s">
        <v>156</v>
      </c>
      <c r="B99" s="108"/>
      <c r="D99" s="108" t="s">
        <v>173</v>
      </c>
      <c r="E99" s="133" t="s">
        <v>247</v>
      </c>
      <c r="F99" s="129"/>
      <c r="G99" s="108" t="s">
        <v>162</v>
      </c>
      <c r="H99" s="125"/>
      <c r="I99" s="125">
        <v>2178</v>
      </c>
      <c r="J99" s="117" t="s">
        <v>154</v>
      </c>
      <c r="K99" s="108"/>
      <c r="L99" s="108" t="s">
        <v>175</v>
      </c>
      <c r="M99" s="108"/>
      <c r="N99" s="137" t="s">
        <v>176</v>
      </c>
      <c r="O99" s="138">
        <f>B90</f>
        <v>62</v>
      </c>
      <c r="P99" s="108" t="s">
        <v>25</v>
      </c>
      <c r="Q99" s="108"/>
      <c r="R99" s="108"/>
      <c r="S99" s="130" t="s">
        <v>177</v>
      </c>
      <c r="T99" s="138">
        <f>C90</f>
        <v>63</v>
      </c>
      <c r="U99" s="108" t="s">
        <v>25</v>
      </c>
      <c r="V99" s="108"/>
      <c r="W99" s="110"/>
      <c r="X99" s="108"/>
      <c r="Y99" s="127"/>
      <c r="Z99" s="108"/>
      <c r="AA99" s="108"/>
      <c r="AB99" s="108"/>
      <c r="AC99" s="108"/>
      <c r="AD99" s="135"/>
    </row>
    <row r="100" spans="1:37" s="109" customFormat="1" ht="24" customHeight="1" x14ac:dyDescent="0.5">
      <c r="A100" s="114" t="s">
        <v>161</v>
      </c>
      <c r="B100" s="108"/>
      <c r="D100" s="108"/>
      <c r="E100" s="136" t="s">
        <v>178</v>
      </c>
      <c r="F100" s="139"/>
      <c r="G100" s="108" t="s">
        <v>162</v>
      </c>
      <c r="H100" s="125"/>
      <c r="I100" s="125">
        <v>7640</v>
      </c>
      <c r="J100" s="117" t="s">
        <v>154</v>
      </c>
      <c r="K100" s="114"/>
      <c r="L100" s="114"/>
      <c r="M100" s="114"/>
      <c r="N100" s="104" t="s">
        <v>179</v>
      </c>
      <c r="O100" s="104"/>
      <c r="P100" s="140">
        <v>3</v>
      </c>
      <c r="Q100" s="108" t="s">
        <v>180</v>
      </c>
      <c r="R100" s="108" t="s">
        <v>181</v>
      </c>
      <c r="S100" s="130"/>
      <c r="T100" s="140">
        <v>15</v>
      </c>
      <c r="U100" s="108" t="s">
        <v>180</v>
      </c>
      <c r="V100" s="108"/>
      <c r="W100" s="110" t="s">
        <v>182</v>
      </c>
      <c r="X100" s="140">
        <f>T100+P100-AA100</f>
        <v>18</v>
      </c>
      <c r="Y100" s="127" t="s">
        <v>180</v>
      </c>
      <c r="Z100" s="103" t="s">
        <v>183</v>
      </c>
      <c r="AA100" s="141">
        <v>0</v>
      </c>
      <c r="AB100" s="104"/>
      <c r="AC100" s="108" t="s">
        <v>180</v>
      </c>
      <c r="AD100" s="135"/>
    </row>
    <row r="101" spans="1:37" s="109" customFormat="1" ht="24" customHeight="1" x14ac:dyDescent="0.5">
      <c r="A101" s="114" t="s">
        <v>166</v>
      </c>
      <c r="B101" s="108"/>
      <c r="D101" s="108"/>
      <c r="E101" s="142" t="s">
        <v>320</v>
      </c>
      <c r="F101" s="142"/>
      <c r="G101" s="108" t="s">
        <v>162</v>
      </c>
      <c r="H101" s="125"/>
      <c r="I101" s="125">
        <v>2000</v>
      </c>
      <c r="J101" s="117" t="s">
        <v>154</v>
      </c>
      <c r="K101" s="108"/>
      <c r="L101" s="108"/>
      <c r="M101" s="143"/>
      <c r="N101" s="143" t="s">
        <v>185</v>
      </c>
      <c r="O101" s="143"/>
      <c r="P101" s="144">
        <v>0</v>
      </c>
      <c r="Q101" s="108" t="s">
        <v>180</v>
      </c>
      <c r="R101" s="145" t="s">
        <v>181</v>
      </c>
      <c r="S101" s="130"/>
      <c r="T101" s="140">
        <v>14</v>
      </c>
      <c r="U101" s="108" t="s">
        <v>180</v>
      </c>
      <c r="V101" s="108"/>
      <c r="W101" s="110" t="s">
        <v>182</v>
      </c>
      <c r="X101" s="140">
        <f>T101+P101-AA101</f>
        <v>13</v>
      </c>
      <c r="Y101" s="127" t="s">
        <v>180</v>
      </c>
      <c r="Z101" s="103" t="s">
        <v>183</v>
      </c>
      <c r="AA101" s="146">
        <v>1</v>
      </c>
      <c r="AB101" s="143"/>
      <c r="AC101" s="145" t="s">
        <v>180</v>
      </c>
      <c r="AD101" s="135"/>
    </row>
    <row r="102" spans="1:37" s="109" customFormat="1" ht="24" customHeight="1" x14ac:dyDescent="0.5">
      <c r="A102" s="103" t="s">
        <v>186</v>
      </c>
      <c r="B102" s="108"/>
      <c r="D102" s="108"/>
      <c r="E102" s="147" t="s">
        <v>321</v>
      </c>
      <c r="F102" s="148"/>
      <c r="G102" s="108" t="s">
        <v>162</v>
      </c>
      <c r="H102" s="125"/>
      <c r="I102" s="125">
        <v>8000</v>
      </c>
      <c r="J102" s="117" t="s">
        <v>154</v>
      </c>
      <c r="K102" s="8"/>
      <c r="L102" s="149" t="s">
        <v>188</v>
      </c>
      <c r="M102" s="150" t="s">
        <v>313</v>
      </c>
      <c r="N102" s="150"/>
      <c r="O102" s="151"/>
      <c r="P102" s="151"/>
      <c r="Q102" s="152"/>
      <c r="R102" s="152"/>
      <c r="S102" s="153"/>
      <c r="T102" s="152"/>
      <c r="U102" s="151"/>
      <c r="V102" s="151"/>
      <c r="W102" s="154"/>
      <c r="X102" s="154"/>
      <c r="Y102" s="150"/>
      <c r="Z102" s="150"/>
      <c r="AA102" s="149" t="s">
        <v>199</v>
      </c>
      <c r="AB102" s="149"/>
      <c r="AC102" s="149"/>
      <c r="AD102" s="135"/>
    </row>
    <row r="103" spans="1:37" s="109" customFormat="1" ht="24" customHeight="1" x14ac:dyDescent="0.5">
      <c r="A103" s="108" t="s">
        <v>156</v>
      </c>
      <c r="B103" s="108"/>
      <c r="D103" s="108"/>
      <c r="E103" s="136" t="s">
        <v>291</v>
      </c>
      <c r="F103" s="155"/>
      <c r="G103" s="108" t="s">
        <v>162</v>
      </c>
      <c r="H103" s="125"/>
      <c r="I103" s="125">
        <v>8800</v>
      </c>
      <c r="J103" s="117" t="s">
        <v>154</v>
      </c>
      <c r="K103" s="108"/>
      <c r="L103" s="149"/>
      <c r="M103" s="150"/>
      <c r="N103" s="150"/>
      <c r="O103" s="150"/>
      <c r="P103" s="151"/>
      <c r="Q103" s="152"/>
      <c r="R103" s="152"/>
      <c r="S103" s="153"/>
      <c r="T103" s="150"/>
      <c r="U103" s="150"/>
      <c r="V103" s="151"/>
      <c r="W103" s="151"/>
      <c r="X103" s="150"/>
      <c r="Y103" s="150"/>
      <c r="Z103" s="150"/>
      <c r="AA103" s="149" t="s">
        <v>199</v>
      </c>
      <c r="AB103" s="149"/>
      <c r="AC103" s="149"/>
      <c r="AD103" s="135"/>
    </row>
    <row r="104" spans="1:37" s="109" customFormat="1" ht="24" customHeight="1" x14ac:dyDescent="0.5">
      <c r="A104" s="114" t="s">
        <v>161</v>
      </c>
      <c r="B104" s="108"/>
      <c r="D104" s="108" t="s">
        <v>0</v>
      </c>
      <c r="E104" s="261" t="s">
        <v>246</v>
      </c>
      <c r="F104" s="262"/>
      <c r="G104" s="108" t="s">
        <v>162</v>
      </c>
      <c r="H104" s="125"/>
      <c r="I104" s="125">
        <v>4474</v>
      </c>
      <c r="J104" s="117" t="s">
        <v>154</v>
      </c>
      <c r="K104" s="108"/>
      <c r="L104" s="149"/>
      <c r="M104" s="150"/>
      <c r="N104" s="150"/>
      <c r="O104" s="151"/>
      <c r="P104" s="151"/>
      <c r="Q104" s="152"/>
      <c r="R104" s="152"/>
      <c r="S104" s="152"/>
      <c r="T104" s="150"/>
      <c r="U104" s="150"/>
      <c r="V104" s="151"/>
      <c r="W104" s="151"/>
      <c r="X104" s="150"/>
      <c r="Y104" s="150"/>
      <c r="Z104" s="150"/>
      <c r="AA104" s="149" t="s">
        <v>189</v>
      </c>
      <c r="AB104" s="149"/>
      <c r="AC104" s="149"/>
      <c r="AD104" s="135"/>
      <c r="AH104" s="109" t="s">
        <v>0</v>
      </c>
    </row>
    <row r="105" spans="1:37" s="109" customFormat="1" ht="24" customHeight="1" x14ac:dyDescent="0.5">
      <c r="A105" s="114" t="s">
        <v>166</v>
      </c>
      <c r="B105" s="108"/>
      <c r="D105" s="108"/>
      <c r="E105" s="158" t="s">
        <v>318</v>
      </c>
      <c r="F105" s="148"/>
      <c r="G105" s="108" t="s">
        <v>162</v>
      </c>
      <c r="H105" s="125"/>
      <c r="I105" s="125">
        <v>2543</v>
      </c>
      <c r="J105" s="117" t="s">
        <v>154</v>
      </c>
      <c r="K105" s="8"/>
      <c r="L105" s="149" t="s">
        <v>193</v>
      </c>
      <c r="M105" s="150"/>
      <c r="N105" s="150"/>
      <c r="O105" s="151"/>
      <c r="P105" s="151"/>
      <c r="Q105" s="151"/>
      <c r="R105" s="152"/>
      <c r="S105" s="152"/>
      <c r="T105" s="159"/>
      <c r="U105" s="160"/>
      <c r="V105" s="150"/>
      <c r="W105" s="154"/>
      <c r="X105" s="150"/>
      <c r="Y105" s="150"/>
      <c r="Z105" s="150"/>
      <c r="AA105" s="149" t="s">
        <v>189</v>
      </c>
      <c r="AB105" s="149" t="s">
        <v>195</v>
      </c>
      <c r="AC105" s="149"/>
      <c r="AD105" s="135"/>
      <c r="AG105" s="109" t="s">
        <v>0</v>
      </c>
    </row>
    <row r="106" spans="1:37" s="109" customFormat="1" ht="24" customHeight="1" x14ac:dyDescent="0.5">
      <c r="A106" s="8"/>
      <c r="B106" s="108"/>
      <c r="C106" s="161"/>
      <c r="D106" s="161"/>
      <c r="E106" s="162" t="s">
        <v>319</v>
      </c>
      <c r="F106" s="136"/>
      <c r="G106" s="108" t="s">
        <v>162</v>
      </c>
      <c r="H106" s="125"/>
      <c r="I106" s="125">
        <v>3750</v>
      </c>
      <c r="J106" s="117" t="s">
        <v>154</v>
      </c>
      <c r="K106" s="8"/>
      <c r="L106" s="1"/>
      <c r="M106" s="150"/>
      <c r="N106" s="150"/>
      <c r="O106" s="150"/>
      <c r="P106" s="151"/>
      <c r="Q106" s="151"/>
      <c r="R106" s="152"/>
      <c r="S106" s="152"/>
      <c r="T106" s="159"/>
      <c r="U106" s="150"/>
      <c r="V106" s="150"/>
      <c r="W106" s="154"/>
      <c r="X106" s="150"/>
      <c r="Y106" s="150"/>
      <c r="Z106" s="150"/>
      <c r="AA106" s="149" t="s">
        <v>189</v>
      </c>
      <c r="AB106" s="149"/>
      <c r="AC106" s="149"/>
      <c r="AD106" s="163"/>
      <c r="AG106" s="164"/>
      <c r="AH106" s="109" t="s">
        <v>0</v>
      </c>
    </row>
    <row r="107" spans="1:37" s="109" customFormat="1" ht="24" customHeight="1" x14ac:dyDescent="0.5">
      <c r="A107" s="1"/>
      <c r="B107" s="161"/>
      <c r="C107" s="1"/>
      <c r="D107" s="1"/>
      <c r="E107" s="136" t="s">
        <v>269</v>
      </c>
      <c r="F107" s="155"/>
      <c r="G107" s="108" t="s">
        <v>162</v>
      </c>
      <c r="H107" s="125"/>
      <c r="I107" s="125">
        <v>20000</v>
      </c>
      <c r="J107" s="117" t="s">
        <v>154</v>
      </c>
      <c r="K107" s="117"/>
      <c r="L107" s="149"/>
      <c r="M107" s="149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 t="s">
        <v>199</v>
      </c>
      <c r="AB107" s="149"/>
      <c r="AC107" s="171"/>
      <c r="AD107" s="163"/>
      <c r="AK107" s="172"/>
    </row>
    <row r="108" spans="1:37" s="109" customFormat="1" ht="24" customHeight="1" x14ac:dyDescent="0.55000000000000004">
      <c r="A108" s="1"/>
      <c r="B108" s="161"/>
      <c r="C108" s="1"/>
      <c r="D108" s="1"/>
      <c r="E108" s="136" t="s">
        <v>200</v>
      </c>
      <c r="F108" s="155"/>
      <c r="G108" s="108" t="s">
        <v>162</v>
      </c>
      <c r="H108" s="125"/>
      <c r="I108" s="125">
        <v>4333</v>
      </c>
      <c r="J108" s="117" t="s">
        <v>154</v>
      </c>
      <c r="K108" s="117"/>
      <c r="L108" s="149"/>
      <c r="M108" s="173" t="s">
        <v>0</v>
      </c>
      <c r="N108" s="165"/>
      <c r="O108" s="165"/>
      <c r="P108" s="165"/>
      <c r="Q108" s="165"/>
      <c r="R108" s="165"/>
      <c r="S108" s="166"/>
      <c r="T108" s="165"/>
      <c r="U108" s="167"/>
      <c r="V108" s="168"/>
      <c r="W108" s="169"/>
      <c r="X108" s="170"/>
      <c r="Y108" s="149"/>
      <c r="Z108" s="149"/>
      <c r="AA108" s="149" t="s">
        <v>201</v>
      </c>
      <c r="AB108" s="149"/>
      <c r="AC108" s="171"/>
      <c r="AD108" s="163"/>
      <c r="AK108" s="172"/>
    </row>
    <row r="109" spans="1:37" s="109" customFormat="1" ht="24" customHeight="1" x14ac:dyDescent="0.55000000000000004">
      <c r="A109" s="1"/>
      <c r="B109" s="161"/>
      <c r="C109" s="1"/>
      <c r="D109" s="1" t="s">
        <v>0</v>
      </c>
      <c r="E109" s="136" t="s">
        <v>292</v>
      </c>
      <c r="F109" s="155"/>
      <c r="G109" s="108" t="s">
        <v>162</v>
      </c>
      <c r="H109" s="125"/>
      <c r="I109" s="125">
        <v>5070</v>
      </c>
      <c r="J109" s="117" t="s">
        <v>154</v>
      </c>
      <c r="K109" s="117"/>
      <c r="L109" s="149"/>
      <c r="M109" s="173"/>
      <c r="N109" s="165"/>
      <c r="O109" s="165"/>
      <c r="P109" s="165"/>
      <c r="Q109" s="165"/>
      <c r="R109" s="165"/>
      <c r="S109" s="166"/>
      <c r="T109" s="165"/>
      <c r="U109" s="167"/>
      <c r="V109" s="168"/>
      <c r="W109" s="169"/>
      <c r="X109" s="170"/>
      <c r="Y109" s="149"/>
      <c r="Z109" s="149"/>
      <c r="AA109" s="149"/>
      <c r="AB109" s="149"/>
      <c r="AC109" s="171"/>
      <c r="AD109" s="163"/>
      <c r="AK109" s="172"/>
    </row>
    <row r="110" spans="1:37" s="109" customFormat="1" ht="24" customHeight="1" x14ac:dyDescent="0.55000000000000004">
      <c r="A110" s="1"/>
      <c r="B110" s="161"/>
      <c r="C110" s="1"/>
      <c r="D110" s="1"/>
      <c r="E110" s="136" t="s">
        <v>325</v>
      </c>
      <c r="F110" s="155"/>
      <c r="G110" s="108" t="s">
        <v>162</v>
      </c>
      <c r="H110" s="125"/>
      <c r="I110" s="125">
        <v>1600</v>
      </c>
      <c r="J110" s="117" t="s">
        <v>154</v>
      </c>
      <c r="K110" s="117"/>
      <c r="L110" s="149"/>
      <c r="M110" s="173"/>
      <c r="N110" s="165"/>
      <c r="O110" s="165"/>
      <c r="P110" s="165"/>
      <c r="Q110" s="165"/>
      <c r="R110" s="165"/>
      <c r="S110" s="166"/>
      <c r="T110" s="165"/>
      <c r="U110" s="167"/>
      <c r="V110" s="168"/>
      <c r="W110" s="169"/>
      <c r="X110" s="170"/>
      <c r="Y110" s="149"/>
      <c r="Z110" s="149"/>
      <c r="AA110" s="149"/>
      <c r="AB110" s="149"/>
      <c r="AC110" s="171"/>
      <c r="AD110" s="163"/>
      <c r="AK110" s="172"/>
    </row>
    <row r="111" spans="1:37" s="109" customFormat="1" ht="24" customHeight="1" x14ac:dyDescent="0.55000000000000004">
      <c r="A111" s="1"/>
      <c r="B111" s="161"/>
      <c r="C111" s="1"/>
      <c r="D111" s="1"/>
      <c r="E111" s="123" t="s">
        <v>326</v>
      </c>
      <c r="F111" s="124"/>
      <c r="G111" s="108" t="s">
        <v>162</v>
      </c>
      <c r="H111" s="125"/>
      <c r="I111" s="125">
        <v>1852</v>
      </c>
      <c r="J111" s="117" t="s">
        <v>154</v>
      </c>
      <c r="K111" s="117"/>
      <c r="L111" s="149"/>
      <c r="M111" s="173"/>
      <c r="N111" s="165"/>
      <c r="O111" s="165"/>
      <c r="P111" s="165"/>
      <c r="Q111" s="165"/>
      <c r="R111" s="165"/>
      <c r="S111" s="166"/>
      <c r="T111" s="165"/>
      <c r="U111" s="167"/>
      <c r="V111" s="168"/>
      <c r="W111" s="169"/>
      <c r="X111" s="170"/>
      <c r="Y111" s="149"/>
      <c r="Z111" s="149"/>
      <c r="AA111" s="149"/>
      <c r="AB111" s="149"/>
      <c r="AC111" s="171"/>
      <c r="AD111" s="163"/>
      <c r="AK111" s="172"/>
    </row>
    <row r="112" spans="1:37" ht="24" customHeight="1" x14ac:dyDescent="0.55000000000000004">
      <c r="B112" s="161"/>
      <c r="F112" s="174"/>
      <c r="G112" s="175" t="s">
        <v>317</v>
      </c>
      <c r="H112" s="108"/>
      <c r="I112" s="176"/>
      <c r="J112" s="117"/>
      <c r="K112" s="8"/>
      <c r="L112" s="173"/>
      <c r="M112" s="173"/>
      <c r="N112" s="149"/>
      <c r="O112" s="149"/>
      <c r="P112" s="177"/>
      <c r="Q112" s="165"/>
      <c r="R112" s="165"/>
      <c r="S112" s="165"/>
      <c r="T112" s="167"/>
      <c r="U112" s="167"/>
      <c r="V112" s="168"/>
      <c r="W112" s="169"/>
      <c r="X112" s="149"/>
      <c r="Y112" s="149"/>
      <c r="Z112" s="149"/>
      <c r="AA112" s="149" t="s">
        <v>228</v>
      </c>
      <c r="AB112" s="149" t="s">
        <v>229</v>
      </c>
      <c r="AC112" s="149"/>
      <c r="AD112" s="163"/>
      <c r="AF112" s="109"/>
    </row>
    <row r="113" spans="1:38" ht="24" customHeight="1" x14ac:dyDescent="0.55000000000000004">
      <c r="B113" s="161"/>
      <c r="F113" s="133"/>
      <c r="G113" s="129"/>
      <c r="H113" s="108"/>
      <c r="I113" s="176"/>
      <c r="J113" s="117"/>
      <c r="K113" s="8"/>
      <c r="M113" s="173"/>
      <c r="N113" s="149"/>
      <c r="O113" s="149"/>
      <c r="P113" s="165"/>
      <c r="Q113" s="165"/>
      <c r="R113" s="165"/>
      <c r="S113" s="165"/>
      <c r="T113" s="167"/>
      <c r="U113" s="167"/>
      <c r="V113" s="168"/>
      <c r="W113" s="169"/>
      <c r="X113" s="169"/>
      <c r="Y113" s="149"/>
      <c r="Z113" s="149"/>
      <c r="AA113" s="149" t="s">
        <v>228</v>
      </c>
      <c r="AB113" s="149" t="s">
        <v>230</v>
      </c>
      <c r="AC113" s="149"/>
      <c r="AD113" s="163"/>
      <c r="AF113" s="109"/>
    </row>
    <row r="114" spans="1:38" ht="24" customHeight="1" x14ac:dyDescent="0.55000000000000004">
      <c r="A114" s="109"/>
      <c r="B114" s="109"/>
      <c r="C114" s="109"/>
      <c r="D114" s="109"/>
      <c r="E114" s="109"/>
      <c r="F114" s="136"/>
      <c r="G114" s="136"/>
      <c r="H114" s="108"/>
      <c r="I114" s="176"/>
      <c r="J114" s="117"/>
      <c r="K114" s="109"/>
      <c r="L114" s="167"/>
      <c r="M114" s="173"/>
      <c r="N114" s="149"/>
      <c r="O114" s="149"/>
      <c r="P114" s="165"/>
      <c r="Q114" s="177"/>
      <c r="R114" s="165"/>
      <c r="S114" s="165"/>
      <c r="T114" s="167"/>
      <c r="U114" s="167"/>
      <c r="V114" s="168"/>
      <c r="W114" s="169"/>
      <c r="X114" s="149"/>
      <c r="Y114" s="149"/>
      <c r="Z114" s="149"/>
      <c r="AA114" s="149"/>
      <c r="AB114" s="178"/>
      <c r="AC114" s="149" t="s">
        <v>0</v>
      </c>
      <c r="AD114" s="113"/>
      <c r="AF114" s="109"/>
    </row>
    <row r="115" spans="1:38" ht="24" customHeight="1" x14ac:dyDescent="0.5">
      <c r="A115" s="109"/>
      <c r="B115" s="109"/>
      <c r="C115" s="109"/>
      <c r="D115" s="109"/>
      <c r="E115" s="179"/>
      <c r="F115" s="180"/>
      <c r="G115" s="139"/>
      <c r="H115" s="174"/>
      <c r="I115" s="181"/>
      <c r="J115" s="182"/>
      <c r="K115" s="174"/>
      <c r="L115" s="109"/>
      <c r="M115" s="109"/>
      <c r="N115" s="109"/>
      <c r="O115" s="109"/>
      <c r="P115" s="109"/>
      <c r="Q115" s="109"/>
      <c r="R115" s="109"/>
      <c r="S115" s="183"/>
      <c r="T115" s="109"/>
      <c r="U115" s="109"/>
      <c r="V115" s="109"/>
      <c r="W115" s="184"/>
      <c r="X115" s="185"/>
      <c r="Y115" s="186"/>
      <c r="Z115" s="108"/>
      <c r="AA115" s="109"/>
      <c r="AB115" s="109"/>
      <c r="AC115" s="109"/>
      <c r="AD115" s="113"/>
      <c r="AF115" s="109"/>
    </row>
    <row r="116" spans="1:38" s="109" customFormat="1" ht="24" customHeight="1" x14ac:dyDescent="0.5">
      <c r="A116" s="187"/>
      <c r="B116" s="187"/>
      <c r="C116" s="187" t="s">
        <v>204</v>
      </c>
      <c r="D116" s="187"/>
      <c r="E116" s="187"/>
      <c r="F116" s="180"/>
      <c r="G116" s="139"/>
      <c r="H116" s="174"/>
      <c r="I116" s="175"/>
      <c r="J116" s="108"/>
      <c r="M116" s="373" t="s">
        <v>205</v>
      </c>
      <c r="N116" s="373"/>
      <c r="O116" s="373"/>
      <c r="P116" s="373"/>
      <c r="Q116" s="373"/>
      <c r="S116" s="183"/>
      <c r="W116" s="188"/>
      <c r="X116" s="373" t="s">
        <v>205</v>
      </c>
      <c r="Y116" s="373"/>
      <c r="Z116" s="373"/>
      <c r="AA116" s="373"/>
      <c r="AB116" s="373"/>
      <c r="AC116" s="373"/>
      <c r="AD116" s="373"/>
    </row>
    <row r="117" spans="1:38" s="109" customFormat="1" ht="24" customHeight="1" x14ac:dyDescent="0.5">
      <c r="A117" s="187"/>
      <c r="B117" s="187"/>
      <c r="C117" s="187" t="s">
        <v>206</v>
      </c>
      <c r="D117" s="187"/>
      <c r="E117" s="187"/>
      <c r="F117" s="189"/>
      <c r="G117" s="108"/>
      <c r="H117" s="108"/>
      <c r="I117" s="190"/>
      <c r="J117" s="117"/>
      <c r="K117" s="118"/>
      <c r="L117" s="118"/>
      <c r="M117" s="373" t="s">
        <v>151</v>
      </c>
      <c r="N117" s="373"/>
      <c r="O117" s="373"/>
      <c r="P117" s="373"/>
      <c r="Q117" s="373"/>
      <c r="R117" s="118"/>
      <c r="S117" s="191"/>
      <c r="T117" s="118"/>
      <c r="U117" s="118"/>
      <c r="V117" s="118"/>
      <c r="W117" s="192"/>
      <c r="X117" s="373" t="s">
        <v>206</v>
      </c>
      <c r="Y117" s="373"/>
      <c r="Z117" s="373"/>
      <c r="AA117" s="373"/>
      <c r="AB117" s="373"/>
      <c r="AC117" s="373"/>
      <c r="AD117" s="373"/>
    </row>
    <row r="118" spans="1:38" s="118" customFormat="1" ht="24" customHeight="1" x14ac:dyDescent="0.5">
      <c r="A118" s="187"/>
      <c r="B118" s="187"/>
      <c r="C118" s="187"/>
      <c r="D118" s="187"/>
      <c r="E118" s="187"/>
      <c r="F118" s="374"/>
      <c r="G118" s="374"/>
      <c r="H118" s="108"/>
      <c r="I118" s="190"/>
      <c r="J118" s="117"/>
      <c r="M118" s="187"/>
      <c r="N118" s="187"/>
      <c r="O118" s="187"/>
      <c r="P118" s="187"/>
      <c r="Q118" s="187"/>
      <c r="S118" s="191"/>
      <c r="W118" s="192"/>
      <c r="X118" s="187"/>
      <c r="Y118" s="187"/>
      <c r="Z118" s="187"/>
      <c r="AA118" s="187"/>
      <c r="AB118" s="187"/>
      <c r="AC118" s="187"/>
      <c r="AD118" s="187"/>
      <c r="AL118" s="193"/>
    </row>
    <row r="119" spans="1:38" s="118" customFormat="1" ht="24" customHeight="1" x14ac:dyDescent="0.5">
      <c r="A119" s="101"/>
      <c r="B119" s="194"/>
      <c r="C119" s="194"/>
      <c r="D119" s="195"/>
      <c r="E119" s="195"/>
      <c r="F119" s="195"/>
      <c r="G119" s="196"/>
      <c r="H119" s="196"/>
      <c r="I119" s="196"/>
      <c r="J119" s="196"/>
      <c r="K119" s="196"/>
      <c r="L119" s="196"/>
      <c r="M119" s="197"/>
      <c r="N119" s="197"/>
      <c r="O119" s="197"/>
      <c r="P119" s="197"/>
      <c r="Q119" s="198"/>
      <c r="R119" s="198"/>
      <c r="S119" s="199"/>
      <c r="T119" s="199"/>
      <c r="U119" s="198"/>
      <c r="V119" s="198"/>
      <c r="W119" s="199"/>
      <c r="X119" s="199"/>
      <c r="Y119" s="200"/>
      <c r="Z119" s="200"/>
      <c r="AA119" s="201"/>
      <c r="AB119" s="201"/>
      <c r="AC119" s="202"/>
      <c r="AD119" s="202"/>
      <c r="AL119" s="193"/>
    </row>
    <row r="122" spans="1:38" ht="18.75" thickBot="1" x14ac:dyDescent="0.45"/>
    <row r="123" spans="1:38" x14ac:dyDescent="0.4">
      <c r="A123" s="368" t="s">
        <v>1</v>
      </c>
      <c r="B123" s="349" t="s">
        <v>2</v>
      </c>
      <c r="C123" s="350"/>
      <c r="D123" s="5" t="s">
        <v>3</v>
      </c>
      <c r="E123" s="7"/>
      <c r="F123" s="7"/>
      <c r="G123" s="349" t="s">
        <v>4</v>
      </c>
      <c r="H123" s="350"/>
      <c r="I123" s="349" t="s">
        <v>5</v>
      </c>
      <c r="J123" s="350"/>
      <c r="K123" s="349" t="s">
        <v>6</v>
      </c>
      <c r="L123" s="350"/>
      <c r="M123" s="370" t="s">
        <v>7</v>
      </c>
      <c r="N123" s="371"/>
      <c r="O123" s="362" t="s">
        <v>7</v>
      </c>
      <c r="P123" s="363"/>
      <c r="Q123" s="364" t="s">
        <v>8</v>
      </c>
      <c r="R123" s="365"/>
      <c r="S123" s="349" t="s">
        <v>9</v>
      </c>
      <c r="T123" s="350"/>
      <c r="U123" s="366" t="s">
        <v>10</v>
      </c>
      <c r="V123" s="367"/>
      <c r="W123" s="349" t="s">
        <v>11</v>
      </c>
      <c r="X123" s="350"/>
      <c r="Y123" s="349" t="s">
        <v>12</v>
      </c>
      <c r="Z123" s="350"/>
      <c r="AA123" s="349" t="s">
        <v>13</v>
      </c>
      <c r="AB123" s="350"/>
      <c r="AC123" s="349" t="s">
        <v>14</v>
      </c>
      <c r="AD123" s="353"/>
    </row>
    <row r="124" spans="1:38" ht="21" x14ac:dyDescent="0.4">
      <c r="A124" s="369"/>
      <c r="B124" s="351"/>
      <c r="C124" s="352"/>
      <c r="D124" s="8" t="s">
        <v>15</v>
      </c>
      <c r="E124" s="205" t="s">
        <v>16</v>
      </c>
      <c r="F124" s="9" t="s">
        <v>17</v>
      </c>
      <c r="G124" s="351"/>
      <c r="H124" s="352"/>
      <c r="I124" s="351"/>
      <c r="J124" s="352"/>
      <c r="K124" s="351"/>
      <c r="L124" s="352"/>
      <c r="M124" s="354" t="s">
        <v>18</v>
      </c>
      <c r="N124" s="355"/>
      <c r="O124" s="356" t="s">
        <v>19</v>
      </c>
      <c r="P124" s="357"/>
      <c r="Q124" s="358" t="s">
        <v>20</v>
      </c>
      <c r="R124" s="359"/>
      <c r="S124" s="351" t="s">
        <v>21</v>
      </c>
      <c r="T124" s="352"/>
      <c r="U124" s="360" t="s">
        <v>22</v>
      </c>
      <c r="V124" s="359"/>
      <c r="W124" s="351" t="s">
        <v>23</v>
      </c>
      <c r="X124" s="352"/>
      <c r="Y124" s="351"/>
      <c r="Z124" s="352"/>
      <c r="AA124" s="351"/>
      <c r="AB124" s="352"/>
      <c r="AC124" s="351" t="s">
        <v>24</v>
      </c>
      <c r="AD124" s="361"/>
    </row>
    <row r="125" spans="1:38" ht="18.75" thickBot="1" x14ac:dyDescent="0.45">
      <c r="A125" s="10" t="s">
        <v>25</v>
      </c>
      <c r="B125" s="206" t="s">
        <v>207</v>
      </c>
      <c r="C125" s="12" t="s">
        <v>208</v>
      </c>
      <c r="D125" s="13" t="s">
        <v>28</v>
      </c>
      <c r="E125" s="207"/>
      <c r="F125" s="207"/>
      <c r="G125" s="12" t="s">
        <v>26</v>
      </c>
      <c r="H125" s="12" t="s">
        <v>27</v>
      </c>
      <c r="I125" s="11" t="s">
        <v>26</v>
      </c>
      <c r="J125" s="12" t="s">
        <v>27</v>
      </c>
      <c r="K125" s="11" t="s">
        <v>29</v>
      </c>
      <c r="L125" s="14" t="s">
        <v>30</v>
      </c>
      <c r="M125" s="208" t="s">
        <v>31</v>
      </c>
      <c r="N125" s="209" t="s">
        <v>32</v>
      </c>
      <c r="O125" s="210" t="s">
        <v>31</v>
      </c>
      <c r="P125" s="211" t="s">
        <v>32</v>
      </c>
      <c r="Q125" s="19" t="s">
        <v>26</v>
      </c>
      <c r="R125" s="12" t="s">
        <v>27</v>
      </c>
      <c r="S125" s="20" t="s">
        <v>26</v>
      </c>
      <c r="T125" s="12" t="s">
        <v>27</v>
      </c>
      <c r="U125" s="19" t="s">
        <v>26</v>
      </c>
      <c r="V125" s="12" t="s">
        <v>27</v>
      </c>
      <c r="W125" s="21" t="s">
        <v>26</v>
      </c>
      <c r="X125" s="12" t="s">
        <v>27</v>
      </c>
      <c r="Y125" s="22" t="s">
        <v>26</v>
      </c>
      <c r="Z125" s="23" t="s">
        <v>27</v>
      </c>
      <c r="AA125" s="19" t="s">
        <v>26</v>
      </c>
      <c r="AB125" s="12" t="s">
        <v>27</v>
      </c>
      <c r="AC125" s="11" t="s">
        <v>26</v>
      </c>
      <c r="AD125" s="24" t="s">
        <v>27</v>
      </c>
    </row>
    <row r="126" spans="1:38" ht="32.25" thickBot="1" x14ac:dyDescent="0.55000000000000004">
      <c r="A126" s="212" t="s">
        <v>130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22"/>
      <c r="R126" s="223"/>
      <c r="S126" s="224"/>
      <c r="T126" s="57"/>
      <c r="U126" s="59"/>
      <c r="V126" s="59"/>
      <c r="W126" s="39"/>
      <c r="X126" s="39"/>
      <c r="Y126" s="40"/>
      <c r="Z126" s="40"/>
      <c r="AA126" s="225"/>
      <c r="AB126" s="226"/>
      <c r="AC126" s="227"/>
      <c r="AD126" s="228"/>
    </row>
    <row r="127" spans="1:38" ht="32.25" thickBot="1" x14ac:dyDescent="0.55000000000000004">
      <c r="A127" s="212" t="s">
        <v>72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117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54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30"/>
      <c r="R129" s="56"/>
      <c r="S129" s="231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38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40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67"/>
      <c r="S131" s="229"/>
      <c r="T131" s="57"/>
      <c r="U131" s="58"/>
      <c r="V131" s="59"/>
      <c r="W131" s="39"/>
      <c r="X131" s="39"/>
      <c r="Y131" s="40"/>
      <c r="Z131" s="40"/>
      <c r="AA131" s="225"/>
      <c r="AB131" s="226"/>
      <c r="AC131" s="227"/>
      <c r="AD131" s="228"/>
    </row>
    <row r="132" spans="1:30" ht="32.25" thickBot="1" x14ac:dyDescent="0.55000000000000004">
      <c r="A132" s="212" t="s">
        <v>125</v>
      </c>
      <c r="B132" s="213" t="s">
        <v>209</v>
      </c>
      <c r="C132" s="213" t="s">
        <v>210</v>
      </c>
      <c r="D132" s="214" t="s">
        <v>211</v>
      </c>
      <c r="E132" s="215"/>
      <c r="F132" s="73">
        <v>690134</v>
      </c>
      <c r="G132" s="216"/>
      <c r="H132" s="217"/>
      <c r="I132" s="46">
        <v>800</v>
      </c>
      <c r="J132" s="32">
        <v>800</v>
      </c>
      <c r="K132" s="218"/>
      <c r="L132" s="218"/>
      <c r="M132" s="219"/>
      <c r="N132" s="220"/>
      <c r="O132" s="220"/>
      <c r="P132" s="221"/>
      <c r="Q132" s="230"/>
      <c r="R132" s="56"/>
      <c r="S132" s="231"/>
      <c r="T132" s="57"/>
      <c r="U132" s="58"/>
      <c r="V132" s="59"/>
      <c r="W132" s="39"/>
      <c r="X132" s="39"/>
      <c r="Y132" s="40"/>
      <c r="Z132" s="40"/>
      <c r="AA132" s="232"/>
      <c r="AB132" s="226"/>
      <c r="AC132" s="233"/>
      <c r="AD132" s="234"/>
    </row>
    <row r="133" spans="1:30" ht="32.25" thickBot="1" x14ac:dyDescent="0.55000000000000004">
      <c r="A133" s="212" t="s">
        <v>86</v>
      </c>
      <c r="B133" s="213" t="s">
        <v>209</v>
      </c>
      <c r="C133" s="213" t="s">
        <v>210</v>
      </c>
      <c r="D133" s="214" t="s">
        <v>211</v>
      </c>
      <c r="E133" s="215"/>
      <c r="F133" s="73">
        <v>690134</v>
      </c>
      <c r="G133" s="216"/>
      <c r="H133" s="217"/>
      <c r="I133" s="46">
        <v>800</v>
      </c>
      <c r="J133" s="32">
        <v>800</v>
      </c>
      <c r="K133" s="218"/>
      <c r="L133" s="218"/>
      <c r="M133" s="219"/>
      <c r="N133" s="220"/>
      <c r="O133" s="220"/>
      <c r="P133" s="221"/>
      <c r="Q133" s="222"/>
      <c r="R133" s="67"/>
      <c r="S133" s="229"/>
      <c r="T133" s="57"/>
      <c r="U133" s="58"/>
      <c r="V133" s="59"/>
      <c r="W133" s="39"/>
      <c r="X133" s="39"/>
      <c r="Y133" s="40"/>
      <c r="Z133" s="40"/>
      <c r="AA133" s="232"/>
      <c r="AB133" s="226"/>
      <c r="AC133" s="233"/>
      <c r="AD133" s="234"/>
    </row>
    <row r="134" spans="1:30" ht="32.25" thickBot="1" x14ac:dyDescent="0.55000000000000004">
      <c r="A134" s="212" t="s">
        <v>74</v>
      </c>
      <c r="B134" s="213" t="s">
        <v>209</v>
      </c>
      <c r="C134" s="213" t="s">
        <v>210</v>
      </c>
      <c r="D134" s="214" t="s">
        <v>211</v>
      </c>
      <c r="E134" s="215"/>
      <c r="F134" s="73">
        <v>690134</v>
      </c>
      <c r="G134" s="216"/>
      <c r="H134" s="217"/>
      <c r="I134" s="46">
        <v>800</v>
      </c>
      <c r="J134" s="32">
        <v>800</v>
      </c>
      <c r="K134" s="218"/>
      <c r="L134" s="218"/>
      <c r="M134" s="219"/>
      <c r="N134" s="220"/>
      <c r="O134" s="220"/>
      <c r="P134" s="221"/>
      <c r="Q134" s="230"/>
      <c r="R134" s="56"/>
      <c r="S134" s="231"/>
      <c r="T134" s="57"/>
      <c r="U134" s="58"/>
      <c r="V134" s="59"/>
      <c r="W134" s="39"/>
      <c r="X134" s="39"/>
      <c r="Y134" s="40"/>
      <c r="Z134" s="40"/>
      <c r="AA134" s="232"/>
      <c r="AB134" s="226"/>
      <c r="AC134" s="233"/>
      <c r="AD134" s="234"/>
    </row>
    <row r="135" spans="1:30" ht="32.25" thickBot="1" x14ac:dyDescent="0.55000000000000004">
      <c r="A135" s="212" t="s">
        <v>102</v>
      </c>
      <c r="B135" s="213" t="s">
        <v>209</v>
      </c>
      <c r="C135" s="213" t="s">
        <v>210</v>
      </c>
      <c r="D135" s="214" t="s">
        <v>211</v>
      </c>
      <c r="E135" s="215"/>
      <c r="F135" s="73">
        <v>690134</v>
      </c>
      <c r="G135" s="216"/>
      <c r="H135" s="217"/>
      <c r="I135" s="46">
        <v>800</v>
      </c>
      <c r="J135" s="32">
        <v>800</v>
      </c>
      <c r="K135" s="218"/>
      <c r="L135" s="218"/>
      <c r="M135" s="219"/>
      <c r="N135" s="220"/>
      <c r="O135" s="220"/>
      <c r="P135" s="221"/>
      <c r="Q135" s="222"/>
      <c r="R135" s="223"/>
      <c r="S135" s="224"/>
      <c r="T135" s="57"/>
      <c r="U135" s="59"/>
      <c r="V135" s="59"/>
      <c r="W135" s="39"/>
      <c r="X135" s="39"/>
      <c r="Y135" s="40"/>
      <c r="Z135" s="40"/>
      <c r="AA135" s="225"/>
      <c r="AB135" s="235"/>
      <c r="AC135" s="233"/>
      <c r="AD135" s="234"/>
    </row>
    <row r="136" spans="1:30" ht="24" thickBot="1" x14ac:dyDescent="0.45">
      <c r="A136" s="333" t="s">
        <v>150</v>
      </c>
      <c r="B136" s="83" t="s">
        <v>25</v>
      </c>
      <c r="C136" s="83" t="s">
        <v>25</v>
      </c>
      <c r="D136" s="84"/>
      <c r="E136" s="85"/>
      <c r="F136" s="84"/>
      <c r="G136" s="236">
        <f>SUM(G122:G122)</f>
        <v>0</v>
      </c>
      <c r="H136" s="236">
        <f>SUM(H122:H122)</f>
        <v>0</v>
      </c>
      <c r="I136" s="87"/>
      <c r="J136" s="87"/>
      <c r="K136" s="87"/>
      <c r="L136" s="88"/>
      <c r="M136" s="335"/>
      <c r="N136" s="336"/>
      <c r="O136" s="336"/>
      <c r="P136" s="337"/>
      <c r="Q136" s="237">
        <f t="shared" ref="Q136:AD136" si="27">SUM(Q126:Q135)</f>
        <v>0</v>
      </c>
      <c r="R136" s="237">
        <f t="shared" si="27"/>
        <v>0</v>
      </c>
      <c r="S136" s="238">
        <f t="shared" si="27"/>
        <v>0</v>
      </c>
      <c r="T136" s="238">
        <f t="shared" si="27"/>
        <v>0</v>
      </c>
      <c r="U136" s="237">
        <f t="shared" si="27"/>
        <v>0</v>
      </c>
      <c r="V136" s="237">
        <f t="shared" si="27"/>
        <v>0</v>
      </c>
      <c r="W136" s="238">
        <f t="shared" si="27"/>
        <v>0</v>
      </c>
      <c r="X136" s="238">
        <f t="shared" si="27"/>
        <v>0</v>
      </c>
      <c r="Y136" s="95">
        <f t="shared" si="27"/>
        <v>0</v>
      </c>
      <c r="Z136" s="95">
        <f t="shared" si="27"/>
        <v>0</v>
      </c>
      <c r="AA136" s="238">
        <f t="shared" si="27"/>
        <v>0</v>
      </c>
      <c r="AB136" s="238">
        <f t="shared" si="27"/>
        <v>0</v>
      </c>
      <c r="AC136" s="98"/>
      <c r="AD136" s="98">
        <f t="shared" si="27"/>
        <v>0</v>
      </c>
    </row>
    <row r="137" spans="1:30" ht="27" thickBot="1" x14ac:dyDescent="0.45">
      <c r="A137" s="334"/>
      <c r="B137" s="83">
        <v>2</v>
      </c>
      <c r="C137" s="83">
        <v>2</v>
      </c>
      <c r="D137" s="84"/>
      <c r="E137" s="84"/>
      <c r="F137" s="84"/>
      <c r="G137" s="99">
        <v>0</v>
      </c>
      <c r="H137" s="100"/>
      <c r="I137" s="99"/>
      <c r="J137" s="100"/>
      <c r="K137" s="341"/>
      <c r="L137" s="342"/>
      <c r="M137" s="338"/>
      <c r="N137" s="339"/>
      <c r="O137" s="339"/>
      <c r="P137" s="340"/>
      <c r="Q137" s="343">
        <f>Q136+R136</f>
        <v>0</v>
      </c>
      <c r="R137" s="344"/>
      <c r="S137" s="345">
        <f>S136+T136</f>
        <v>0</v>
      </c>
      <c r="T137" s="346"/>
      <c r="U137" s="347">
        <f>U136+V136</f>
        <v>0</v>
      </c>
      <c r="V137" s="348"/>
      <c r="W137" s="327">
        <f>W136+X136</f>
        <v>0</v>
      </c>
      <c r="X137" s="328"/>
      <c r="Y137" s="329">
        <f>Y136+Z136</f>
        <v>0</v>
      </c>
      <c r="Z137" s="330"/>
      <c r="AA137" s="327">
        <f>AA136+AB136</f>
        <v>0</v>
      </c>
      <c r="AB137" s="328"/>
      <c r="AC137" s="331">
        <f>AC136+AD136</f>
        <v>0</v>
      </c>
      <c r="AD137" s="332"/>
    </row>
    <row r="138" spans="1:30" ht="18.75" thickBot="1" x14ac:dyDescent="0.45"/>
    <row r="139" spans="1:30" x14ac:dyDescent="0.4">
      <c r="A139" s="368" t="s">
        <v>1</v>
      </c>
      <c r="B139" s="349" t="s">
        <v>2</v>
      </c>
      <c r="C139" s="350"/>
      <c r="D139" s="5" t="s">
        <v>3</v>
      </c>
      <c r="E139" s="7"/>
      <c r="F139" s="7"/>
      <c r="G139" s="349" t="s">
        <v>4</v>
      </c>
      <c r="H139" s="350"/>
      <c r="I139" s="349" t="s">
        <v>5</v>
      </c>
      <c r="J139" s="350"/>
      <c r="K139" s="349" t="s">
        <v>6</v>
      </c>
      <c r="L139" s="350"/>
      <c r="M139" s="370" t="s">
        <v>7</v>
      </c>
      <c r="N139" s="371"/>
      <c r="O139" s="362" t="s">
        <v>7</v>
      </c>
      <c r="P139" s="363"/>
      <c r="Q139" s="364" t="s">
        <v>8</v>
      </c>
      <c r="R139" s="365"/>
      <c r="S139" s="349" t="s">
        <v>9</v>
      </c>
      <c r="T139" s="350"/>
      <c r="U139" s="366" t="s">
        <v>10</v>
      </c>
      <c r="V139" s="367"/>
      <c r="W139" s="349" t="s">
        <v>11</v>
      </c>
      <c r="X139" s="350"/>
      <c r="Y139" s="349" t="s">
        <v>12</v>
      </c>
      <c r="Z139" s="350"/>
      <c r="AA139" s="349" t="s">
        <v>13</v>
      </c>
      <c r="AB139" s="350"/>
      <c r="AC139" s="349" t="s">
        <v>14</v>
      </c>
      <c r="AD139" s="353"/>
    </row>
    <row r="140" spans="1:30" ht="21" x14ac:dyDescent="0.4">
      <c r="A140" s="369"/>
      <c r="B140" s="351"/>
      <c r="C140" s="352"/>
      <c r="D140" s="8" t="s">
        <v>15</v>
      </c>
      <c r="E140" s="205" t="s">
        <v>16</v>
      </c>
      <c r="F140" s="9" t="s">
        <v>17</v>
      </c>
      <c r="G140" s="351"/>
      <c r="H140" s="352"/>
      <c r="I140" s="351"/>
      <c r="J140" s="352"/>
      <c r="K140" s="351"/>
      <c r="L140" s="352"/>
      <c r="M140" s="354" t="s">
        <v>18</v>
      </c>
      <c r="N140" s="355"/>
      <c r="O140" s="356" t="s">
        <v>19</v>
      </c>
      <c r="P140" s="357"/>
      <c r="Q140" s="358" t="s">
        <v>20</v>
      </c>
      <c r="R140" s="359"/>
      <c r="S140" s="351" t="s">
        <v>21</v>
      </c>
      <c r="T140" s="352"/>
      <c r="U140" s="360" t="s">
        <v>22</v>
      </c>
      <c r="V140" s="359"/>
      <c r="W140" s="351" t="s">
        <v>23</v>
      </c>
      <c r="X140" s="352"/>
      <c r="Y140" s="351"/>
      <c r="Z140" s="352"/>
      <c r="AA140" s="351"/>
      <c r="AB140" s="352"/>
      <c r="AC140" s="351" t="s">
        <v>24</v>
      </c>
      <c r="AD140" s="361"/>
    </row>
    <row r="141" spans="1:30" ht="18.75" thickBot="1" x14ac:dyDescent="0.45">
      <c r="A141" s="10" t="s">
        <v>25</v>
      </c>
      <c r="B141" s="206" t="s">
        <v>207</v>
      </c>
      <c r="C141" s="12" t="s">
        <v>208</v>
      </c>
      <c r="D141" s="13" t="s">
        <v>28</v>
      </c>
      <c r="E141" s="207"/>
      <c r="F141" s="207"/>
      <c r="G141" s="12" t="s">
        <v>26</v>
      </c>
      <c r="H141" s="12" t="s">
        <v>27</v>
      </c>
      <c r="I141" s="11" t="s">
        <v>26</v>
      </c>
      <c r="J141" s="12" t="s">
        <v>27</v>
      </c>
      <c r="K141" s="11" t="s">
        <v>29</v>
      </c>
      <c r="L141" s="14" t="s">
        <v>30</v>
      </c>
      <c r="M141" s="208" t="s">
        <v>31</v>
      </c>
      <c r="N141" s="209" t="s">
        <v>32</v>
      </c>
      <c r="O141" s="210" t="s">
        <v>31</v>
      </c>
      <c r="P141" s="211" t="s">
        <v>32</v>
      </c>
      <c r="Q141" s="19" t="s">
        <v>26</v>
      </c>
      <c r="R141" s="12" t="s">
        <v>27</v>
      </c>
      <c r="S141" s="20" t="s">
        <v>26</v>
      </c>
      <c r="T141" s="12" t="s">
        <v>27</v>
      </c>
      <c r="U141" s="19" t="s">
        <v>26</v>
      </c>
      <c r="V141" s="12" t="s">
        <v>27</v>
      </c>
      <c r="W141" s="21" t="s">
        <v>26</v>
      </c>
      <c r="X141" s="12" t="s">
        <v>27</v>
      </c>
      <c r="Y141" s="22" t="s">
        <v>26</v>
      </c>
      <c r="Z141" s="23" t="s">
        <v>27</v>
      </c>
      <c r="AA141" s="19" t="s">
        <v>26</v>
      </c>
      <c r="AB141" s="12" t="s">
        <v>27</v>
      </c>
      <c r="AC141" s="11" t="s">
        <v>26</v>
      </c>
      <c r="AD141" s="24" t="s">
        <v>27</v>
      </c>
    </row>
    <row r="142" spans="1:30" ht="32.25" thickBot="1" x14ac:dyDescent="0.55000000000000004">
      <c r="A142" s="212" t="s">
        <v>130</v>
      </c>
      <c r="B142" s="213" t="s">
        <v>209</v>
      </c>
      <c r="C142" s="213" t="s">
        <v>210</v>
      </c>
      <c r="D142" s="258" t="s">
        <v>237</v>
      </c>
      <c r="E142" s="215">
        <v>69011423</v>
      </c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22">
        <v>1460</v>
      </c>
      <c r="R142" s="223"/>
      <c r="S142" s="224">
        <v>199.4</v>
      </c>
      <c r="T142" s="57"/>
      <c r="U142" s="59">
        <v>15</v>
      </c>
      <c r="V142" s="59"/>
      <c r="W142" s="39">
        <f>S142*1000/39.37/Q142*38.5</f>
        <v>133.55729451184931</v>
      </c>
      <c r="X142" s="39"/>
      <c r="Y142" s="40">
        <f t="shared" ref="Y142:Y146" si="28">(AC142+W142)/2</f>
        <v>133.19864725592464</v>
      </c>
      <c r="Z142" s="40"/>
      <c r="AA142" s="225"/>
      <c r="AB142" s="226"/>
      <c r="AC142" s="227">
        <v>132.84</v>
      </c>
      <c r="AD142" s="228"/>
    </row>
    <row r="143" spans="1:30" ht="32.25" thickBot="1" x14ac:dyDescent="0.55000000000000004">
      <c r="A143" s="212" t="s">
        <v>72</v>
      </c>
      <c r="B143" s="213" t="s">
        <v>209</v>
      </c>
      <c r="C143" s="213" t="s">
        <v>210</v>
      </c>
      <c r="D143" s="258" t="s">
        <v>237</v>
      </c>
      <c r="E143" s="215"/>
      <c r="F143" s="73">
        <v>690133</v>
      </c>
      <c r="G143" s="216"/>
      <c r="H143" s="217"/>
      <c r="I143" s="46">
        <v>800</v>
      </c>
      <c r="J143" s="32">
        <v>800</v>
      </c>
      <c r="K143" s="218"/>
      <c r="L143" s="218"/>
      <c r="M143" s="219"/>
      <c r="N143" s="220"/>
      <c r="O143" s="220"/>
      <c r="P143" s="221"/>
      <c r="Q143" s="222"/>
      <c r="R143" s="67"/>
      <c r="S143" s="229"/>
      <c r="T143" s="57"/>
      <c r="U143" s="58"/>
      <c r="V143" s="59"/>
      <c r="W143" s="39"/>
      <c r="X143" s="39"/>
      <c r="Y143" s="40"/>
      <c r="Z143" s="40"/>
      <c r="AA143" s="225"/>
      <c r="AB143" s="226"/>
      <c r="AC143" s="227"/>
      <c r="AD143" s="228"/>
    </row>
    <row r="144" spans="1:30" ht="32.25" thickBot="1" x14ac:dyDescent="0.55000000000000004">
      <c r="A144" s="212" t="s">
        <v>117</v>
      </c>
      <c r="B144" s="213" t="s">
        <v>209</v>
      </c>
      <c r="C144" s="213" t="s">
        <v>210</v>
      </c>
      <c r="D144" s="258" t="s">
        <v>237</v>
      </c>
      <c r="E144" s="215">
        <v>69011428</v>
      </c>
      <c r="F144" s="73">
        <v>690133</v>
      </c>
      <c r="G144" s="216"/>
      <c r="H144" s="217"/>
      <c r="I144" s="46">
        <v>800</v>
      </c>
      <c r="J144" s="32">
        <v>800</v>
      </c>
      <c r="K144" s="218"/>
      <c r="L144" s="218"/>
      <c r="M144" s="219"/>
      <c r="N144" s="220"/>
      <c r="O144" s="220"/>
      <c r="P144" s="221"/>
      <c r="Q144" s="230">
        <v>1544</v>
      </c>
      <c r="R144" s="56"/>
      <c r="S144" s="231">
        <v>209.4</v>
      </c>
      <c r="T144" s="57"/>
      <c r="U144" s="58">
        <v>15</v>
      </c>
      <c r="V144" s="59"/>
      <c r="W144" s="39">
        <f>S144*1000/39.37/Q144*38.5</f>
        <v>132.62478597496056</v>
      </c>
      <c r="X144" s="39"/>
      <c r="Y144" s="40">
        <f t="shared" si="28"/>
        <v>134.12739298748028</v>
      </c>
      <c r="Z144" s="40"/>
      <c r="AA144" s="232"/>
      <c r="AB144" s="226"/>
      <c r="AC144" s="233">
        <v>135.63</v>
      </c>
      <c r="AD144" s="234"/>
    </row>
    <row r="145" spans="1:30" ht="32.25" thickBot="1" x14ac:dyDescent="0.55000000000000004">
      <c r="A145" s="212" t="s">
        <v>86</v>
      </c>
      <c r="B145" s="213" t="s">
        <v>209</v>
      </c>
      <c r="C145" s="213" t="s">
        <v>210</v>
      </c>
      <c r="D145" s="258" t="s">
        <v>237</v>
      </c>
      <c r="E145" s="215"/>
      <c r="F145" s="73">
        <v>690133</v>
      </c>
      <c r="G145" s="216"/>
      <c r="H145" s="217"/>
      <c r="I145" s="46">
        <v>800</v>
      </c>
      <c r="J145" s="32">
        <v>800</v>
      </c>
      <c r="K145" s="218"/>
      <c r="L145" s="218"/>
      <c r="M145" s="219"/>
      <c r="N145" s="220"/>
      <c r="O145" s="220"/>
      <c r="P145" s="221"/>
      <c r="Q145" s="230"/>
      <c r="R145" s="56"/>
      <c r="S145" s="231"/>
      <c r="T145" s="57"/>
      <c r="U145" s="58"/>
      <c r="V145" s="59"/>
      <c r="W145" s="39"/>
      <c r="X145" s="39"/>
      <c r="Y145" s="40"/>
      <c r="Z145" s="40"/>
      <c r="AA145" s="232"/>
      <c r="AB145" s="226"/>
      <c r="AC145" s="233"/>
      <c r="AD145" s="234"/>
    </row>
    <row r="146" spans="1:30" ht="32.25" thickBot="1" x14ac:dyDescent="0.55000000000000004">
      <c r="A146" s="212" t="s">
        <v>54</v>
      </c>
      <c r="B146" s="213" t="s">
        <v>209</v>
      </c>
      <c r="C146" s="213" t="s">
        <v>210</v>
      </c>
      <c r="D146" s="258" t="s">
        <v>237</v>
      </c>
      <c r="E146" s="215">
        <v>69011421</v>
      </c>
      <c r="F146" s="73">
        <v>690133</v>
      </c>
      <c r="G146" s="216"/>
      <c r="H146" s="217"/>
      <c r="I146" s="46">
        <v>800</v>
      </c>
      <c r="J146" s="32">
        <v>800</v>
      </c>
      <c r="K146" s="218"/>
      <c r="L146" s="218"/>
      <c r="M146" s="219"/>
      <c r="N146" s="220"/>
      <c r="O146" s="220"/>
      <c r="P146" s="221"/>
      <c r="Q146" s="230">
        <v>1470</v>
      </c>
      <c r="R146" s="56"/>
      <c r="S146" s="231">
        <v>200.3</v>
      </c>
      <c r="T146" s="57"/>
      <c r="U146" s="58">
        <v>15</v>
      </c>
      <c r="V146" s="59"/>
      <c r="W146" s="39">
        <f>S146*1000/39.37/Q146*38.5</f>
        <v>133.24745697110444</v>
      </c>
      <c r="X146" s="39"/>
      <c r="Y146" s="40">
        <f t="shared" si="28"/>
        <v>133.05872848555222</v>
      </c>
      <c r="Z146" s="40"/>
      <c r="AA146" s="232"/>
      <c r="AB146" s="226"/>
      <c r="AC146" s="233">
        <v>132.87</v>
      </c>
      <c r="AD146" s="234"/>
    </row>
    <row r="147" spans="1:30" ht="32.25" thickBot="1" x14ac:dyDescent="0.55000000000000004">
      <c r="A147" s="212" t="s">
        <v>40</v>
      </c>
      <c r="B147" s="213" t="s">
        <v>209</v>
      </c>
      <c r="C147" s="213" t="s">
        <v>210</v>
      </c>
      <c r="D147" s="258" t="s">
        <v>237</v>
      </c>
      <c r="E147" s="215"/>
      <c r="F147" s="73">
        <v>690133</v>
      </c>
      <c r="G147" s="216"/>
      <c r="H147" s="217"/>
      <c r="I147" s="46">
        <v>800</v>
      </c>
      <c r="J147" s="32">
        <v>800</v>
      </c>
      <c r="K147" s="218"/>
      <c r="L147" s="218"/>
      <c r="M147" s="219"/>
      <c r="N147" s="220"/>
      <c r="O147" s="220"/>
      <c r="P147" s="221"/>
      <c r="Q147" s="222"/>
      <c r="R147" s="67"/>
      <c r="S147" s="229"/>
      <c r="T147" s="57"/>
      <c r="U147" s="58"/>
      <c r="V147" s="59"/>
      <c r="W147" s="39"/>
      <c r="X147" s="39"/>
      <c r="Y147" s="40"/>
      <c r="Z147" s="40"/>
      <c r="AA147" s="225"/>
      <c r="AB147" s="226"/>
      <c r="AC147" s="227"/>
      <c r="AD147" s="228"/>
    </row>
    <row r="148" spans="1:30" ht="32.25" thickBot="1" x14ac:dyDescent="0.55000000000000004">
      <c r="A148" s="212" t="s">
        <v>125</v>
      </c>
      <c r="B148" s="213" t="s">
        <v>209</v>
      </c>
      <c r="C148" s="213" t="s">
        <v>210</v>
      </c>
      <c r="D148" s="258" t="s">
        <v>237</v>
      </c>
      <c r="E148" s="215"/>
      <c r="F148" s="73">
        <v>690133</v>
      </c>
      <c r="G148" s="216"/>
      <c r="H148" s="217"/>
      <c r="I148" s="46">
        <v>800</v>
      </c>
      <c r="J148" s="32">
        <v>800</v>
      </c>
      <c r="K148" s="218"/>
      <c r="L148" s="218"/>
      <c r="M148" s="219"/>
      <c r="N148" s="220"/>
      <c r="O148" s="220"/>
      <c r="P148" s="221"/>
      <c r="Q148" s="230"/>
      <c r="R148" s="56"/>
      <c r="S148" s="231"/>
      <c r="T148" s="57"/>
      <c r="U148" s="58"/>
      <c r="V148" s="59"/>
      <c r="W148" s="39"/>
      <c r="X148" s="39"/>
      <c r="Y148" s="40"/>
      <c r="Z148" s="40"/>
      <c r="AA148" s="232"/>
      <c r="AB148" s="226"/>
      <c r="AC148" s="233"/>
      <c r="AD148" s="234"/>
    </row>
    <row r="149" spans="1:30" ht="32.25" thickBot="1" x14ac:dyDescent="0.55000000000000004">
      <c r="A149" s="212" t="s">
        <v>86</v>
      </c>
      <c r="B149" s="213" t="s">
        <v>209</v>
      </c>
      <c r="C149" s="213" t="s">
        <v>210</v>
      </c>
      <c r="D149" s="258" t="s">
        <v>237</v>
      </c>
      <c r="E149" s="215"/>
      <c r="F149" s="73">
        <v>690133</v>
      </c>
      <c r="G149" s="216"/>
      <c r="H149" s="217"/>
      <c r="I149" s="46">
        <v>800</v>
      </c>
      <c r="J149" s="32">
        <v>800</v>
      </c>
      <c r="K149" s="218"/>
      <c r="L149" s="218"/>
      <c r="M149" s="219"/>
      <c r="N149" s="220"/>
      <c r="O149" s="220"/>
      <c r="P149" s="221"/>
      <c r="Q149" s="222"/>
      <c r="R149" s="67"/>
      <c r="S149" s="229"/>
      <c r="T149" s="57"/>
      <c r="U149" s="58"/>
      <c r="V149" s="59"/>
      <c r="W149" s="39"/>
      <c r="X149" s="39"/>
      <c r="Y149" s="40"/>
      <c r="Z149" s="40"/>
      <c r="AA149" s="232"/>
      <c r="AB149" s="226"/>
      <c r="AC149" s="233"/>
      <c r="AD149" s="234"/>
    </row>
    <row r="150" spans="1:30" ht="32.25" thickBot="1" x14ac:dyDescent="0.55000000000000004">
      <c r="A150" s="212" t="s">
        <v>74</v>
      </c>
      <c r="B150" s="213" t="s">
        <v>209</v>
      </c>
      <c r="C150" s="213" t="s">
        <v>210</v>
      </c>
      <c r="D150" s="258" t="s">
        <v>237</v>
      </c>
      <c r="E150" s="215"/>
      <c r="F150" s="73">
        <v>690133</v>
      </c>
      <c r="G150" s="216"/>
      <c r="H150" s="217"/>
      <c r="I150" s="46">
        <v>800</v>
      </c>
      <c r="J150" s="32">
        <v>800</v>
      </c>
      <c r="K150" s="218"/>
      <c r="L150" s="218"/>
      <c r="M150" s="219"/>
      <c r="N150" s="220"/>
      <c r="O150" s="220"/>
      <c r="P150" s="221"/>
      <c r="Q150" s="230"/>
      <c r="R150" s="56"/>
      <c r="S150" s="231"/>
      <c r="T150" s="57"/>
      <c r="U150" s="58"/>
      <c r="V150" s="59"/>
      <c r="W150" s="39"/>
      <c r="X150" s="39"/>
      <c r="Y150" s="40"/>
      <c r="Z150" s="40"/>
      <c r="AA150" s="232"/>
      <c r="AB150" s="226"/>
      <c r="AC150" s="233"/>
      <c r="AD150" s="234"/>
    </row>
    <row r="151" spans="1:30" ht="32.25" thickBot="1" x14ac:dyDescent="0.55000000000000004">
      <c r="A151" s="212" t="s">
        <v>102</v>
      </c>
      <c r="B151" s="213" t="s">
        <v>209</v>
      </c>
      <c r="C151" s="213" t="s">
        <v>210</v>
      </c>
      <c r="D151" s="258" t="s">
        <v>211</v>
      </c>
      <c r="E151" s="215"/>
      <c r="F151" s="73">
        <v>690134</v>
      </c>
      <c r="G151" s="216"/>
      <c r="H151" s="217"/>
      <c r="I151" s="46">
        <v>800</v>
      </c>
      <c r="J151" s="32">
        <v>800</v>
      </c>
      <c r="K151" s="218"/>
      <c r="L151" s="218"/>
      <c r="M151" s="219"/>
      <c r="N151" s="220"/>
      <c r="O151" s="220"/>
      <c r="P151" s="221"/>
      <c r="Q151" s="222"/>
      <c r="R151" s="223"/>
      <c r="S151" s="224"/>
      <c r="T151" s="57"/>
      <c r="U151" s="59"/>
      <c r="V151" s="59"/>
      <c r="W151" s="39"/>
      <c r="X151" s="39"/>
      <c r="Y151" s="40"/>
      <c r="Z151" s="40"/>
      <c r="AA151" s="225"/>
      <c r="AB151" s="235"/>
      <c r="AC151" s="233"/>
      <c r="AD151" s="234"/>
    </row>
    <row r="152" spans="1:30" ht="24" thickBot="1" x14ac:dyDescent="0.45">
      <c r="A152" s="333" t="s">
        <v>150</v>
      </c>
      <c r="B152" s="83" t="s">
        <v>25</v>
      </c>
      <c r="C152" s="83" t="s">
        <v>25</v>
      </c>
      <c r="D152" s="84"/>
      <c r="E152" s="85"/>
      <c r="F152" s="84"/>
      <c r="G152" s="236">
        <f>SUM(G138:G138)</f>
        <v>0</v>
      </c>
      <c r="H152" s="236">
        <f>SUM(H138:H138)</f>
        <v>0</v>
      </c>
      <c r="I152" s="87"/>
      <c r="J152" s="87"/>
      <c r="K152" s="87"/>
      <c r="L152" s="88"/>
      <c r="M152" s="335"/>
      <c r="N152" s="336"/>
      <c r="O152" s="336"/>
      <c r="P152" s="337"/>
      <c r="Q152" s="237">
        <f t="shared" ref="Q152:AD152" si="29">SUM(Q142:Q151)</f>
        <v>4474</v>
      </c>
      <c r="R152" s="237">
        <f t="shared" si="29"/>
        <v>0</v>
      </c>
      <c r="S152" s="238">
        <f t="shared" si="29"/>
        <v>609.1</v>
      </c>
      <c r="T152" s="238">
        <f t="shared" si="29"/>
        <v>0</v>
      </c>
      <c r="U152" s="237">
        <f t="shared" si="29"/>
        <v>45</v>
      </c>
      <c r="V152" s="237">
        <f t="shared" si="29"/>
        <v>0</v>
      </c>
      <c r="W152" s="238">
        <f t="shared" si="29"/>
        <v>399.42953745791431</v>
      </c>
      <c r="X152" s="238">
        <f t="shared" si="29"/>
        <v>0</v>
      </c>
      <c r="Y152" s="95">
        <f t="shared" si="29"/>
        <v>400.38476872895717</v>
      </c>
      <c r="Z152" s="95">
        <f t="shared" si="29"/>
        <v>0</v>
      </c>
      <c r="AA152" s="238">
        <f t="shared" si="29"/>
        <v>0</v>
      </c>
      <c r="AB152" s="238">
        <f t="shared" si="29"/>
        <v>0</v>
      </c>
      <c r="AC152" s="98">
        <f t="shared" si="29"/>
        <v>401.34000000000003</v>
      </c>
      <c r="AD152" s="98">
        <f t="shared" si="29"/>
        <v>0</v>
      </c>
    </row>
    <row r="153" spans="1:30" ht="27" thickBot="1" x14ac:dyDescent="0.45">
      <c r="A153" s="334"/>
      <c r="B153" s="83">
        <v>2</v>
      </c>
      <c r="C153" s="83">
        <v>2</v>
      </c>
      <c r="D153" s="84"/>
      <c r="E153" s="84"/>
      <c r="F153" s="84"/>
      <c r="G153" s="99">
        <v>0</v>
      </c>
      <c r="H153" s="100"/>
      <c r="I153" s="99"/>
      <c r="J153" s="100"/>
      <c r="K153" s="341"/>
      <c r="L153" s="342"/>
      <c r="M153" s="338"/>
      <c r="N153" s="339"/>
      <c r="O153" s="339"/>
      <c r="P153" s="340"/>
      <c r="Q153" s="343">
        <f>Q152+R152</f>
        <v>4474</v>
      </c>
      <c r="R153" s="344"/>
      <c r="S153" s="345">
        <f>S152+T152</f>
        <v>609.1</v>
      </c>
      <c r="T153" s="346"/>
      <c r="U153" s="347">
        <f>U152+V152</f>
        <v>45</v>
      </c>
      <c r="V153" s="348"/>
      <c r="W153" s="327">
        <f>W152+X152</f>
        <v>399.42953745791431</v>
      </c>
      <c r="X153" s="328"/>
      <c r="Y153" s="329">
        <f>Y152+Z152</f>
        <v>400.38476872895717</v>
      </c>
      <c r="Z153" s="330"/>
      <c r="AA153" s="327">
        <f>AA152+AB152</f>
        <v>0</v>
      </c>
      <c r="AB153" s="328"/>
      <c r="AC153" s="331">
        <f>AC152+AD152</f>
        <v>401.34000000000003</v>
      </c>
      <c r="AD153" s="332"/>
    </row>
  </sheetData>
  <autoFilter ref="A5:AD116" xr:uid="{3D257094-AFCF-44D4-9CB6-CF8FC9C29795}"/>
  <mergeCells count="104">
    <mergeCell ref="W153:X153"/>
    <mergeCell ref="Y153:Z153"/>
    <mergeCell ref="AA153:AB153"/>
    <mergeCell ref="AC153:AD153"/>
    <mergeCell ref="A152:A153"/>
    <mergeCell ref="M152:P153"/>
    <mergeCell ref="K153:L153"/>
    <mergeCell ref="Q153:R153"/>
    <mergeCell ref="S153:T153"/>
    <mergeCell ref="U153:V153"/>
    <mergeCell ref="S140:T140"/>
    <mergeCell ref="U140:V140"/>
    <mergeCell ref="W140:X140"/>
    <mergeCell ref="AC140:AD140"/>
    <mergeCell ref="O139:P139"/>
    <mergeCell ref="Q139:R139"/>
    <mergeCell ref="S139:T139"/>
    <mergeCell ref="U139:V139"/>
    <mergeCell ref="W139:X139"/>
    <mergeCell ref="Y139:Z140"/>
    <mergeCell ref="U123:V123"/>
    <mergeCell ref="W123:X123"/>
    <mergeCell ref="Y123:Z124"/>
    <mergeCell ref="W137:X137"/>
    <mergeCell ref="Y137:Z137"/>
    <mergeCell ref="AA137:AB137"/>
    <mergeCell ref="AC137:AD137"/>
    <mergeCell ref="A139:A140"/>
    <mergeCell ref="B139:C140"/>
    <mergeCell ref="G139:H140"/>
    <mergeCell ref="I139:J140"/>
    <mergeCell ref="K139:L140"/>
    <mergeCell ref="M139:N139"/>
    <mergeCell ref="A136:A137"/>
    <mergeCell ref="M136:P137"/>
    <mergeCell ref="K137:L137"/>
    <mergeCell ref="Q137:R137"/>
    <mergeCell ref="S137:T137"/>
    <mergeCell ref="U137:V137"/>
    <mergeCell ref="AA139:AB140"/>
    <mergeCell ref="AC139:AD139"/>
    <mergeCell ref="M140:N140"/>
    <mergeCell ref="O140:P140"/>
    <mergeCell ref="Q140:R140"/>
    <mergeCell ref="A123:A124"/>
    <mergeCell ref="B123:C124"/>
    <mergeCell ref="G123:H124"/>
    <mergeCell ref="I123:J124"/>
    <mergeCell ref="K123:L124"/>
    <mergeCell ref="M123:N123"/>
    <mergeCell ref="E92:J92"/>
    <mergeCell ref="M116:Q116"/>
    <mergeCell ref="X116:AD116"/>
    <mergeCell ref="M117:Q117"/>
    <mergeCell ref="X117:AD117"/>
    <mergeCell ref="F118:G118"/>
    <mergeCell ref="AA123:AB124"/>
    <mergeCell ref="AC123:AD123"/>
    <mergeCell ref="M124:N124"/>
    <mergeCell ref="O124:P124"/>
    <mergeCell ref="Q124:R124"/>
    <mergeCell ref="S124:T124"/>
    <mergeCell ref="U124:V124"/>
    <mergeCell ref="W124:X124"/>
    <mergeCell ref="AC124:AD124"/>
    <mergeCell ref="O123:P123"/>
    <mergeCell ref="Q123:R123"/>
    <mergeCell ref="S123:T123"/>
    <mergeCell ref="S90:T90"/>
    <mergeCell ref="U90:V90"/>
    <mergeCell ref="W90:X90"/>
    <mergeCell ref="Y90:Z90"/>
    <mergeCell ref="AA90:AB90"/>
    <mergeCell ref="AC90:AD90"/>
    <mergeCell ref="A89:A90"/>
    <mergeCell ref="M89:P90"/>
    <mergeCell ref="G90:H90"/>
    <mergeCell ref="I90:J90"/>
    <mergeCell ref="K90:L90"/>
    <mergeCell ref="Q90:R90"/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</mergeCells>
  <dataValidations count="1">
    <dataValidation type="list" allowBlank="1" showInputMessage="1" showErrorMessage="1" sqref="B10:C10 B54:C54" xr:uid="{E507C652-63B5-4141-83AF-AE4C4C4D19D1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685D-F71B-4223-86D7-3F39AAAFE0E7}">
  <sheetPr>
    <tabColor rgb="FF00B050"/>
  </sheetPr>
  <dimension ref="A1:AL150"/>
  <sheetViews>
    <sheetView zoomScale="78" zoomScaleNormal="78" zoomScaleSheetLayoutView="70" workbookViewId="0">
      <pane xSplit="4" ySplit="5" topLeftCell="E90" activePane="bottomRight" state="frozen"/>
      <selection activeCell="M107" sqref="M107"/>
      <selection pane="topRight" activeCell="M107" sqref="M107"/>
      <selection pane="bottomLeft" activeCell="M107" sqref="M107"/>
      <selection pane="bottomRight" activeCell="E88" sqref="E87:AG111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324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296</v>
      </c>
      <c r="E6" s="28">
        <v>69011528</v>
      </c>
      <c r="F6" s="29">
        <v>690126</v>
      </c>
      <c r="G6" s="30">
        <v>250</v>
      </c>
      <c r="H6" s="31">
        <v>0</v>
      </c>
      <c r="I6" s="32">
        <v>750</v>
      </c>
      <c r="J6" s="32">
        <v>750</v>
      </c>
      <c r="K6" s="33">
        <f>G6*8/100</f>
        <v>20</v>
      </c>
      <c r="L6" s="34">
        <f>H6*8/100</f>
        <v>0</v>
      </c>
      <c r="M6" s="318">
        <v>577</v>
      </c>
      <c r="N6" s="303">
        <v>827</v>
      </c>
      <c r="O6" s="303">
        <v>827</v>
      </c>
      <c r="P6" s="303">
        <v>827</v>
      </c>
      <c r="Q6" s="35">
        <v>2000</v>
      </c>
      <c r="R6" s="35"/>
      <c r="S6" s="36">
        <v>184.8</v>
      </c>
      <c r="T6" s="36"/>
      <c r="U6" s="37">
        <v>20</v>
      </c>
      <c r="V6" s="38"/>
      <c r="W6" s="39">
        <f>S6*1000/39.37/Q6*44.5</f>
        <v>104.43992887985776</v>
      </c>
      <c r="X6" s="39"/>
      <c r="Y6" s="40"/>
      <c r="Z6" s="40"/>
      <c r="AA6" s="41">
        <v>107.08</v>
      </c>
      <c r="AB6" s="42"/>
      <c r="AC6" s="43">
        <v>109.71</v>
      </c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101</v>
      </c>
      <c r="E7" s="28"/>
      <c r="F7" s="29">
        <v>690126</v>
      </c>
      <c r="G7" s="45">
        <v>411</v>
      </c>
      <c r="H7" s="31">
        <v>680</v>
      </c>
      <c r="I7" s="46">
        <v>750</v>
      </c>
      <c r="J7" s="32">
        <v>750</v>
      </c>
      <c r="K7" s="33">
        <f t="shared" ref="K7:L38" si="0">G7*8/100</f>
        <v>32.880000000000003</v>
      </c>
      <c r="L7" s="47">
        <f t="shared" si="0"/>
        <v>54.4</v>
      </c>
      <c r="M7" s="318">
        <v>1589</v>
      </c>
      <c r="N7" s="303">
        <v>0</v>
      </c>
      <c r="O7" s="303">
        <v>0</v>
      </c>
      <c r="P7" s="303">
        <v>680</v>
      </c>
      <c r="Q7" s="35"/>
      <c r="R7" s="48"/>
      <c r="S7" s="36"/>
      <c r="T7" s="36"/>
      <c r="U7" s="37"/>
      <c r="V7" s="38"/>
      <c r="W7" s="39" t="s">
        <v>151</v>
      </c>
      <c r="X7" s="39"/>
      <c r="Y7" s="40"/>
      <c r="Z7" s="40"/>
      <c r="AA7" s="41"/>
      <c r="AB7" s="42"/>
      <c r="AC7" s="43"/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69011511</v>
      </c>
      <c r="F8" s="29">
        <v>690111</v>
      </c>
      <c r="G8" s="45">
        <v>721</v>
      </c>
      <c r="H8" s="31">
        <v>720</v>
      </c>
      <c r="I8" s="46">
        <v>750</v>
      </c>
      <c r="J8" s="32">
        <v>750</v>
      </c>
      <c r="K8" s="33">
        <f t="shared" si="0"/>
        <v>57.68</v>
      </c>
      <c r="L8" s="47">
        <f t="shared" si="0"/>
        <v>57.6</v>
      </c>
      <c r="M8" s="318">
        <v>421</v>
      </c>
      <c r="N8" s="303">
        <v>1142</v>
      </c>
      <c r="O8" s="303">
        <v>1142</v>
      </c>
      <c r="P8" s="303">
        <v>1862</v>
      </c>
      <c r="Q8" s="35">
        <v>2500</v>
      </c>
      <c r="R8" s="48"/>
      <c r="S8" s="36">
        <v>167.4</v>
      </c>
      <c r="T8" s="36"/>
      <c r="U8" s="37">
        <v>25</v>
      </c>
      <c r="V8" s="38"/>
      <c r="W8" s="39">
        <f>S8*1000/39.37/Q8*38.5</f>
        <v>65.480314960629926</v>
      </c>
      <c r="X8" s="39"/>
      <c r="Y8" s="40">
        <v>65.44</v>
      </c>
      <c r="Z8" s="40"/>
      <c r="AA8" s="41"/>
      <c r="AB8" s="42"/>
      <c r="AC8" s="43">
        <v>65.39</v>
      </c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314</v>
      </c>
      <c r="E9" s="28"/>
      <c r="F9" s="29">
        <v>690119</v>
      </c>
      <c r="G9" s="45">
        <v>830</v>
      </c>
      <c r="H9" s="31">
        <v>838</v>
      </c>
      <c r="I9" s="46">
        <v>110</v>
      </c>
      <c r="J9" s="32">
        <v>110</v>
      </c>
      <c r="K9" s="33">
        <f t="shared" si="0"/>
        <v>66.400000000000006</v>
      </c>
      <c r="L9" s="47">
        <f t="shared" si="0"/>
        <v>67.040000000000006</v>
      </c>
      <c r="M9" s="318">
        <v>1220</v>
      </c>
      <c r="N9" s="303">
        <v>2050</v>
      </c>
      <c r="O9" s="303">
        <v>2050</v>
      </c>
      <c r="P9" s="303">
        <v>320</v>
      </c>
      <c r="Q9" s="35"/>
      <c r="R9" s="48"/>
      <c r="S9" s="36"/>
      <c r="T9" s="36"/>
      <c r="U9" s="37"/>
      <c r="V9" s="38"/>
      <c r="W9" s="39"/>
      <c r="X9" s="39"/>
      <c r="Y9" s="40"/>
      <c r="Z9" s="40"/>
      <c r="AA9" s="41"/>
      <c r="AB9" s="42"/>
      <c r="AC9" s="43"/>
      <c r="AD9" s="43"/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314</v>
      </c>
      <c r="E10" s="28">
        <v>639011553</v>
      </c>
      <c r="F10" s="29">
        <v>690136</v>
      </c>
      <c r="G10" s="51">
        <v>0</v>
      </c>
      <c r="H10" s="31">
        <v>646</v>
      </c>
      <c r="I10" s="46">
        <v>110</v>
      </c>
      <c r="J10" s="32">
        <v>110</v>
      </c>
      <c r="K10" s="33">
        <f t="shared" si="0"/>
        <v>0</v>
      </c>
      <c r="L10" s="47">
        <f t="shared" si="0"/>
        <v>51.68</v>
      </c>
      <c r="M10" s="318">
        <v>0</v>
      </c>
      <c r="N10" s="303">
        <v>0</v>
      </c>
      <c r="O10" s="303">
        <v>0</v>
      </c>
      <c r="P10" s="303">
        <v>646</v>
      </c>
      <c r="Q10" s="35"/>
      <c r="R10" s="48">
        <v>2030</v>
      </c>
      <c r="S10" s="36"/>
      <c r="T10" s="36">
        <v>171.8</v>
      </c>
      <c r="U10" s="37"/>
      <c r="V10" s="38">
        <v>20</v>
      </c>
      <c r="W10" s="39"/>
      <c r="X10" s="39">
        <f>T10*1000/39.37/R10*38.5</f>
        <v>82.760372417296566</v>
      </c>
      <c r="Y10" s="40"/>
      <c r="Z10" s="40">
        <v>82.64</v>
      </c>
      <c r="AA10" s="41"/>
      <c r="AB10" s="42"/>
      <c r="AC10" s="43"/>
      <c r="AD10" s="43">
        <v>82.51</v>
      </c>
      <c r="AE10" s="260" t="s">
        <v>333</v>
      </c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101</v>
      </c>
      <c r="E11" s="28">
        <v>69011532</v>
      </c>
      <c r="F11" s="29">
        <v>690126</v>
      </c>
      <c r="G11" s="45">
        <v>456</v>
      </c>
      <c r="H11" s="31">
        <v>601</v>
      </c>
      <c r="I11" s="46">
        <v>800</v>
      </c>
      <c r="J11" s="32">
        <v>800</v>
      </c>
      <c r="K11" s="33">
        <f t="shared" si="0"/>
        <v>36.479999999999997</v>
      </c>
      <c r="L11" s="47">
        <f>H11*8/100</f>
        <v>48.08</v>
      </c>
      <c r="M11" s="319">
        <v>2</v>
      </c>
      <c r="N11" s="304">
        <v>458</v>
      </c>
      <c r="O11" s="304">
        <v>458</v>
      </c>
      <c r="P11" s="304">
        <v>1059</v>
      </c>
      <c r="Q11" s="35">
        <v>1950</v>
      </c>
      <c r="R11" s="48"/>
      <c r="S11" s="36">
        <v>192.3</v>
      </c>
      <c r="T11" s="36"/>
      <c r="U11" s="37">
        <v>20</v>
      </c>
      <c r="V11" s="38"/>
      <c r="W11" s="39">
        <f>S11*1000/39.37/Q11*44.5</f>
        <v>111.46519216115355</v>
      </c>
      <c r="X11" s="39"/>
      <c r="Y11" s="40">
        <v>111.38</v>
      </c>
      <c r="Z11" s="52"/>
      <c r="AA11" s="41"/>
      <c r="AB11" s="42"/>
      <c r="AC11" s="43">
        <v>111.29</v>
      </c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285</v>
      </c>
      <c r="E12" s="28"/>
      <c r="F12" s="29">
        <v>690143</v>
      </c>
      <c r="G12" s="45">
        <v>334</v>
      </c>
      <c r="H12" s="31">
        <v>764</v>
      </c>
      <c r="I12" s="46">
        <v>800</v>
      </c>
      <c r="J12" s="32">
        <v>800</v>
      </c>
      <c r="K12" s="33">
        <f t="shared" si="0"/>
        <v>26.72</v>
      </c>
      <c r="L12" s="47">
        <f t="shared" si="0"/>
        <v>61.12</v>
      </c>
      <c r="M12" s="318">
        <v>1190</v>
      </c>
      <c r="N12" s="303">
        <v>1524</v>
      </c>
      <c r="O12" s="303">
        <v>1524</v>
      </c>
      <c r="P12" s="303">
        <v>2288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285</v>
      </c>
      <c r="E13" s="28">
        <v>69011533</v>
      </c>
      <c r="F13" s="29">
        <v>690143</v>
      </c>
      <c r="G13" s="45">
        <v>397</v>
      </c>
      <c r="H13" s="31">
        <v>774</v>
      </c>
      <c r="I13" s="46">
        <v>800</v>
      </c>
      <c r="J13" s="32">
        <v>800</v>
      </c>
      <c r="K13" s="33">
        <f t="shared" si="0"/>
        <v>31.76</v>
      </c>
      <c r="L13" s="47">
        <f t="shared" si="0"/>
        <v>61.92</v>
      </c>
      <c r="M13" s="318">
        <v>361</v>
      </c>
      <c r="N13" s="303">
        <v>758</v>
      </c>
      <c r="O13" s="303">
        <v>758</v>
      </c>
      <c r="P13" s="303">
        <v>502</v>
      </c>
      <c r="Q13" s="35">
        <v>2500</v>
      </c>
      <c r="R13" s="48"/>
      <c r="S13" s="36">
        <v>184.8</v>
      </c>
      <c r="T13" s="36"/>
      <c r="U13" s="37">
        <v>25</v>
      </c>
      <c r="V13" s="38"/>
      <c r="W13" s="39">
        <f>S13*1000/39.37/Q13*35.5</f>
        <v>66.653797307594616</v>
      </c>
      <c r="X13" s="39"/>
      <c r="Y13" s="40">
        <v>66.209999999999994</v>
      </c>
      <c r="Z13" s="40"/>
      <c r="AA13" s="41"/>
      <c r="AB13" s="42"/>
      <c r="AC13" s="43">
        <v>65.77</v>
      </c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364</v>
      </c>
      <c r="H14" s="31">
        <v>645</v>
      </c>
      <c r="I14" s="46">
        <v>800</v>
      </c>
      <c r="J14" s="32">
        <v>800</v>
      </c>
      <c r="K14" s="33">
        <f t="shared" si="0"/>
        <v>29.12</v>
      </c>
      <c r="L14" s="47">
        <f t="shared" si="0"/>
        <v>51.6</v>
      </c>
      <c r="M14" s="318">
        <v>1481</v>
      </c>
      <c r="N14" s="303">
        <v>345</v>
      </c>
      <c r="O14" s="303">
        <v>345</v>
      </c>
      <c r="P14" s="303">
        <v>990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314</v>
      </c>
      <c r="E15" s="28">
        <v>69011531</v>
      </c>
      <c r="F15" s="29">
        <v>690119</v>
      </c>
      <c r="G15" s="55">
        <v>558</v>
      </c>
      <c r="H15" s="31">
        <v>768</v>
      </c>
      <c r="I15" s="46">
        <v>800</v>
      </c>
      <c r="J15" s="32">
        <v>800</v>
      </c>
      <c r="K15" s="33">
        <f t="shared" si="0"/>
        <v>44.64</v>
      </c>
      <c r="L15" s="47">
        <f t="shared" si="0"/>
        <v>61.44</v>
      </c>
      <c r="M15" s="318">
        <v>500</v>
      </c>
      <c r="N15" s="303">
        <v>1058</v>
      </c>
      <c r="O15" s="303">
        <v>1058</v>
      </c>
      <c r="P15" s="303">
        <v>1826</v>
      </c>
      <c r="Q15" s="35">
        <v>2500</v>
      </c>
      <c r="R15" s="48"/>
      <c r="S15" s="36">
        <v>208.7</v>
      </c>
      <c r="T15" s="36"/>
      <c r="U15" s="37">
        <v>25</v>
      </c>
      <c r="V15" s="38"/>
      <c r="W15" s="39">
        <f>S15*1000/39.37/Q15*38.5</f>
        <v>81.635255270510555</v>
      </c>
      <c r="X15" s="39"/>
      <c r="Y15" s="40">
        <v>83.31</v>
      </c>
      <c r="Z15" s="40"/>
      <c r="AA15" s="41"/>
      <c r="AB15" s="42"/>
      <c r="AC15" s="43">
        <v>84.98</v>
      </c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>
        <v>69011530</v>
      </c>
      <c r="F16" s="29">
        <v>690106</v>
      </c>
      <c r="G16" s="55">
        <v>504</v>
      </c>
      <c r="H16" s="31">
        <v>720</v>
      </c>
      <c r="I16" s="46">
        <v>800</v>
      </c>
      <c r="J16" s="32">
        <v>800</v>
      </c>
      <c r="K16" s="33">
        <f t="shared" si="0"/>
        <v>40.32</v>
      </c>
      <c r="L16" s="47">
        <f t="shared" si="0"/>
        <v>57.6</v>
      </c>
      <c r="M16" s="318">
        <v>211</v>
      </c>
      <c r="N16" s="303">
        <v>715</v>
      </c>
      <c r="O16" s="303">
        <v>715</v>
      </c>
      <c r="P16" s="303">
        <v>1435</v>
      </c>
      <c r="Q16" s="35">
        <v>2490</v>
      </c>
      <c r="R16" s="48"/>
      <c r="S16" s="36">
        <v>196.1</v>
      </c>
      <c r="T16" s="36"/>
      <c r="U16" s="37">
        <v>25</v>
      </c>
      <c r="V16" s="38"/>
      <c r="W16" s="39">
        <f>S16*1000/39.37/Q16*31.5</f>
        <v>63.012017590300246</v>
      </c>
      <c r="X16" s="39"/>
      <c r="Y16" s="40">
        <v>63.73</v>
      </c>
      <c r="Z16" s="40"/>
      <c r="AA16" s="41"/>
      <c r="AB16" s="42"/>
      <c r="AC16" s="43">
        <v>64.45</v>
      </c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61</v>
      </c>
      <c r="E17" s="28">
        <v>69011543</v>
      </c>
      <c r="F17" s="29">
        <v>690106</v>
      </c>
      <c r="G17" s="55">
        <v>533</v>
      </c>
      <c r="H17" s="31">
        <v>969</v>
      </c>
      <c r="I17" s="46">
        <v>800</v>
      </c>
      <c r="J17" s="32">
        <v>800</v>
      </c>
      <c r="K17" s="33">
        <f t="shared" si="0"/>
        <v>42.64</v>
      </c>
      <c r="L17" s="47">
        <f t="shared" si="0"/>
        <v>77.52</v>
      </c>
      <c r="M17" s="318">
        <v>1842</v>
      </c>
      <c r="N17" s="303">
        <v>375</v>
      </c>
      <c r="O17" s="303">
        <v>375</v>
      </c>
      <c r="P17" s="303">
        <v>1344</v>
      </c>
      <c r="Q17" s="35"/>
      <c r="R17" s="48">
        <v>2000</v>
      </c>
      <c r="S17" s="36"/>
      <c r="T17" s="36">
        <v>156.5</v>
      </c>
      <c r="U17" s="37"/>
      <c r="V17" s="38"/>
      <c r="W17" s="39"/>
      <c r="X17" s="39">
        <f>T17*1000/39.37/R17*38.5</f>
        <v>76.520828041656088</v>
      </c>
      <c r="Y17" s="40"/>
      <c r="Z17" s="40">
        <v>76.53</v>
      </c>
      <c r="AA17" s="41"/>
      <c r="AB17" s="42"/>
      <c r="AC17" s="43"/>
      <c r="AD17" s="43">
        <v>76.53</v>
      </c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61</v>
      </c>
      <c r="E18" s="28">
        <v>69011542</v>
      </c>
      <c r="F18" s="29">
        <v>690106</v>
      </c>
      <c r="G18" s="55">
        <v>392</v>
      </c>
      <c r="H18" s="31">
        <v>1000</v>
      </c>
      <c r="I18" s="46">
        <v>800</v>
      </c>
      <c r="J18" s="32">
        <v>800</v>
      </c>
      <c r="K18" s="33">
        <f t="shared" si="0"/>
        <v>31.36</v>
      </c>
      <c r="L18" s="47">
        <f t="shared" si="0"/>
        <v>80</v>
      </c>
      <c r="M18" s="318">
        <v>1842</v>
      </c>
      <c r="N18" s="303">
        <v>234</v>
      </c>
      <c r="O18" s="303">
        <v>234</v>
      </c>
      <c r="P18" s="303">
        <v>1234</v>
      </c>
      <c r="Q18" s="35"/>
      <c r="R18" s="48">
        <v>2000</v>
      </c>
      <c r="S18" s="36"/>
      <c r="T18" s="36">
        <v>155.5</v>
      </c>
      <c r="U18" s="37"/>
      <c r="V18" s="38"/>
      <c r="W18" s="39"/>
      <c r="X18" s="39">
        <f>T18*1000/39.37/R18*38.5</f>
        <v>76.031877063754138</v>
      </c>
      <c r="Y18" s="40"/>
      <c r="Z18" s="40">
        <v>76.88</v>
      </c>
      <c r="AA18" s="41"/>
      <c r="AB18" s="42"/>
      <c r="AC18" s="43"/>
      <c r="AD18" s="43">
        <v>77.73</v>
      </c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61</v>
      </c>
      <c r="E19" s="28"/>
      <c r="F19" s="29">
        <v>690112</v>
      </c>
      <c r="G19" s="45">
        <v>0</v>
      </c>
      <c r="H19" s="31">
        <v>222</v>
      </c>
      <c r="I19" s="46">
        <v>750</v>
      </c>
      <c r="J19" s="32">
        <v>750</v>
      </c>
      <c r="K19" s="33">
        <f t="shared" si="0"/>
        <v>0</v>
      </c>
      <c r="L19" s="47">
        <f t="shared" si="0"/>
        <v>17.760000000000002</v>
      </c>
      <c r="M19" s="318">
        <v>1649</v>
      </c>
      <c r="N19" s="303">
        <v>1649</v>
      </c>
      <c r="O19" s="303">
        <v>1649</v>
      </c>
      <c r="P19" s="303">
        <v>1871</v>
      </c>
      <c r="Q19" s="35"/>
      <c r="R19" s="48"/>
      <c r="S19" s="36"/>
      <c r="T19" s="36"/>
      <c r="U19" s="37"/>
      <c r="V19" s="38"/>
      <c r="W19" s="39"/>
      <c r="X19" s="39"/>
      <c r="Y19" s="40"/>
      <c r="Z19" s="40"/>
      <c r="AA19" s="41"/>
      <c r="AB19" s="42"/>
      <c r="AC19" s="43"/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140</v>
      </c>
      <c r="E20" s="28">
        <v>69011507</v>
      </c>
      <c r="F20" s="29">
        <v>690119</v>
      </c>
      <c r="G20" s="45">
        <v>498</v>
      </c>
      <c r="H20" s="31">
        <v>230</v>
      </c>
      <c r="I20" s="46">
        <v>750</v>
      </c>
      <c r="J20" s="32">
        <v>750</v>
      </c>
      <c r="K20" s="33">
        <f t="shared" si="0"/>
        <v>39.840000000000003</v>
      </c>
      <c r="L20" s="47">
        <f t="shared" si="0"/>
        <v>18.399999999999999</v>
      </c>
      <c r="M20" s="318">
        <v>266</v>
      </c>
      <c r="N20" s="303">
        <v>764</v>
      </c>
      <c r="O20" s="303">
        <v>764</v>
      </c>
      <c r="P20" s="303">
        <v>994</v>
      </c>
      <c r="Q20" s="35">
        <v>2000</v>
      </c>
      <c r="R20" s="48"/>
      <c r="S20" s="36">
        <v>151.19999999999999</v>
      </c>
      <c r="T20" s="36"/>
      <c r="U20" s="37"/>
      <c r="V20" s="38"/>
      <c r="W20" s="39">
        <f>S20*1000/39.37/Q20*38.5</f>
        <v>73.929387858775726</v>
      </c>
      <c r="X20" s="39"/>
      <c r="Y20" s="40">
        <v>74.87</v>
      </c>
      <c r="Z20" s="40"/>
      <c r="AA20" s="41"/>
      <c r="AB20" s="42"/>
      <c r="AC20" s="43">
        <v>75.8</v>
      </c>
      <c r="AD20" s="43"/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140</v>
      </c>
      <c r="E21" s="28">
        <v>69011506</v>
      </c>
      <c r="F21" s="29">
        <v>690119</v>
      </c>
      <c r="G21" s="45">
        <v>263</v>
      </c>
      <c r="H21" s="31">
        <v>530</v>
      </c>
      <c r="I21" s="46">
        <v>750</v>
      </c>
      <c r="J21" s="32">
        <v>750</v>
      </c>
      <c r="K21" s="33">
        <f t="shared" si="0"/>
        <v>21.04</v>
      </c>
      <c r="L21" s="47">
        <f t="shared" si="0"/>
        <v>42.4</v>
      </c>
      <c r="M21" s="318">
        <v>950</v>
      </c>
      <c r="N21" s="303">
        <v>1213</v>
      </c>
      <c r="O21" s="303">
        <v>1213</v>
      </c>
      <c r="P21" s="303">
        <v>1743</v>
      </c>
      <c r="Q21" s="35">
        <v>2000</v>
      </c>
      <c r="R21" s="48"/>
      <c r="S21" s="36">
        <v>148.5</v>
      </c>
      <c r="T21" s="36"/>
      <c r="U21" s="37"/>
      <c r="V21" s="38"/>
      <c r="W21" s="39">
        <f>S21*1000/39.37/Q21*38.5</f>
        <v>72.609220218440441</v>
      </c>
      <c r="X21" s="39"/>
      <c r="Y21" s="40">
        <v>72.39</v>
      </c>
      <c r="Z21" s="40"/>
      <c r="AA21" s="41"/>
      <c r="AB21" s="42"/>
      <c r="AC21" s="43">
        <v>72.17</v>
      </c>
      <c r="AD21" s="43"/>
    </row>
    <row r="22" spans="1:35" ht="24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>
        <v>69011539</v>
      </c>
      <c r="F22" s="29">
        <v>690104</v>
      </c>
      <c r="G22" s="45">
        <v>1114</v>
      </c>
      <c r="H22" s="31">
        <v>1063</v>
      </c>
      <c r="I22" s="46">
        <v>750</v>
      </c>
      <c r="J22" s="32">
        <v>750</v>
      </c>
      <c r="K22" s="33">
        <f t="shared" si="0"/>
        <v>89.12</v>
      </c>
      <c r="L22" s="47">
        <f t="shared" si="0"/>
        <v>85.04</v>
      </c>
      <c r="M22" s="321">
        <v>1859</v>
      </c>
      <c r="N22" s="303">
        <v>973</v>
      </c>
      <c r="O22" s="303">
        <v>973</v>
      </c>
      <c r="P22" s="305">
        <v>36</v>
      </c>
      <c r="Q22" s="35"/>
      <c r="R22" s="48">
        <v>2000</v>
      </c>
      <c r="S22" s="36"/>
      <c r="T22" s="36">
        <v>156.4</v>
      </c>
      <c r="U22" s="37"/>
      <c r="V22" s="38"/>
      <c r="W22" s="39"/>
      <c r="X22" s="39">
        <f>T22*1000/39.37/R22*38.5</f>
        <v>76.471932943865895</v>
      </c>
      <c r="Y22" s="40"/>
      <c r="Z22" s="40">
        <v>77.58</v>
      </c>
      <c r="AA22" s="41"/>
      <c r="AB22" s="42"/>
      <c r="AC22" s="43"/>
      <c r="AD22" s="43">
        <v>78.69</v>
      </c>
    </row>
    <row r="23" spans="1:35" ht="24" customHeight="1" x14ac:dyDescent="0.5">
      <c r="A23" s="249" t="s">
        <v>72</v>
      </c>
      <c r="B23" s="246" t="s">
        <v>42</v>
      </c>
      <c r="C23" s="253" t="s">
        <v>41</v>
      </c>
      <c r="D23" s="258" t="s">
        <v>316</v>
      </c>
      <c r="E23" s="28">
        <v>69011554</v>
      </c>
      <c r="F23" s="29">
        <v>690133</v>
      </c>
      <c r="G23" s="45">
        <v>921</v>
      </c>
      <c r="H23" s="31">
        <v>866</v>
      </c>
      <c r="I23" s="46">
        <v>750</v>
      </c>
      <c r="J23" s="32">
        <v>750</v>
      </c>
      <c r="K23" s="33">
        <f t="shared" si="0"/>
        <v>73.680000000000007</v>
      </c>
      <c r="L23" s="47">
        <f t="shared" si="0"/>
        <v>69.28</v>
      </c>
      <c r="M23" s="318">
        <v>723</v>
      </c>
      <c r="N23" s="303">
        <v>1644</v>
      </c>
      <c r="O23" s="303">
        <v>1644</v>
      </c>
      <c r="P23" s="303">
        <v>10</v>
      </c>
      <c r="Q23" s="35"/>
      <c r="R23" s="48">
        <v>2000</v>
      </c>
      <c r="S23" s="36"/>
      <c r="T23" s="36">
        <v>173.4</v>
      </c>
      <c r="U23" s="37"/>
      <c r="V23" s="38"/>
      <c r="W23" s="39"/>
      <c r="X23" s="39">
        <f>T23*1000/39.37/R23*38.5</f>
        <v>84.784099568199153</v>
      </c>
      <c r="Y23" s="40"/>
      <c r="Z23" s="40">
        <v>85.07</v>
      </c>
      <c r="AA23" s="41"/>
      <c r="AB23" s="42"/>
      <c r="AC23" s="43"/>
      <c r="AD23" s="43">
        <v>85.36</v>
      </c>
    </row>
    <row r="24" spans="1:35" ht="24" customHeight="1" x14ac:dyDescent="0.4">
      <c r="A24" s="249" t="s">
        <v>70</v>
      </c>
      <c r="B24" s="246" t="s">
        <v>42</v>
      </c>
      <c r="C24" s="253" t="s">
        <v>41</v>
      </c>
      <c r="D24" s="256" t="s">
        <v>57</v>
      </c>
      <c r="E24" s="28">
        <v>69011534</v>
      </c>
      <c r="F24" s="29">
        <v>690104</v>
      </c>
      <c r="G24" s="45">
        <v>800</v>
      </c>
      <c r="H24" s="31">
        <v>895</v>
      </c>
      <c r="I24" s="46">
        <v>750</v>
      </c>
      <c r="J24" s="32">
        <v>750</v>
      </c>
      <c r="K24" s="33">
        <f t="shared" si="0"/>
        <v>64</v>
      </c>
      <c r="L24" s="47">
        <f t="shared" si="0"/>
        <v>71.599999999999994</v>
      </c>
      <c r="M24" s="318">
        <v>1496</v>
      </c>
      <c r="N24" s="303">
        <v>296</v>
      </c>
      <c r="O24" s="303">
        <v>296</v>
      </c>
      <c r="P24" s="303">
        <v>1191</v>
      </c>
      <c r="Q24" s="35"/>
      <c r="R24" s="48">
        <v>2470</v>
      </c>
      <c r="S24" s="36"/>
      <c r="T24" s="36">
        <v>195.1</v>
      </c>
      <c r="U24" s="37"/>
      <c r="V24" s="38">
        <v>25</v>
      </c>
      <c r="W24" s="39"/>
      <c r="X24" s="39">
        <f>T24*1000/39.37/R24*31.5</f>
        <v>63.198308582851993</v>
      </c>
      <c r="Y24" s="40"/>
      <c r="Z24" s="40">
        <v>63.65</v>
      </c>
      <c r="AA24" s="41"/>
      <c r="AB24" s="42"/>
      <c r="AC24" s="43"/>
      <c r="AD24" s="43">
        <v>64.09</v>
      </c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101</v>
      </c>
      <c r="E25" s="259"/>
      <c r="F25" s="29">
        <v>690126</v>
      </c>
      <c r="G25" s="45">
        <v>690</v>
      </c>
      <c r="H25" s="31">
        <v>514</v>
      </c>
      <c r="I25" s="46">
        <v>750</v>
      </c>
      <c r="J25" s="32">
        <v>750</v>
      </c>
      <c r="K25" s="33">
        <f t="shared" si="0"/>
        <v>55.2</v>
      </c>
      <c r="L25" s="47">
        <f t="shared" si="0"/>
        <v>41.12</v>
      </c>
      <c r="M25" s="323">
        <v>977</v>
      </c>
      <c r="N25" s="303">
        <v>1667</v>
      </c>
      <c r="O25" s="303">
        <v>1667</v>
      </c>
      <c r="P25" s="306">
        <v>181</v>
      </c>
      <c r="Q25" s="35"/>
      <c r="R25" s="48"/>
      <c r="S25" s="36"/>
      <c r="T25" s="36"/>
      <c r="U25" s="37"/>
      <c r="V25" s="38"/>
      <c r="W25" s="39"/>
      <c r="X25" s="39"/>
      <c r="Y25" s="40"/>
      <c r="Z25" s="40"/>
      <c r="AA25" s="41"/>
      <c r="AB25" s="42"/>
      <c r="AC25" s="239"/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71</v>
      </c>
      <c r="E26" s="259" t="s">
        <v>327</v>
      </c>
      <c r="F26" s="29">
        <v>690119</v>
      </c>
      <c r="G26" s="55">
        <v>0</v>
      </c>
      <c r="H26" s="31">
        <v>854</v>
      </c>
      <c r="I26" s="46">
        <v>800</v>
      </c>
      <c r="J26" s="32">
        <v>800</v>
      </c>
      <c r="K26" s="33">
        <f t="shared" si="0"/>
        <v>0</v>
      </c>
      <c r="L26" s="47">
        <f t="shared" si="0"/>
        <v>68.319999999999993</v>
      </c>
      <c r="M26" s="318">
        <v>1358</v>
      </c>
      <c r="N26" s="303">
        <v>1358</v>
      </c>
      <c r="O26" s="303">
        <v>1358</v>
      </c>
      <c r="P26" s="303">
        <v>2212</v>
      </c>
      <c r="Q26" s="35">
        <v>1218</v>
      </c>
      <c r="R26" s="35">
        <v>840</v>
      </c>
      <c r="S26" s="36">
        <v>86.4</v>
      </c>
      <c r="T26" s="36">
        <v>58.3</v>
      </c>
      <c r="U26" s="37">
        <v>12</v>
      </c>
      <c r="V26" s="38">
        <v>9</v>
      </c>
      <c r="W26" s="39">
        <f>S26*1000/39.37/Q26*31.5</f>
        <v>56.755975580916676</v>
      </c>
      <c r="X26" s="39">
        <f>T26*1000/39.37/R26*31.5</f>
        <v>55.530861061722128</v>
      </c>
      <c r="Y26" s="40">
        <v>58.77</v>
      </c>
      <c r="Z26" s="40">
        <v>57.08</v>
      </c>
      <c r="AA26" s="41"/>
      <c r="AB26" s="42"/>
      <c r="AC26" s="43">
        <v>60.78</v>
      </c>
      <c r="AD26" s="43">
        <v>58.62</v>
      </c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61</v>
      </c>
      <c r="E27" s="28">
        <v>69011505</v>
      </c>
      <c r="F27" s="29">
        <v>690112</v>
      </c>
      <c r="G27" s="55">
        <v>0</v>
      </c>
      <c r="H27" s="31">
        <v>535</v>
      </c>
      <c r="I27" s="46">
        <v>800</v>
      </c>
      <c r="J27" s="32">
        <v>800</v>
      </c>
      <c r="K27" s="33">
        <f t="shared" si="0"/>
        <v>0</v>
      </c>
      <c r="L27" s="47">
        <f t="shared" si="0"/>
        <v>42.8</v>
      </c>
      <c r="M27" s="318">
        <v>15</v>
      </c>
      <c r="N27" s="303">
        <v>15</v>
      </c>
      <c r="O27" s="303">
        <v>15</v>
      </c>
      <c r="P27" s="303">
        <v>550</v>
      </c>
      <c r="Q27" s="35">
        <v>2000</v>
      </c>
      <c r="R27" s="35"/>
      <c r="S27" s="57">
        <v>151.19999999999999</v>
      </c>
      <c r="T27" s="57"/>
      <c r="U27" s="58"/>
      <c r="V27" s="59"/>
      <c r="W27" s="39">
        <f>S27*1000/39.37/Q27*38.5</f>
        <v>73.929387858775726</v>
      </c>
      <c r="X27" s="39"/>
      <c r="Y27" s="40">
        <v>74.55</v>
      </c>
      <c r="Z27" s="40"/>
      <c r="AA27" s="41"/>
      <c r="AB27" s="42"/>
      <c r="AC27" s="43">
        <v>75.16</v>
      </c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61</v>
      </c>
      <c r="E28" s="259">
        <v>69011504</v>
      </c>
      <c r="F28" s="29">
        <v>690112</v>
      </c>
      <c r="G28" s="45">
        <v>0</v>
      </c>
      <c r="H28" s="31">
        <v>0</v>
      </c>
      <c r="I28" s="46">
        <v>800</v>
      </c>
      <c r="J28" s="32">
        <v>800</v>
      </c>
      <c r="K28" s="33">
        <f t="shared" si="0"/>
        <v>0</v>
      </c>
      <c r="L28" s="47">
        <f t="shared" si="0"/>
        <v>0</v>
      </c>
      <c r="M28" s="318">
        <v>511</v>
      </c>
      <c r="N28" s="303">
        <v>511</v>
      </c>
      <c r="O28" s="303">
        <v>511</v>
      </c>
      <c r="P28" s="303">
        <v>511</v>
      </c>
      <c r="Q28" s="35">
        <v>2000</v>
      </c>
      <c r="R28" s="48"/>
      <c r="S28" s="36">
        <v>155.9</v>
      </c>
      <c r="T28" s="36"/>
      <c r="U28" s="37"/>
      <c r="V28" s="38"/>
      <c r="W28" s="39">
        <f>S28*1000/39.37/Q28*38.5</f>
        <v>76.227457454914912</v>
      </c>
      <c r="X28" s="39"/>
      <c r="Y28" s="40">
        <v>77.23</v>
      </c>
      <c r="Z28" s="40"/>
      <c r="AA28" s="41"/>
      <c r="AB28" s="42"/>
      <c r="AC28" s="43">
        <v>78.23</v>
      </c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140</v>
      </c>
      <c r="E29" s="259">
        <v>69011503</v>
      </c>
      <c r="F29" s="29">
        <v>690119</v>
      </c>
      <c r="G29" s="45">
        <v>0</v>
      </c>
      <c r="H29" s="31">
        <v>1000</v>
      </c>
      <c r="I29" s="46">
        <v>800</v>
      </c>
      <c r="J29" s="32">
        <v>800</v>
      </c>
      <c r="K29" s="33">
        <f t="shared" si="0"/>
        <v>0</v>
      </c>
      <c r="L29" s="47">
        <f t="shared" si="0"/>
        <v>80</v>
      </c>
      <c r="M29" s="318">
        <v>289</v>
      </c>
      <c r="N29" s="303">
        <v>289</v>
      </c>
      <c r="O29" s="303">
        <v>289</v>
      </c>
      <c r="P29" s="303">
        <v>1289</v>
      </c>
      <c r="Q29" s="35">
        <v>2000</v>
      </c>
      <c r="R29" s="48"/>
      <c r="S29" s="36">
        <v>148.30000000000001</v>
      </c>
      <c r="T29" s="36"/>
      <c r="U29" s="37"/>
      <c r="V29" s="38"/>
      <c r="W29" s="39">
        <f>S29*1000/39.37/Q29*38.5</f>
        <v>72.511430022860054</v>
      </c>
      <c r="X29" s="39"/>
      <c r="Y29" s="40">
        <v>73.44</v>
      </c>
      <c r="Z29" s="40"/>
      <c r="AA29" s="41"/>
      <c r="AB29" s="42"/>
      <c r="AC29" s="43">
        <v>74.36</v>
      </c>
      <c r="AD29" s="43"/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140</v>
      </c>
      <c r="E30" s="28"/>
      <c r="F30" s="29">
        <v>690108</v>
      </c>
      <c r="G30" s="45">
        <v>0</v>
      </c>
      <c r="H30" s="31">
        <v>902</v>
      </c>
      <c r="I30" s="46">
        <v>800</v>
      </c>
      <c r="J30" s="32">
        <v>800</v>
      </c>
      <c r="K30" s="33">
        <f t="shared" si="0"/>
        <v>0</v>
      </c>
      <c r="L30" s="47">
        <f t="shared" si="0"/>
        <v>72.16</v>
      </c>
      <c r="M30" s="318">
        <v>185</v>
      </c>
      <c r="N30" s="303">
        <v>185</v>
      </c>
      <c r="O30" s="303">
        <v>185</v>
      </c>
      <c r="P30" s="303">
        <v>754</v>
      </c>
      <c r="Q30" s="35"/>
      <c r="R30" s="35"/>
      <c r="S30" s="36"/>
      <c r="T30" s="36"/>
      <c r="U30" s="37"/>
      <c r="V30" s="38"/>
      <c r="W30" s="39"/>
      <c r="X30" s="39"/>
      <c r="Y30" s="40"/>
      <c r="Z30" s="40"/>
      <c r="AA30" s="41"/>
      <c r="AB30" s="42"/>
      <c r="AC30" s="43"/>
      <c r="AD30" s="43"/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18"/>
      <c r="N31" s="303"/>
      <c r="O31" s="303"/>
      <c r="P31" s="303"/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18">
        <v>0</v>
      </c>
      <c r="N32" s="303"/>
      <c r="O32" s="303"/>
      <c r="P32" s="303"/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18">
        <v>0</v>
      </c>
      <c r="N33" s="303"/>
      <c r="O33" s="303"/>
      <c r="P33" s="303"/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/>
      <c r="F34" s="29">
        <v>690119</v>
      </c>
      <c r="G34" s="60">
        <v>464</v>
      </c>
      <c r="H34" s="31">
        <v>617</v>
      </c>
      <c r="I34" s="46">
        <v>110</v>
      </c>
      <c r="J34" s="32">
        <v>110</v>
      </c>
      <c r="K34" s="33">
        <f t="shared" si="0"/>
        <v>37.119999999999997</v>
      </c>
      <c r="L34" s="47">
        <f t="shared" si="0"/>
        <v>49.36</v>
      </c>
      <c r="M34" s="318">
        <v>1441</v>
      </c>
      <c r="N34" s="303">
        <v>1905</v>
      </c>
      <c r="O34" s="303">
        <v>1905</v>
      </c>
      <c r="P34" s="303">
        <v>20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627</v>
      </c>
      <c r="H35" s="31">
        <v>738</v>
      </c>
      <c r="I35" s="46">
        <v>110</v>
      </c>
      <c r="J35" s="32">
        <v>110</v>
      </c>
      <c r="K35" s="33">
        <f t="shared" si="0"/>
        <v>50.16</v>
      </c>
      <c r="L35" s="47">
        <f t="shared" si="0"/>
        <v>59.04</v>
      </c>
      <c r="M35" s="318">
        <v>1045</v>
      </c>
      <c r="N35" s="303">
        <v>142</v>
      </c>
      <c r="O35" s="303">
        <v>142</v>
      </c>
      <c r="P35" s="303">
        <v>880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71</v>
      </c>
      <c r="E36" s="28"/>
      <c r="F36" s="29">
        <v>690106</v>
      </c>
      <c r="G36" s="45">
        <v>0</v>
      </c>
      <c r="H36" s="31">
        <v>1001</v>
      </c>
      <c r="I36" s="46">
        <v>115</v>
      </c>
      <c r="J36" s="32">
        <v>115</v>
      </c>
      <c r="K36" s="33">
        <f t="shared" si="0"/>
        <v>0</v>
      </c>
      <c r="L36" s="47">
        <f t="shared" si="0"/>
        <v>80.08</v>
      </c>
      <c r="M36" s="318">
        <v>551</v>
      </c>
      <c r="N36" s="303">
        <v>0</v>
      </c>
      <c r="O36" s="303">
        <v>0</v>
      </c>
      <c r="P36" s="303">
        <v>1001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71</v>
      </c>
      <c r="E37" s="28"/>
      <c r="F37" s="29">
        <v>690106</v>
      </c>
      <c r="G37" s="45">
        <v>0</v>
      </c>
      <c r="H37" s="31">
        <v>914</v>
      </c>
      <c r="I37" s="46">
        <v>115</v>
      </c>
      <c r="J37" s="32">
        <v>115</v>
      </c>
      <c r="K37" s="33">
        <f t="shared" si="0"/>
        <v>0</v>
      </c>
      <c r="L37" s="47">
        <f t="shared" si="0"/>
        <v>73.12</v>
      </c>
      <c r="M37" s="318">
        <v>21</v>
      </c>
      <c r="N37" s="303">
        <v>21</v>
      </c>
      <c r="O37" s="303">
        <v>21</v>
      </c>
      <c r="P37" s="303">
        <v>935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71</v>
      </c>
      <c r="E38" s="28"/>
      <c r="F38" s="29">
        <v>690106</v>
      </c>
      <c r="G38" s="45">
        <v>0</v>
      </c>
      <c r="H38" s="31">
        <v>921</v>
      </c>
      <c r="I38" s="46">
        <v>115</v>
      </c>
      <c r="J38" s="32">
        <v>115</v>
      </c>
      <c r="K38" s="33">
        <f t="shared" si="0"/>
        <v>0</v>
      </c>
      <c r="L38" s="47">
        <f t="shared" si="0"/>
        <v>73.680000000000007</v>
      </c>
      <c r="M38" s="318">
        <v>31</v>
      </c>
      <c r="N38" s="303">
        <v>31</v>
      </c>
      <c r="O38" s="303">
        <v>31</v>
      </c>
      <c r="P38" s="303">
        <v>952</v>
      </c>
      <c r="Q38" s="35"/>
      <c r="R38" s="35"/>
      <c r="S38" s="31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>
        <v>69011522</v>
      </c>
      <c r="F39" s="29">
        <v>690107</v>
      </c>
      <c r="G39" s="45">
        <v>231</v>
      </c>
      <c r="H39" s="31">
        <v>800</v>
      </c>
      <c r="I39" s="63">
        <v>115</v>
      </c>
      <c r="J39" s="64">
        <v>115</v>
      </c>
      <c r="K39" s="65">
        <f t="shared" ref="K39:L55" si="1">G39*8/100</f>
        <v>18.48</v>
      </c>
      <c r="L39" s="68">
        <f t="shared" si="1"/>
        <v>64</v>
      </c>
      <c r="M39" s="318">
        <v>548</v>
      </c>
      <c r="N39" s="303">
        <v>779</v>
      </c>
      <c r="O39" s="303">
        <v>779</v>
      </c>
      <c r="P39" s="303">
        <v>1579</v>
      </c>
      <c r="Q39" s="35">
        <v>1104</v>
      </c>
      <c r="R39" s="67"/>
      <c r="S39" s="36">
        <v>74.099999999999994</v>
      </c>
      <c r="T39" s="36"/>
      <c r="U39" s="37">
        <v>11</v>
      </c>
      <c r="V39" s="37"/>
      <c r="W39" s="39">
        <f>S39*1000/39.37/Q39*38.5</f>
        <v>65.636354098795152</v>
      </c>
      <c r="X39" s="39"/>
      <c r="Y39" s="40">
        <v>66.86</v>
      </c>
      <c r="Z39" s="40"/>
      <c r="AA39" s="41"/>
      <c r="AB39" s="42"/>
      <c r="AC39" s="43">
        <v>68.08</v>
      </c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314</v>
      </c>
      <c r="E40" s="28">
        <v>69011521</v>
      </c>
      <c r="F40" s="29">
        <v>690106</v>
      </c>
      <c r="G40" s="45">
        <v>388</v>
      </c>
      <c r="H40" s="31">
        <v>915</v>
      </c>
      <c r="I40" s="63">
        <v>115</v>
      </c>
      <c r="J40" s="64">
        <v>115</v>
      </c>
      <c r="K40" s="65">
        <f t="shared" si="1"/>
        <v>31.04</v>
      </c>
      <c r="L40" s="68">
        <f t="shared" si="1"/>
        <v>73.2</v>
      </c>
      <c r="M40" s="318">
        <v>407</v>
      </c>
      <c r="N40" s="303">
        <v>795</v>
      </c>
      <c r="O40" s="303">
        <v>795</v>
      </c>
      <c r="P40" s="303">
        <v>1710</v>
      </c>
      <c r="Q40" s="35">
        <v>2510</v>
      </c>
      <c r="R40" s="67"/>
      <c r="S40" s="36">
        <v>205.7</v>
      </c>
      <c r="T40" s="36"/>
      <c r="U40" s="37">
        <v>25</v>
      </c>
      <c r="V40" s="37"/>
      <c r="W40" s="39">
        <f>S40*1000/39.37/Q40*38.5</f>
        <v>80.141208091181127</v>
      </c>
      <c r="X40" s="39"/>
      <c r="Y40" s="40">
        <v>81.790000000000006</v>
      </c>
      <c r="Z40" s="40"/>
      <c r="AA40" s="41"/>
      <c r="AB40" s="42"/>
      <c r="AC40" s="43">
        <v>83.43</v>
      </c>
      <c r="AD40" s="43"/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/>
      <c r="F41" s="29">
        <v>690119</v>
      </c>
      <c r="G41" s="45">
        <v>347</v>
      </c>
      <c r="H41" s="31">
        <v>870</v>
      </c>
      <c r="I41" s="46">
        <v>120</v>
      </c>
      <c r="J41" s="32">
        <v>120</v>
      </c>
      <c r="K41" s="33">
        <f t="shared" si="1"/>
        <v>27.76</v>
      </c>
      <c r="L41" s="47">
        <f t="shared" si="1"/>
        <v>69.599999999999994</v>
      </c>
      <c r="M41" s="318">
        <v>1037</v>
      </c>
      <c r="N41" s="303">
        <v>1384</v>
      </c>
      <c r="O41" s="303">
        <v>1384</v>
      </c>
      <c r="P41" s="303">
        <v>2254</v>
      </c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314</v>
      </c>
      <c r="E42" s="28">
        <v>69011535</v>
      </c>
      <c r="F42" s="29">
        <v>690119</v>
      </c>
      <c r="G42" s="45">
        <v>62</v>
      </c>
      <c r="H42" s="31">
        <v>0</v>
      </c>
      <c r="I42" s="46">
        <v>120</v>
      </c>
      <c r="J42" s="32">
        <v>120</v>
      </c>
      <c r="K42" s="33">
        <f t="shared" si="1"/>
        <v>4.96</v>
      </c>
      <c r="L42" s="47">
        <f t="shared" si="1"/>
        <v>0</v>
      </c>
      <c r="M42" s="318">
        <v>126</v>
      </c>
      <c r="N42" s="303">
        <v>188</v>
      </c>
      <c r="O42" s="303">
        <v>188</v>
      </c>
      <c r="P42" s="303">
        <v>188</v>
      </c>
      <c r="Q42" s="35"/>
      <c r="R42" s="48">
        <v>1280</v>
      </c>
      <c r="S42" s="36"/>
      <c r="T42" s="36">
        <v>111.8</v>
      </c>
      <c r="U42" s="37"/>
      <c r="V42" s="38">
        <v>10</v>
      </c>
      <c r="W42" s="39"/>
      <c r="X42" s="39">
        <f>T42*1000/39.37/R42*38.5</f>
        <v>85.413623952247903</v>
      </c>
      <c r="Y42" s="40"/>
      <c r="Z42" s="40">
        <v>85.21</v>
      </c>
      <c r="AA42" s="41"/>
      <c r="AB42" s="42"/>
      <c r="AC42" s="43"/>
      <c r="AD42" s="43">
        <v>85</v>
      </c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314</v>
      </c>
      <c r="E43" s="28">
        <v>69011520</v>
      </c>
      <c r="F43" s="29">
        <v>690136</v>
      </c>
      <c r="G43" s="45">
        <v>0</v>
      </c>
      <c r="H43" s="31">
        <v>0</v>
      </c>
      <c r="I43" s="46">
        <v>120</v>
      </c>
      <c r="J43" s="32">
        <v>120</v>
      </c>
      <c r="K43" s="33">
        <f t="shared" si="1"/>
        <v>0</v>
      </c>
      <c r="L43" s="47">
        <f t="shared" si="1"/>
        <v>0</v>
      </c>
      <c r="M43" s="318">
        <v>197</v>
      </c>
      <c r="N43" s="303">
        <v>197</v>
      </c>
      <c r="O43" s="303">
        <v>197</v>
      </c>
      <c r="P43" s="303">
        <v>197</v>
      </c>
      <c r="Q43" s="35">
        <v>2515</v>
      </c>
      <c r="R43" s="48"/>
      <c r="S43" s="36">
        <v>212.7</v>
      </c>
      <c r="T43" s="36"/>
      <c r="U43" s="37">
        <v>25</v>
      </c>
      <c r="V43" s="38"/>
      <c r="W43" s="39">
        <f>S43*1000/39.37/Q43*38.5</f>
        <v>82.703676341746316</v>
      </c>
      <c r="X43" s="39"/>
      <c r="Y43" s="40">
        <v>83.36</v>
      </c>
      <c r="Z43" s="40"/>
      <c r="AA43" s="41"/>
      <c r="AB43" s="42"/>
      <c r="AC43" s="43">
        <v>84.01</v>
      </c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>
        <v>69011518</v>
      </c>
      <c r="F44" s="29">
        <v>690128</v>
      </c>
      <c r="G44" s="69">
        <v>0</v>
      </c>
      <c r="H44" s="31">
        <v>0</v>
      </c>
      <c r="I44" s="46">
        <v>120</v>
      </c>
      <c r="J44" s="32">
        <v>120</v>
      </c>
      <c r="K44" s="33">
        <f t="shared" si="1"/>
        <v>0</v>
      </c>
      <c r="L44" s="47">
        <f t="shared" si="1"/>
        <v>0</v>
      </c>
      <c r="M44" s="318">
        <v>327</v>
      </c>
      <c r="N44" s="303">
        <v>327</v>
      </c>
      <c r="O44" s="303">
        <v>327</v>
      </c>
      <c r="P44" s="303">
        <v>327</v>
      </c>
      <c r="Q44" s="35">
        <v>1720</v>
      </c>
      <c r="R44" s="48"/>
      <c r="S44" s="36">
        <v>192.9</v>
      </c>
      <c r="T44" s="36"/>
      <c r="U44" s="37">
        <v>15</v>
      </c>
      <c r="V44" s="38"/>
      <c r="W44" s="39">
        <f>S44*1000/39.37/Q44*42.5</f>
        <v>121.06742236740288</v>
      </c>
      <c r="X44" s="39"/>
      <c r="Y44" s="40"/>
      <c r="Z44" s="40"/>
      <c r="AA44" s="41">
        <v>123.35</v>
      </c>
      <c r="AB44" s="42"/>
      <c r="AC44" s="43">
        <v>125.63</v>
      </c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314</v>
      </c>
      <c r="E45" s="28"/>
      <c r="F45" s="29">
        <v>690136</v>
      </c>
      <c r="G45" s="45">
        <v>0</v>
      </c>
      <c r="H45" s="31">
        <v>0</v>
      </c>
      <c r="I45" s="63">
        <v>120</v>
      </c>
      <c r="J45" s="64">
        <v>120</v>
      </c>
      <c r="K45" s="65">
        <f t="shared" si="1"/>
        <v>0</v>
      </c>
      <c r="L45" s="68">
        <f t="shared" si="1"/>
        <v>0</v>
      </c>
      <c r="M45" s="320">
        <v>716</v>
      </c>
      <c r="N45" s="308">
        <v>716</v>
      </c>
      <c r="O45" s="308">
        <v>716</v>
      </c>
      <c r="P45" s="308">
        <v>716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/>
      <c r="F46" s="29">
        <v>690128</v>
      </c>
      <c r="G46" s="45">
        <v>0</v>
      </c>
      <c r="H46" s="31">
        <v>0</v>
      </c>
      <c r="I46" s="46">
        <v>650</v>
      </c>
      <c r="J46" s="32">
        <v>650</v>
      </c>
      <c r="K46" s="33">
        <f t="shared" si="1"/>
        <v>0</v>
      </c>
      <c r="L46" s="47">
        <f t="shared" si="1"/>
        <v>0</v>
      </c>
      <c r="M46" s="321">
        <v>1265</v>
      </c>
      <c r="N46" s="305">
        <v>1265</v>
      </c>
      <c r="O46" s="305">
        <v>1265</v>
      </c>
      <c r="P46" s="305">
        <v>1265</v>
      </c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239"/>
      <c r="AD46" s="43"/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59"/>
      <c r="F47" s="29">
        <v>690128</v>
      </c>
      <c r="G47" s="45">
        <v>0</v>
      </c>
      <c r="H47" s="31">
        <v>0</v>
      </c>
      <c r="I47" s="63">
        <v>650</v>
      </c>
      <c r="J47" s="64">
        <v>650</v>
      </c>
      <c r="K47" s="65">
        <f t="shared" si="1"/>
        <v>0</v>
      </c>
      <c r="L47" s="68">
        <f t="shared" si="1"/>
        <v>0</v>
      </c>
      <c r="M47" s="318">
        <v>1062</v>
      </c>
      <c r="N47" s="303">
        <v>1062</v>
      </c>
      <c r="O47" s="303">
        <v>1062</v>
      </c>
      <c r="P47" s="303">
        <v>1062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/>
      <c r="F48" s="29">
        <v>690128</v>
      </c>
      <c r="G48" s="69">
        <v>0</v>
      </c>
      <c r="H48" s="31">
        <v>0</v>
      </c>
      <c r="I48" s="63">
        <v>650</v>
      </c>
      <c r="J48" s="64">
        <v>650</v>
      </c>
      <c r="K48" s="65">
        <f t="shared" si="1"/>
        <v>0</v>
      </c>
      <c r="L48" s="68">
        <f t="shared" si="1"/>
        <v>0</v>
      </c>
      <c r="M48" s="318">
        <v>845</v>
      </c>
      <c r="N48" s="303">
        <v>845</v>
      </c>
      <c r="O48" s="303">
        <v>845</v>
      </c>
      <c r="P48" s="303">
        <v>845</v>
      </c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239"/>
      <c r="AD48" s="43"/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314</v>
      </c>
      <c r="E49" s="28"/>
      <c r="F49" s="29">
        <v>690136</v>
      </c>
      <c r="G49" s="73">
        <v>0</v>
      </c>
      <c r="H49" s="31">
        <v>0</v>
      </c>
      <c r="I49" s="46">
        <v>650</v>
      </c>
      <c r="J49" s="32">
        <v>650</v>
      </c>
      <c r="K49" s="33">
        <f t="shared" si="1"/>
        <v>0</v>
      </c>
      <c r="L49" s="47">
        <f t="shared" si="1"/>
        <v>0</v>
      </c>
      <c r="M49" s="318">
        <v>1180</v>
      </c>
      <c r="N49" s="303">
        <v>1180</v>
      </c>
      <c r="O49" s="303">
        <v>1180</v>
      </c>
      <c r="P49" s="303">
        <v>1180</v>
      </c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314</v>
      </c>
      <c r="E50" s="28"/>
      <c r="F50" s="29">
        <v>690136</v>
      </c>
      <c r="G50" s="74">
        <v>0</v>
      </c>
      <c r="H50" s="31">
        <v>0</v>
      </c>
      <c r="I50" s="46">
        <v>650</v>
      </c>
      <c r="J50" s="32">
        <v>650</v>
      </c>
      <c r="K50" s="33">
        <f t="shared" si="1"/>
        <v>0</v>
      </c>
      <c r="L50" s="47">
        <f t="shared" si="1"/>
        <v>0</v>
      </c>
      <c r="M50" s="322">
        <v>1593</v>
      </c>
      <c r="N50" s="309">
        <v>1593</v>
      </c>
      <c r="O50" s="309">
        <v>1593</v>
      </c>
      <c r="P50" s="309">
        <v>1593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285</v>
      </c>
      <c r="E51" s="28">
        <v>69011519</v>
      </c>
      <c r="F51" s="29">
        <v>690143</v>
      </c>
      <c r="G51" s="45">
        <v>900</v>
      </c>
      <c r="H51" s="31">
        <v>790</v>
      </c>
      <c r="I51" s="46">
        <v>650</v>
      </c>
      <c r="J51" s="32">
        <v>650</v>
      </c>
      <c r="K51" s="33">
        <f t="shared" si="1"/>
        <v>72</v>
      </c>
      <c r="L51" s="47">
        <f t="shared" si="1"/>
        <v>63.2</v>
      </c>
      <c r="M51" s="325">
        <v>850</v>
      </c>
      <c r="N51" s="303">
        <v>1750</v>
      </c>
      <c r="O51" s="303">
        <v>1750</v>
      </c>
      <c r="P51" s="310">
        <v>40</v>
      </c>
      <c r="Q51" s="35">
        <v>2500</v>
      </c>
      <c r="R51" s="48"/>
      <c r="S51" s="36">
        <v>187.9</v>
      </c>
      <c r="T51" s="36"/>
      <c r="U51" s="37">
        <v>25</v>
      </c>
      <c r="V51" s="38"/>
      <c r="W51" s="39">
        <f>S51*1000/39.37/Q51*35.5</f>
        <v>67.77190754381509</v>
      </c>
      <c r="X51" s="39"/>
      <c r="Y51" s="40">
        <v>67.63</v>
      </c>
      <c r="Z51" s="40"/>
      <c r="AA51" s="41"/>
      <c r="AB51" s="42"/>
      <c r="AC51" s="43">
        <v>67.48</v>
      </c>
      <c r="AD51" s="43"/>
    </row>
    <row r="52" spans="1:35" ht="24" customHeight="1" x14ac:dyDescent="0.4">
      <c r="A52" s="251" t="s">
        <v>110</v>
      </c>
      <c r="B52" s="246" t="s">
        <v>46</v>
      </c>
      <c r="C52" s="253" t="s">
        <v>45</v>
      </c>
      <c r="D52" s="256" t="s">
        <v>314</v>
      </c>
      <c r="E52" s="28">
        <v>69011516</v>
      </c>
      <c r="F52" s="29">
        <v>690136</v>
      </c>
      <c r="G52" s="45">
        <v>1020</v>
      </c>
      <c r="H52" s="31">
        <v>990</v>
      </c>
      <c r="I52" s="46">
        <v>125</v>
      </c>
      <c r="J52" s="32">
        <v>125</v>
      </c>
      <c r="K52" s="33">
        <f t="shared" si="1"/>
        <v>81.599999999999994</v>
      </c>
      <c r="L52" s="47">
        <f t="shared" si="1"/>
        <v>79.2</v>
      </c>
      <c r="M52" s="324">
        <v>460</v>
      </c>
      <c r="N52" s="303">
        <v>1480</v>
      </c>
      <c r="O52" s="303">
        <v>1480</v>
      </c>
      <c r="P52" s="307">
        <v>2470</v>
      </c>
      <c r="Q52" s="35">
        <v>2570</v>
      </c>
      <c r="R52" s="48"/>
      <c r="S52" s="36">
        <v>218.2</v>
      </c>
      <c r="T52" s="36"/>
      <c r="U52" s="37">
        <v>25</v>
      </c>
      <c r="V52" s="38"/>
      <c r="W52" s="39">
        <f>S52*1000/39.37/Q52*38.5</f>
        <v>83.02653959393524</v>
      </c>
      <c r="X52" s="39"/>
      <c r="Y52" s="40">
        <v>83.79</v>
      </c>
      <c r="Z52" s="40"/>
      <c r="AA52" s="41"/>
      <c r="AB52" s="42"/>
      <c r="AC52" s="43">
        <v>84.55</v>
      </c>
      <c r="AD52" s="43"/>
    </row>
    <row r="53" spans="1:35" ht="24" customHeight="1" x14ac:dyDescent="0.4">
      <c r="A53" s="251" t="s">
        <v>111</v>
      </c>
      <c r="B53" s="246" t="s">
        <v>46</v>
      </c>
      <c r="C53" s="253" t="s">
        <v>45</v>
      </c>
      <c r="D53" s="256" t="s">
        <v>52</v>
      </c>
      <c r="E53" s="28">
        <v>69011517</v>
      </c>
      <c r="F53" s="29">
        <v>690143</v>
      </c>
      <c r="G53" s="69">
        <v>1020</v>
      </c>
      <c r="H53" s="31">
        <v>835</v>
      </c>
      <c r="I53" s="46">
        <v>125</v>
      </c>
      <c r="J53" s="32">
        <v>125</v>
      </c>
      <c r="K53" s="33">
        <f t="shared" si="1"/>
        <v>81.599999999999994</v>
      </c>
      <c r="L53" s="47">
        <f t="shared" si="1"/>
        <v>66.8</v>
      </c>
      <c r="M53" s="318">
        <v>1000</v>
      </c>
      <c r="N53" s="303">
        <v>2020</v>
      </c>
      <c r="O53" s="303">
        <v>2020</v>
      </c>
      <c r="P53" s="303">
        <v>355</v>
      </c>
      <c r="Q53" s="35">
        <v>2500</v>
      </c>
      <c r="R53" s="48"/>
      <c r="S53" s="36">
        <v>176.8</v>
      </c>
      <c r="T53" s="36"/>
      <c r="U53" s="37">
        <v>25</v>
      </c>
      <c r="V53" s="38"/>
      <c r="W53" s="39">
        <f>S53*1000/39.37/Q53*35.5</f>
        <v>63.768351536703086</v>
      </c>
      <c r="X53" s="39"/>
      <c r="Y53" s="40">
        <v>64.59</v>
      </c>
      <c r="Z53" s="40"/>
      <c r="AA53" s="41"/>
      <c r="AB53" s="42"/>
      <c r="AC53" s="43">
        <v>65.400000000000006</v>
      </c>
      <c r="AD53" s="43"/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47</v>
      </c>
      <c r="E54" s="28"/>
      <c r="F54" s="29">
        <v>690106</v>
      </c>
      <c r="G54" s="69">
        <v>920</v>
      </c>
      <c r="H54" s="31">
        <v>905</v>
      </c>
      <c r="I54" s="63">
        <v>125</v>
      </c>
      <c r="J54" s="64">
        <v>125</v>
      </c>
      <c r="K54" s="65">
        <f t="shared" si="1"/>
        <v>73.599999999999994</v>
      </c>
      <c r="L54" s="68">
        <f t="shared" si="1"/>
        <v>72.400000000000006</v>
      </c>
      <c r="M54" s="318">
        <v>1820</v>
      </c>
      <c r="N54" s="303">
        <v>240</v>
      </c>
      <c r="O54" s="303">
        <v>240</v>
      </c>
      <c r="P54" s="303">
        <v>1145</v>
      </c>
      <c r="Q54" s="35"/>
      <c r="R54" s="48"/>
      <c r="S54" s="36"/>
      <c r="T54" s="36"/>
      <c r="U54" s="37"/>
      <c r="V54" s="38"/>
      <c r="W54" s="39"/>
      <c r="X54" s="39"/>
      <c r="Y54" s="40"/>
      <c r="Z54" s="40"/>
      <c r="AA54" s="41"/>
      <c r="AB54" s="42"/>
      <c r="AC54" s="43"/>
      <c r="AD54" s="43"/>
    </row>
    <row r="55" spans="1:35" ht="24" customHeight="1" x14ac:dyDescent="0.4">
      <c r="A55" s="251" t="s">
        <v>113</v>
      </c>
      <c r="B55" s="246" t="s">
        <v>46</v>
      </c>
      <c r="C55" s="253" t="s">
        <v>45</v>
      </c>
      <c r="D55" s="256" t="s">
        <v>314</v>
      </c>
      <c r="E55" s="28">
        <v>69011514</v>
      </c>
      <c r="F55" s="29">
        <v>690136</v>
      </c>
      <c r="G55" s="45">
        <v>920</v>
      </c>
      <c r="H55" s="31">
        <v>855</v>
      </c>
      <c r="I55" s="46">
        <v>125</v>
      </c>
      <c r="J55" s="32">
        <v>125</v>
      </c>
      <c r="K55" s="33">
        <f t="shared" si="1"/>
        <v>73.599999999999994</v>
      </c>
      <c r="L55" s="47">
        <f t="shared" si="1"/>
        <v>68.400000000000006</v>
      </c>
      <c r="M55" s="318">
        <v>410</v>
      </c>
      <c r="N55" s="303">
        <v>1330</v>
      </c>
      <c r="O55" s="303">
        <v>1330</v>
      </c>
      <c r="P55" s="303">
        <v>2185</v>
      </c>
      <c r="Q55" s="35">
        <v>2500</v>
      </c>
      <c r="R55" s="48"/>
      <c r="S55" s="36">
        <v>211</v>
      </c>
      <c r="T55" s="36"/>
      <c r="U55" s="37">
        <v>25</v>
      </c>
      <c r="V55" s="38"/>
      <c r="W55" s="39">
        <f>S55*1000/39.37/Q55*38.5</f>
        <v>82.534925069850146</v>
      </c>
      <c r="X55" s="39"/>
      <c r="Y55" s="40">
        <v>84.05</v>
      </c>
      <c r="Z55" s="40"/>
      <c r="AA55" s="41"/>
      <c r="AB55" s="42"/>
      <c r="AC55" s="43">
        <v>85.57</v>
      </c>
      <c r="AD55" s="43"/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314</v>
      </c>
      <c r="E56" s="28">
        <v>69011515</v>
      </c>
      <c r="F56" s="29">
        <v>690106</v>
      </c>
      <c r="G56" s="45">
        <v>500</v>
      </c>
      <c r="H56" s="31">
        <v>755</v>
      </c>
      <c r="I56" s="63">
        <v>115</v>
      </c>
      <c r="J56" s="64">
        <v>115</v>
      </c>
      <c r="K56" s="65">
        <v>0</v>
      </c>
      <c r="L56" s="68">
        <v>0</v>
      </c>
      <c r="M56" s="318">
        <v>202</v>
      </c>
      <c r="N56" s="303">
        <v>702</v>
      </c>
      <c r="O56" s="303">
        <v>702</v>
      </c>
      <c r="P56" s="303">
        <v>1457</v>
      </c>
      <c r="Q56" s="35">
        <v>2090</v>
      </c>
      <c r="R56" s="48"/>
      <c r="S56" s="36">
        <v>172.9</v>
      </c>
      <c r="T56" s="36"/>
      <c r="U56" s="37">
        <v>20</v>
      </c>
      <c r="V56" s="38"/>
      <c r="W56" s="39">
        <f>S56*1000/39.37/Q56*38.5</f>
        <v>80.899161798323604</v>
      </c>
      <c r="X56" s="39"/>
      <c r="Y56" s="40">
        <v>82.3</v>
      </c>
      <c r="Z56" s="40"/>
      <c r="AA56" s="41"/>
      <c r="AB56" s="41"/>
      <c r="AC56" s="43">
        <v>83.69</v>
      </c>
      <c r="AD56" s="43"/>
    </row>
    <row r="57" spans="1:35" ht="24" customHeight="1" thickBot="1" x14ac:dyDescent="0.55000000000000004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460</v>
      </c>
      <c r="H57" s="31">
        <v>800</v>
      </c>
      <c r="I57" s="46">
        <v>115</v>
      </c>
      <c r="J57" s="32">
        <v>115</v>
      </c>
      <c r="K57" s="33">
        <f t="shared" ref="K57:L82" si="2">G57*8/100</f>
        <v>36.799999999999997</v>
      </c>
      <c r="L57" s="47">
        <f t="shared" si="2"/>
        <v>64</v>
      </c>
      <c r="M57" s="320">
        <v>112</v>
      </c>
      <c r="N57" s="303">
        <v>572</v>
      </c>
      <c r="O57" s="303">
        <v>572</v>
      </c>
      <c r="P57" s="308">
        <v>1372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>
        <v>69011510</v>
      </c>
      <c r="F58" s="29">
        <v>690107</v>
      </c>
      <c r="G58" s="45">
        <v>885</v>
      </c>
      <c r="H58" s="31">
        <v>905</v>
      </c>
      <c r="I58" s="46">
        <v>135</v>
      </c>
      <c r="J58" s="32">
        <v>135</v>
      </c>
      <c r="K58" s="33">
        <f t="shared" si="2"/>
        <v>70.8</v>
      </c>
      <c r="L58" s="47">
        <f t="shared" si="2"/>
        <v>72.400000000000006</v>
      </c>
      <c r="M58" s="321">
        <v>610</v>
      </c>
      <c r="N58" s="303">
        <v>1495</v>
      </c>
      <c r="O58" s="303">
        <v>1495</v>
      </c>
      <c r="P58" s="305">
        <v>2400</v>
      </c>
      <c r="Q58" s="35">
        <v>2715</v>
      </c>
      <c r="R58" s="48"/>
      <c r="S58" s="36">
        <v>195.9</v>
      </c>
      <c r="T58" s="36"/>
      <c r="U58" s="37">
        <v>30</v>
      </c>
      <c r="V58" s="38"/>
      <c r="W58" s="39">
        <f>S58*1000/39.37/Q58*38.5</f>
        <v>70.560218468503237</v>
      </c>
      <c r="X58" s="39"/>
      <c r="Y58" s="40">
        <v>71.989999999999995</v>
      </c>
      <c r="Z58" s="40"/>
      <c r="AA58" s="41"/>
      <c r="AB58" s="41"/>
      <c r="AC58" s="43">
        <v>73.41</v>
      </c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>
        <v>69011544</v>
      </c>
      <c r="F59" s="29">
        <v>690106</v>
      </c>
      <c r="G59" s="45">
        <v>957</v>
      </c>
      <c r="H59" s="31">
        <v>860</v>
      </c>
      <c r="I59" s="46">
        <v>135</v>
      </c>
      <c r="J59" s="32">
        <v>135</v>
      </c>
      <c r="K59" s="33">
        <f t="shared" si="2"/>
        <v>76.56</v>
      </c>
      <c r="L59" s="47">
        <f t="shared" si="2"/>
        <v>68.8</v>
      </c>
      <c r="M59" s="318">
        <v>2395</v>
      </c>
      <c r="N59" s="303">
        <v>837</v>
      </c>
      <c r="O59" s="303">
        <v>837</v>
      </c>
      <c r="P59" s="303">
        <v>1697</v>
      </c>
      <c r="Q59" s="35"/>
      <c r="R59" s="48">
        <v>2400</v>
      </c>
      <c r="S59" s="36"/>
      <c r="T59" s="36">
        <v>189.3</v>
      </c>
      <c r="U59" s="37"/>
      <c r="V59" s="38">
        <v>25</v>
      </c>
      <c r="W59" s="39"/>
      <c r="X59" s="39">
        <f>T59*1000/39.37/R59*31.5</f>
        <v>63.108013716027436</v>
      </c>
      <c r="Y59" s="40"/>
      <c r="Z59" s="40">
        <v>64.84</v>
      </c>
      <c r="AA59" s="41"/>
      <c r="AB59" s="42"/>
      <c r="AC59" s="43"/>
      <c r="AD59" s="43">
        <v>66.569999999999993</v>
      </c>
      <c r="AI59" s="75"/>
    </row>
    <row r="60" spans="1:35" ht="24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8">
        <v>69011550</v>
      </c>
      <c r="F60" s="29">
        <v>690106</v>
      </c>
      <c r="G60" s="45">
        <v>964</v>
      </c>
      <c r="H60" s="31">
        <v>750</v>
      </c>
      <c r="I60" s="46">
        <v>135</v>
      </c>
      <c r="J60" s="64">
        <v>135</v>
      </c>
      <c r="K60" s="65">
        <f t="shared" si="2"/>
        <v>77.12</v>
      </c>
      <c r="L60" s="68">
        <f t="shared" si="2"/>
        <v>60</v>
      </c>
      <c r="M60" s="318">
        <v>2372</v>
      </c>
      <c r="N60" s="303">
        <v>831</v>
      </c>
      <c r="O60" s="303">
        <v>831</v>
      </c>
      <c r="P60" s="303">
        <v>1581</v>
      </c>
      <c r="Q60" s="35"/>
      <c r="R60" s="48">
        <v>2480</v>
      </c>
      <c r="S60" s="36"/>
      <c r="T60" s="36">
        <v>196</v>
      </c>
      <c r="U60" s="37"/>
      <c r="V60" s="38"/>
      <c r="W60" s="39"/>
      <c r="X60" s="39">
        <f>T60*1000/39.37/R60*31.5</f>
        <v>63.233836145091644</v>
      </c>
      <c r="Y60" s="40"/>
      <c r="Z60" s="40">
        <v>63.72</v>
      </c>
      <c r="AA60" s="41"/>
      <c r="AB60" s="42"/>
      <c r="AC60" s="43"/>
      <c r="AD60" s="43">
        <v>64.2</v>
      </c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314</v>
      </c>
      <c r="E61" s="28">
        <v>69011548</v>
      </c>
      <c r="F61" s="29">
        <v>690136</v>
      </c>
      <c r="G61" s="45">
        <v>985</v>
      </c>
      <c r="H61" s="31">
        <v>804</v>
      </c>
      <c r="I61" s="46">
        <v>135</v>
      </c>
      <c r="J61" s="64">
        <v>135</v>
      </c>
      <c r="K61" s="65">
        <f t="shared" si="2"/>
        <v>78.8</v>
      </c>
      <c r="L61" s="68">
        <f t="shared" si="2"/>
        <v>64.319999999999993</v>
      </c>
      <c r="M61" s="318">
        <v>1355</v>
      </c>
      <c r="N61" s="303">
        <v>425</v>
      </c>
      <c r="O61" s="303">
        <v>425</v>
      </c>
      <c r="P61" s="303">
        <v>1229</v>
      </c>
      <c r="Q61" s="35"/>
      <c r="R61" s="48">
        <v>1880</v>
      </c>
      <c r="S61" s="36"/>
      <c r="T61" s="36">
        <v>153.9</v>
      </c>
      <c r="U61" s="37"/>
      <c r="V61" s="38">
        <v>20</v>
      </c>
      <c r="W61" s="39"/>
      <c r="X61" s="39">
        <f>T61*1000/39.37/R61*38.5</f>
        <v>80.052718616075538</v>
      </c>
      <c r="Y61" s="40"/>
      <c r="Z61" s="40">
        <v>81.16</v>
      </c>
      <c r="AA61" s="41"/>
      <c r="AB61" s="42"/>
      <c r="AC61" s="43"/>
      <c r="AD61" s="43">
        <v>82.27</v>
      </c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314</v>
      </c>
      <c r="E62" s="28">
        <v>69011552</v>
      </c>
      <c r="F62" s="29">
        <v>690108</v>
      </c>
      <c r="G62" s="45">
        <v>890</v>
      </c>
      <c r="H62" s="31">
        <v>837</v>
      </c>
      <c r="I62" s="46">
        <v>135</v>
      </c>
      <c r="J62" s="32">
        <v>135</v>
      </c>
      <c r="K62" s="33">
        <f t="shared" si="2"/>
        <v>71.2</v>
      </c>
      <c r="L62" s="47">
        <f t="shared" si="2"/>
        <v>66.959999999999994</v>
      </c>
      <c r="M62" s="323">
        <v>1330</v>
      </c>
      <c r="N62" s="303">
        <v>370</v>
      </c>
      <c r="O62" s="303">
        <v>370</v>
      </c>
      <c r="P62" s="306">
        <v>1207</v>
      </c>
      <c r="Q62" s="35"/>
      <c r="R62" s="48">
        <v>1800</v>
      </c>
      <c r="S62" s="36"/>
      <c r="T62" s="36">
        <v>147.6</v>
      </c>
      <c r="U62" s="37"/>
      <c r="V62" s="38">
        <v>20</v>
      </c>
      <c r="W62" s="39"/>
      <c r="X62" s="39">
        <f>T62*1000/39.37/R62*38.5</f>
        <v>80.187960375920753</v>
      </c>
      <c r="Y62" s="40"/>
      <c r="Z62" s="40">
        <v>80.739999999999995</v>
      </c>
      <c r="AA62" s="41"/>
      <c r="AB62" s="42"/>
      <c r="AC62" s="43"/>
      <c r="AD62" s="43">
        <v>81.37</v>
      </c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57</v>
      </c>
      <c r="E63" s="28">
        <v>69011546</v>
      </c>
      <c r="F63" s="29">
        <v>690106</v>
      </c>
      <c r="G63" s="45">
        <v>155</v>
      </c>
      <c r="H63" s="31">
        <v>1005</v>
      </c>
      <c r="I63" s="46">
        <v>135</v>
      </c>
      <c r="J63" s="64">
        <v>135</v>
      </c>
      <c r="K63" s="65">
        <f t="shared" si="2"/>
        <v>12.4</v>
      </c>
      <c r="L63" s="68">
        <f t="shared" si="2"/>
        <v>80.400000000000006</v>
      </c>
      <c r="M63" s="318">
        <v>2200</v>
      </c>
      <c r="N63" s="303">
        <v>155</v>
      </c>
      <c r="O63" s="303">
        <v>155</v>
      </c>
      <c r="P63" s="303">
        <v>1160</v>
      </c>
      <c r="Q63" s="35"/>
      <c r="R63" s="48">
        <v>2200</v>
      </c>
      <c r="S63" s="36"/>
      <c r="T63" s="36">
        <v>175</v>
      </c>
      <c r="U63" s="37"/>
      <c r="V63" s="38">
        <v>20</v>
      </c>
      <c r="W63" s="39"/>
      <c r="X63" s="39">
        <f>T63*1000/39.37/R63*31.5</f>
        <v>63.64444547070913</v>
      </c>
      <c r="Y63" s="40"/>
      <c r="Z63" s="40">
        <v>64.98</v>
      </c>
      <c r="AA63" s="41"/>
      <c r="AB63" s="42"/>
      <c r="AC63" s="43"/>
      <c r="AD63" s="43">
        <v>66.31</v>
      </c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>
        <v>69011545</v>
      </c>
      <c r="F64" s="29">
        <v>690106</v>
      </c>
      <c r="G64" s="45">
        <v>128</v>
      </c>
      <c r="H64" s="31">
        <v>1022</v>
      </c>
      <c r="I64" s="46">
        <v>135</v>
      </c>
      <c r="J64" s="64">
        <v>135</v>
      </c>
      <c r="K64" s="65">
        <f t="shared" si="2"/>
        <v>10.24</v>
      </c>
      <c r="L64" s="76">
        <f t="shared" si="2"/>
        <v>81.760000000000005</v>
      </c>
      <c r="M64" s="318">
        <v>2320</v>
      </c>
      <c r="N64" s="303">
        <v>128</v>
      </c>
      <c r="O64" s="303">
        <v>128</v>
      </c>
      <c r="P64" s="303">
        <v>1150</v>
      </c>
      <c r="Q64" s="35"/>
      <c r="R64" s="48">
        <v>2290</v>
      </c>
      <c r="S64" s="36"/>
      <c r="T64" s="36">
        <v>180.8</v>
      </c>
      <c r="U64" s="37"/>
      <c r="V64" s="38">
        <v>20</v>
      </c>
      <c r="W64" s="39"/>
      <c r="X64" s="39">
        <f>T64*1000/39.37/R64*31.5</f>
        <v>63.169593588095474</v>
      </c>
      <c r="Y64" s="40"/>
      <c r="Z64" s="40">
        <v>63.88</v>
      </c>
      <c r="AA64" s="41"/>
      <c r="AB64" s="42"/>
      <c r="AC64" s="43"/>
      <c r="AD64" s="43">
        <v>64.58</v>
      </c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>
        <v>69011547</v>
      </c>
      <c r="F65" s="29">
        <v>690106</v>
      </c>
      <c r="G65" s="69">
        <v>425</v>
      </c>
      <c r="H65" s="31">
        <v>1007</v>
      </c>
      <c r="I65" s="46">
        <v>135</v>
      </c>
      <c r="J65" s="32">
        <v>135</v>
      </c>
      <c r="K65" s="33">
        <f t="shared" si="2"/>
        <v>34</v>
      </c>
      <c r="L65" s="47">
        <f t="shared" si="2"/>
        <v>80.56</v>
      </c>
      <c r="M65" s="318">
        <v>1680</v>
      </c>
      <c r="N65" s="303">
        <v>163</v>
      </c>
      <c r="O65" s="303">
        <v>163</v>
      </c>
      <c r="P65" s="303">
        <v>1170</v>
      </c>
      <c r="Q65" s="35"/>
      <c r="R65" s="48">
        <v>1942</v>
      </c>
      <c r="S65" s="36"/>
      <c r="T65" s="36">
        <v>153.9</v>
      </c>
      <c r="U65" s="37"/>
      <c r="V65" s="38">
        <v>20</v>
      </c>
      <c r="W65" s="39"/>
      <c r="X65" s="39">
        <f>T65*1000/39.37/R65*31.5</f>
        <v>63.406609820428706</v>
      </c>
      <c r="Y65" s="40"/>
      <c r="Z65" s="40">
        <v>64.5</v>
      </c>
      <c r="AA65" s="41"/>
      <c r="AB65" s="42"/>
      <c r="AC65" s="43"/>
      <c r="AD65" s="43">
        <v>65.59</v>
      </c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577</v>
      </c>
      <c r="H66" s="31">
        <v>843</v>
      </c>
      <c r="I66" s="46">
        <v>135</v>
      </c>
      <c r="J66" s="32">
        <v>135</v>
      </c>
      <c r="K66" s="33">
        <f t="shared" si="2"/>
        <v>46.16</v>
      </c>
      <c r="L66" s="47">
        <f t="shared" si="2"/>
        <v>67.44</v>
      </c>
      <c r="M66" s="318">
        <v>1080</v>
      </c>
      <c r="N66" s="303">
        <v>157</v>
      </c>
      <c r="O66" s="303">
        <v>157</v>
      </c>
      <c r="P66" s="303">
        <v>1000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>
        <v>69011529</v>
      </c>
      <c r="F67" s="29">
        <v>690128</v>
      </c>
      <c r="G67" s="45">
        <v>322</v>
      </c>
      <c r="H67" s="31">
        <v>903</v>
      </c>
      <c r="I67" s="46">
        <v>135</v>
      </c>
      <c r="J67" s="32">
        <v>135</v>
      </c>
      <c r="K67" s="33">
        <f t="shared" si="2"/>
        <v>25.76</v>
      </c>
      <c r="L67" s="47">
        <f t="shared" si="2"/>
        <v>72.239999999999995</v>
      </c>
      <c r="M67" s="318">
        <v>0</v>
      </c>
      <c r="N67" s="303">
        <v>322</v>
      </c>
      <c r="O67" s="303">
        <v>322</v>
      </c>
      <c r="P67" s="303">
        <v>1225</v>
      </c>
      <c r="Q67" s="35">
        <v>1650</v>
      </c>
      <c r="R67" s="48"/>
      <c r="S67" s="36">
        <v>184.3</v>
      </c>
      <c r="T67" s="36"/>
      <c r="U67" s="37">
        <v>16</v>
      </c>
      <c r="V67" s="38"/>
      <c r="W67" s="39">
        <f>S67*1000/39.37/Q67*42.5</f>
        <v>120.57711994211869</v>
      </c>
      <c r="X67" s="39"/>
      <c r="Y67" s="40">
        <v>121.76</v>
      </c>
      <c r="Z67" s="40"/>
      <c r="AA67" s="41"/>
      <c r="AB67" s="235"/>
      <c r="AC67" s="239">
        <v>122.94</v>
      </c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43</v>
      </c>
      <c r="E68" s="28">
        <v>69011551</v>
      </c>
      <c r="F68" s="29">
        <v>690119</v>
      </c>
      <c r="G68" s="69">
        <v>582</v>
      </c>
      <c r="H68" s="31">
        <v>850</v>
      </c>
      <c r="I68" s="46">
        <v>130</v>
      </c>
      <c r="J68" s="32">
        <v>130</v>
      </c>
      <c r="K68" s="33">
        <f t="shared" si="2"/>
        <v>46.56</v>
      </c>
      <c r="L68" s="47">
        <f t="shared" si="2"/>
        <v>68</v>
      </c>
      <c r="M68" s="318">
        <v>2371</v>
      </c>
      <c r="N68" s="303">
        <v>453</v>
      </c>
      <c r="O68" s="303">
        <v>453</v>
      </c>
      <c r="P68" s="303">
        <v>1303</v>
      </c>
      <c r="Q68" s="35"/>
      <c r="R68" s="48">
        <v>2529</v>
      </c>
      <c r="S68" s="36"/>
      <c r="T68" s="36">
        <v>202.2</v>
      </c>
      <c r="U68" s="37"/>
      <c r="V68" s="38">
        <v>25</v>
      </c>
      <c r="W68" s="39"/>
      <c r="X68" s="39">
        <f>T68*1000/39.37/R68*38.5</f>
        <v>78.185755422519151</v>
      </c>
      <c r="Y68" s="40"/>
      <c r="Z68" s="40">
        <v>78.709999999999994</v>
      </c>
      <c r="AA68" s="41"/>
      <c r="AB68" s="42"/>
      <c r="AC68" s="43"/>
      <c r="AD68" s="43">
        <v>79.23</v>
      </c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140</v>
      </c>
      <c r="E69" s="28">
        <v>69011527</v>
      </c>
      <c r="F69" s="29">
        <v>690119</v>
      </c>
      <c r="G69" s="69">
        <v>601</v>
      </c>
      <c r="H69" s="31">
        <v>489</v>
      </c>
      <c r="I69" s="46">
        <v>780</v>
      </c>
      <c r="J69" s="32">
        <v>780</v>
      </c>
      <c r="K69" s="33">
        <f t="shared" si="2"/>
        <v>48.08</v>
      </c>
      <c r="L69" s="47">
        <f t="shared" si="2"/>
        <v>39.119999999999997</v>
      </c>
      <c r="M69" s="318">
        <v>1973</v>
      </c>
      <c r="N69" s="303">
        <v>574</v>
      </c>
      <c r="O69" s="303">
        <v>574</v>
      </c>
      <c r="P69" s="303">
        <v>1063</v>
      </c>
      <c r="Q69" s="35">
        <v>2000</v>
      </c>
      <c r="R69" s="48"/>
      <c r="S69" s="36">
        <v>151.9</v>
      </c>
      <c r="T69" s="36"/>
      <c r="U69" s="37">
        <v>20</v>
      </c>
      <c r="V69" s="38"/>
      <c r="W69" s="39">
        <f>S69*1000/39.37/Q69*38.5</f>
        <v>74.271653543307096</v>
      </c>
      <c r="X69" s="39"/>
      <c r="Y69" s="40">
        <v>73.75</v>
      </c>
      <c r="Z69" s="40"/>
      <c r="AA69" s="41"/>
      <c r="AB69" s="42"/>
      <c r="AC69" s="43">
        <v>73.23</v>
      </c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57</v>
      </c>
      <c r="E70" s="28">
        <v>69011549</v>
      </c>
      <c r="F70" s="29">
        <v>690119</v>
      </c>
      <c r="G70" s="45">
        <v>552</v>
      </c>
      <c r="H70" s="31">
        <v>419</v>
      </c>
      <c r="I70" s="46">
        <v>780</v>
      </c>
      <c r="J70" s="32">
        <v>780</v>
      </c>
      <c r="K70" s="33">
        <f t="shared" si="2"/>
        <v>44.16</v>
      </c>
      <c r="L70" s="47">
        <f t="shared" si="2"/>
        <v>33.520000000000003</v>
      </c>
      <c r="M70" s="320">
        <v>2178</v>
      </c>
      <c r="N70" s="308">
        <v>230</v>
      </c>
      <c r="O70" s="308">
        <v>230</v>
      </c>
      <c r="P70" s="308">
        <v>649</v>
      </c>
      <c r="Q70" s="35"/>
      <c r="R70" s="48">
        <v>2500</v>
      </c>
      <c r="S70" s="36"/>
      <c r="T70" s="36">
        <v>197.8</v>
      </c>
      <c r="U70" s="37"/>
      <c r="V70" s="38">
        <v>25</v>
      </c>
      <c r="W70" s="39"/>
      <c r="X70" s="39">
        <f>T70*1000/39.37/R70*31.5</f>
        <v>63.304038608077221</v>
      </c>
      <c r="Y70" s="40"/>
      <c r="Z70" s="40">
        <v>63.56</v>
      </c>
      <c r="AA70" s="41"/>
      <c r="AB70" s="42"/>
      <c r="AC70" s="43"/>
      <c r="AD70" s="43">
        <v>63.81</v>
      </c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57</v>
      </c>
      <c r="E71" s="28">
        <v>69011526</v>
      </c>
      <c r="F71" s="29">
        <v>690106</v>
      </c>
      <c r="G71" s="45">
        <v>596</v>
      </c>
      <c r="H71" s="31">
        <v>402</v>
      </c>
      <c r="I71" s="46">
        <v>780</v>
      </c>
      <c r="J71" s="32">
        <v>780</v>
      </c>
      <c r="K71" s="33">
        <f t="shared" si="2"/>
        <v>47.68</v>
      </c>
      <c r="L71" s="47">
        <f t="shared" si="2"/>
        <v>32.159999999999997</v>
      </c>
      <c r="M71" s="321">
        <v>128</v>
      </c>
      <c r="N71" s="305">
        <v>724</v>
      </c>
      <c r="O71" s="305">
        <v>724</v>
      </c>
      <c r="P71" s="305">
        <v>1126</v>
      </c>
      <c r="Q71" s="35">
        <v>2500</v>
      </c>
      <c r="R71" s="48"/>
      <c r="S71" s="36">
        <v>197.2</v>
      </c>
      <c r="T71" s="36"/>
      <c r="U71" s="37">
        <v>25</v>
      </c>
      <c r="V71" s="38"/>
      <c r="W71" s="39">
        <f>S71*1000/39.37/Q71*31.5</f>
        <v>63.112014224028449</v>
      </c>
      <c r="X71" s="39"/>
      <c r="Y71" s="40">
        <v>63.38</v>
      </c>
      <c r="Z71" s="40"/>
      <c r="AA71" s="41"/>
      <c r="AB71" s="42"/>
      <c r="AC71" s="43">
        <v>63.65</v>
      </c>
      <c r="AD71" s="43"/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304</v>
      </c>
      <c r="E72" s="28"/>
      <c r="F72" s="29">
        <v>690104</v>
      </c>
      <c r="G72" s="77">
        <v>551</v>
      </c>
      <c r="H72" s="31">
        <v>421</v>
      </c>
      <c r="I72" s="63">
        <v>780</v>
      </c>
      <c r="J72" s="64">
        <v>780</v>
      </c>
      <c r="K72" s="65">
        <f t="shared" si="2"/>
        <v>44.08</v>
      </c>
      <c r="L72" s="47">
        <f t="shared" si="2"/>
        <v>33.68</v>
      </c>
      <c r="M72" s="318">
        <v>827</v>
      </c>
      <c r="N72" s="303">
        <v>1378</v>
      </c>
      <c r="O72" s="303">
        <v>1378</v>
      </c>
      <c r="P72" s="303">
        <v>1799</v>
      </c>
      <c r="Q72" s="35"/>
      <c r="R72" s="48"/>
      <c r="S72" s="36"/>
      <c r="T72" s="36"/>
      <c r="U72" s="37"/>
      <c r="V72" s="38"/>
      <c r="W72" s="39"/>
      <c r="X72" s="39"/>
      <c r="Y72" s="40"/>
      <c r="Z72" s="40"/>
      <c r="AA72" s="41"/>
      <c r="AB72" s="42"/>
      <c r="AC72" s="43"/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314</v>
      </c>
      <c r="E73" s="28">
        <v>69011525</v>
      </c>
      <c r="F73" s="29">
        <v>690136</v>
      </c>
      <c r="G73" s="78">
        <v>522</v>
      </c>
      <c r="H73" s="31">
        <v>313</v>
      </c>
      <c r="I73" s="63">
        <v>780</v>
      </c>
      <c r="J73" s="64">
        <v>780</v>
      </c>
      <c r="K73" s="65">
        <f t="shared" si="2"/>
        <v>41.76</v>
      </c>
      <c r="L73" s="47">
        <f t="shared" si="2"/>
        <v>25.04</v>
      </c>
      <c r="M73" s="318">
        <v>1273</v>
      </c>
      <c r="N73" s="303">
        <v>1795</v>
      </c>
      <c r="O73" s="303">
        <v>1795</v>
      </c>
      <c r="P73" s="303">
        <v>2108</v>
      </c>
      <c r="Q73" s="35">
        <v>2500</v>
      </c>
      <c r="R73" s="48"/>
      <c r="S73" s="36">
        <v>208.3</v>
      </c>
      <c r="T73" s="36"/>
      <c r="U73" s="37">
        <v>25</v>
      </c>
      <c r="V73" s="38"/>
      <c r="W73" s="39">
        <f>S73*1000/39.37/Q73*38.5</f>
        <v>81.478790957581921</v>
      </c>
      <c r="X73" s="39"/>
      <c r="Y73" s="40">
        <v>81.5</v>
      </c>
      <c r="Z73" s="40"/>
      <c r="AA73" s="41"/>
      <c r="AB73" s="42"/>
      <c r="AC73" s="43">
        <v>81.52</v>
      </c>
      <c r="AD73" s="43"/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47</v>
      </c>
      <c r="E74" s="28"/>
      <c r="F74" s="29">
        <v>690107</v>
      </c>
      <c r="G74" s="79">
        <v>0</v>
      </c>
      <c r="H74" s="31">
        <v>99</v>
      </c>
      <c r="I74" s="63">
        <v>780</v>
      </c>
      <c r="J74" s="64">
        <v>780</v>
      </c>
      <c r="K74" s="65">
        <f t="shared" si="2"/>
        <v>0</v>
      </c>
      <c r="L74" s="68">
        <f t="shared" si="2"/>
        <v>7.92</v>
      </c>
      <c r="M74" s="318">
        <v>173</v>
      </c>
      <c r="N74" s="303">
        <v>173</v>
      </c>
      <c r="O74" s="303">
        <v>173</v>
      </c>
      <c r="P74" s="303">
        <v>272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61</v>
      </c>
      <c r="E75" s="28">
        <v>69011502</v>
      </c>
      <c r="F75" s="29">
        <v>690109</v>
      </c>
      <c r="G75" s="80">
        <v>769</v>
      </c>
      <c r="H75" s="31">
        <v>865</v>
      </c>
      <c r="I75" s="46">
        <v>800</v>
      </c>
      <c r="J75" s="32">
        <v>800</v>
      </c>
      <c r="K75" s="33">
        <f t="shared" si="2"/>
        <v>61.52</v>
      </c>
      <c r="L75" s="47">
        <f t="shared" si="2"/>
        <v>69.2</v>
      </c>
      <c r="M75" s="318">
        <v>374</v>
      </c>
      <c r="N75" s="303">
        <v>1143</v>
      </c>
      <c r="O75" s="303">
        <v>1143</v>
      </c>
      <c r="P75" s="303">
        <v>8</v>
      </c>
      <c r="Q75" s="48">
        <v>2000</v>
      </c>
      <c r="R75" s="48"/>
      <c r="S75" s="317">
        <v>157.19999999999999</v>
      </c>
      <c r="T75" s="36"/>
      <c r="U75" s="37"/>
      <c r="V75" s="38"/>
      <c r="W75" s="39">
        <f>S75*1000/39.37/Q75*38.5</f>
        <v>76.863093726187458</v>
      </c>
      <c r="X75" s="39"/>
      <c r="Y75" s="40">
        <v>78.38</v>
      </c>
      <c r="Z75" s="40"/>
      <c r="AA75" s="41"/>
      <c r="AB75" s="42"/>
      <c r="AC75" s="43">
        <v>79.900000000000006</v>
      </c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140</v>
      </c>
      <c r="E76" s="28">
        <v>69011501</v>
      </c>
      <c r="F76" s="29">
        <v>690109</v>
      </c>
      <c r="G76" s="45">
        <v>473</v>
      </c>
      <c r="H76" s="31">
        <v>525</v>
      </c>
      <c r="I76" s="46">
        <v>800</v>
      </c>
      <c r="J76" s="32">
        <v>800</v>
      </c>
      <c r="K76" s="33">
        <f t="shared" si="2"/>
        <v>37.840000000000003</v>
      </c>
      <c r="L76" s="47">
        <f t="shared" si="2"/>
        <v>42</v>
      </c>
      <c r="M76" s="318">
        <v>735</v>
      </c>
      <c r="N76" s="303">
        <v>1208</v>
      </c>
      <c r="O76" s="303">
        <v>1208</v>
      </c>
      <c r="P76" s="303">
        <v>1733</v>
      </c>
      <c r="Q76" s="48">
        <v>2000</v>
      </c>
      <c r="R76" s="48"/>
      <c r="S76" s="36">
        <v>151</v>
      </c>
      <c r="T76" s="36"/>
      <c r="U76" s="37"/>
      <c r="V76" s="38"/>
      <c r="W76" s="39">
        <f>S76*1000/39.37/Q76*38.5</f>
        <v>73.831597663195339</v>
      </c>
      <c r="X76" s="39"/>
      <c r="Y76" s="40">
        <v>74.16</v>
      </c>
      <c r="Z76" s="40"/>
      <c r="AA76" s="41"/>
      <c r="AB76" s="42"/>
      <c r="AC76" s="43">
        <v>74.48</v>
      </c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140</v>
      </c>
      <c r="E77" s="28">
        <v>69011541</v>
      </c>
      <c r="F77" s="29">
        <v>690109</v>
      </c>
      <c r="G77" s="45">
        <v>867</v>
      </c>
      <c r="H77" s="31">
        <v>0</v>
      </c>
      <c r="I77" s="46">
        <v>800</v>
      </c>
      <c r="J77" s="32">
        <v>800</v>
      </c>
      <c r="K77" s="33">
        <f t="shared" si="2"/>
        <v>69.36</v>
      </c>
      <c r="L77" s="47">
        <f t="shared" si="2"/>
        <v>0</v>
      </c>
      <c r="M77" s="318">
        <v>1655</v>
      </c>
      <c r="N77" s="303">
        <v>522</v>
      </c>
      <c r="O77" s="303">
        <v>522</v>
      </c>
      <c r="P77" s="303">
        <v>522</v>
      </c>
      <c r="Q77" s="35"/>
      <c r="R77" s="48">
        <v>2000</v>
      </c>
      <c r="S77" s="36"/>
      <c r="T77" s="36">
        <v>148.30000000000001</v>
      </c>
      <c r="U77" s="37"/>
      <c r="V77" s="38"/>
      <c r="W77" s="39"/>
      <c r="X77" s="39">
        <f>T77*1000/39.37/R77*38.5</f>
        <v>72.511430022860054</v>
      </c>
      <c r="Y77" s="40"/>
      <c r="Z77" s="40">
        <v>74.16</v>
      </c>
      <c r="AA77" s="41"/>
      <c r="AB77" s="42"/>
      <c r="AC77" s="43"/>
      <c r="AD77" s="43">
        <v>75.8</v>
      </c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140</v>
      </c>
      <c r="E78" s="259">
        <v>69011540</v>
      </c>
      <c r="F78" s="29">
        <v>690106</v>
      </c>
      <c r="G78" s="45">
        <v>816</v>
      </c>
      <c r="H78" s="31">
        <v>0</v>
      </c>
      <c r="I78" s="46">
        <v>800</v>
      </c>
      <c r="J78" s="32">
        <v>800</v>
      </c>
      <c r="K78" s="33">
        <f t="shared" si="2"/>
        <v>65.28</v>
      </c>
      <c r="L78" s="47">
        <f t="shared" si="2"/>
        <v>0</v>
      </c>
      <c r="M78" s="318">
        <v>1391</v>
      </c>
      <c r="N78" s="303">
        <v>207</v>
      </c>
      <c r="O78" s="303">
        <v>207</v>
      </c>
      <c r="P78" s="303">
        <v>207</v>
      </c>
      <c r="Q78" s="35"/>
      <c r="R78" s="48">
        <v>2000</v>
      </c>
      <c r="S78" s="36"/>
      <c r="T78" s="36">
        <v>149.5</v>
      </c>
      <c r="U78" s="37"/>
      <c r="V78" s="38"/>
      <c r="W78" s="39"/>
      <c r="X78" s="39">
        <f>T78*1000/39.37/R78*38.5</f>
        <v>73.098171196342392</v>
      </c>
      <c r="Y78" s="40"/>
      <c r="Z78" s="40">
        <v>74.31</v>
      </c>
      <c r="AA78" s="41"/>
      <c r="AB78" s="42"/>
      <c r="AC78" s="43"/>
      <c r="AD78" s="43">
        <v>75.510000000000005</v>
      </c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146</v>
      </c>
      <c r="E79" s="28"/>
      <c r="F79" s="29">
        <v>690109</v>
      </c>
      <c r="G79" s="45">
        <v>401</v>
      </c>
      <c r="H79" s="31">
        <v>650</v>
      </c>
      <c r="I79" s="46">
        <v>800</v>
      </c>
      <c r="J79" s="32">
        <v>800</v>
      </c>
      <c r="K79" s="33"/>
      <c r="L79" s="47">
        <f t="shared" si="2"/>
        <v>52</v>
      </c>
      <c r="M79" s="318">
        <v>1513</v>
      </c>
      <c r="N79" s="303">
        <v>1914</v>
      </c>
      <c r="O79" s="303">
        <v>1914</v>
      </c>
      <c r="P79" s="303">
        <v>564</v>
      </c>
      <c r="Q79" s="48"/>
      <c r="R79" s="48"/>
      <c r="S79" s="36"/>
      <c r="T79" s="36"/>
      <c r="U79" s="37"/>
      <c r="V79" s="38"/>
      <c r="W79" s="39"/>
      <c r="X79" s="39"/>
      <c r="Y79" s="40"/>
      <c r="Z79" s="40"/>
      <c r="AA79" s="41"/>
      <c r="AB79" s="42"/>
      <c r="AC79" s="43"/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146</v>
      </c>
      <c r="E80" s="28"/>
      <c r="F80" s="29">
        <v>690109</v>
      </c>
      <c r="G80" s="45">
        <v>371</v>
      </c>
      <c r="H80" s="31">
        <v>850</v>
      </c>
      <c r="I80" s="46">
        <v>800</v>
      </c>
      <c r="J80" s="32">
        <v>800</v>
      </c>
      <c r="K80" s="33">
        <f t="shared" si="2"/>
        <v>29.68</v>
      </c>
      <c r="L80" s="47">
        <f t="shared" si="2"/>
        <v>68</v>
      </c>
      <c r="M80" s="318">
        <v>1392</v>
      </c>
      <c r="N80" s="303">
        <v>1763</v>
      </c>
      <c r="O80" s="303">
        <v>1763</v>
      </c>
      <c r="P80" s="303">
        <v>613</v>
      </c>
      <c r="Q80" s="35"/>
      <c r="R80" s="48"/>
      <c r="S80" s="36"/>
      <c r="T80" s="36"/>
      <c r="U80" s="37"/>
      <c r="V80" s="38"/>
      <c r="W80" s="39"/>
      <c r="X80" s="39"/>
      <c r="Y80" s="40"/>
      <c r="Z80" s="40"/>
      <c r="AA80" s="41"/>
      <c r="AB80" s="42"/>
      <c r="AC80" s="43"/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140</v>
      </c>
      <c r="E81" s="28">
        <v>69011508</v>
      </c>
      <c r="F81" s="29">
        <v>690109</v>
      </c>
      <c r="G81" s="45">
        <v>373</v>
      </c>
      <c r="H81" s="31">
        <v>841</v>
      </c>
      <c r="I81" s="46">
        <v>800</v>
      </c>
      <c r="J81" s="32">
        <v>800</v>
      </c>
      <c r="K81" s="33">
        <f t="shared" si="2"/>
        <v>29.84</v>
      </c>
      <c r="L81" s="47">
        <f t="shared" si="2"/>
        <v>67.28</v>
      </c>
      <c r="M81" s="318">
        <v>608</v>
      </c>
      <c r="N81" s="303">
        <v>981</v>
      </c>
      <c r="O81" s="303">
        <v>981</v>
      </c>
      <c r="P81" s="303">
        <v>77</v>
      </c>
      <c r="Q81" s="35">
        <v>2000</v>
      </c>
      <c r="R81" s="48"/>
      <c r="S81" s="36">
        <v>150.69999999999999</v>
      </c>
      <c r="T81" s="36"/>
      <c r="U81" s="37"/>
      <c r="V81" s="38"/>
      <c r="W81" s="39">
        <f>S81*1000/39.37/Q81*38.5</f>
        <v>73.684912369824744</v>
      </c>
      <c r="X81" s="39"/>
      <c r="Y81" s="40">
        <v>73.959999999999994</v>
      </c>
      <c r="Z81" s="40"/>
      <c r="AA81" s="41"/>
      <c r="AB81" s="42"/>
      <c r="AC81" s="43">
        <v>74.23</v>
      </c>
      <c r="AD81" s="43"/>
    </row>
    <row r="82" spans="1:34" ht="24" customHeight="1" x14ac:dyDescent="0.4">
      <c r="A82" s="249" t="s">
        <v>148</v>
      </c>
      <c r="B82" s="246" t="s">
        <v>116</v>
      </c>
      <c r="C82" s="253" t="s">
        <v>63</v>
      </c>
      <c r="D82" s="256" t="s">
        <v>146</v>
      </c>
      <c r="E82" s="28"/>
      <c r="F82" s="29">
        <v>690109</v>
      </c>
      <c r="G82" s="45">
        <v>378</v>
      </c>
      <c r="H82" s="31">
        <v>851</v>
      </c>
      <c r="I82" s="46">
        <v>800</v>
      </c>
      <c r="J82" s="32">
        <v>800</v>
      </c>
      <c r="K82" s="33">
        <f t="shared" si="2"/>
        <v>30.24</v>
      </c>
      <c r="L82" s="47">
        <f t="shared" si="2"/>
        <v>68.08</v>
      </c>
      <c r="M82" s="318">
        <v>1410</v>
      </c>
      <c r="N82" s="303">
        <v>1788</v>
      </c>
      <c r="O82" s="303">
        <v>1788</v>
      </c>
      <c r="P82" s="303">
        <v>639</v>
      </c>
      <c r="Q82" s="35"/>
      <c r="R82" s="48"/>
      <c r="S82" s="36"/>
      <c r="T82" s="36"/>
      <c r="U82" s="37"/>
      <c r="V82" s="38"/>
      <c r="W82" s="39"/>
      <c r="X82" s="39"/>
      <c r="Y82" s="40"/>
      <c r="Z82" s="40"/>
      <c r="AA82" s="41"/>
      <c r="AB82" s="42"/>
      <c r="AC82" s="43"/>
      <c r="AD82" s="43"/>
    </row>
    <row r="83" spans="1:34" ht="24" customHeight="1" x14ac:dyDescent="0.4">
      <c r="A83" s="71" t="s">
        <v>214</v>
      </c>
      <c r="B83" s="26"/>
      <c r="C83" s="254"/>
      <c r="D83" s="49" t="s">
        <v>104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3">G83*8/100</f>
        <v>0</v>
      </c>
      <c r="L83" s="47">
        <f t="shared" si="3"/>
        <v>0</v>
      </c>
      <c r="M83" s="303">
        <v>230</v>
      </c>
      <c r="N83" s="303">
        <v>230</v>
      </c>
      <c r="O83" s="303">
        <v>230</v>
      </c>
      <c r="P83" s="303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71" t="s">
        <v>215</v>
      </c>
      <c r="B84" s="26"/>
      <c r="C84" s="26"/>
      <c r="D84" s="49" t="s">
        <v>104</v>
      </c>
      <c r="E84" s="28"/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03">
        <v>34</v>
      </c>
      <c r="O84" s="303">
        <v>34</v>
      </c>
      <c r="P84" s="303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6"/>
      <c r="D85" s="49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4">G85*8/100</f>
        <v>0</v>
      </c>
      <c r="L85" s="47">
        <f t="shared" si="4"/>
        <v>0</v>
      </c>
      <c r="M85" s="311">
        <v>62</v>
      </c>
      <c r="N85" s="311">
        <v>62</v>
      </c>
      <c r="O85" s="311">
        <v>62</v>
      </c>
      <c r="P85" s="31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6"/>
      <c r="D86" s="49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4"/>
        <v>0</v>
      </c>
      <c r="L86" s="47">
        <f t="shared" si="4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32035</v>
      </c>
      <c r="H87" s="86">
        <f>SUM(H6:H82)</f>
        <v>45953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62532</v>
      </c>
      <c r="R87" s="89">
        <f>SUM(R6:R86)</f>
        <v>38641</v>
      </c>
      <c r="S87" s="90">
        <f>SUM(S6:S86)</f>
        <v>5024.3</v>
      </c>
      <c r="T87" s="91">
        <f>SUM(T6:T86)</f>
        <v>3073.1000000000004</v>
      </c>
      <c r="U87" s="89">
        <f>SUM(U6:U86)</f>
        <v>464</v>
      </c>
      <c r="V87" s="89">
        <f>SUM(V6:V84)</f>
        <v>239</v>
      </c>
      <c r="W87" s="92">
        <f>SUM(W6:W86)</f>
        <v>2280.5783125012299</v>
      </c>
      <c r="X87" s="93">
        <f>SUM(X6:X86)</f>
        <v>1364.6144766137415</v>
      </c>
      <c r="Y87" s="94">
        <f>SUM(Y6:Y86)</f>
        <v>2074.5699999999997</v>
      </c>
      <c r="Z87" s="95">
        <f>SUM(Z6:Z86)</f>
        <v>1379.2</v>
      </c>
      <c r="AA87" s="96">
        <f>SUM(AA6:AA82)</f>
        <v>230.43</v>
      </c>
      <c r="AB87" s="97">
        <f>SUM(AB6:AB82)</f>
        <v>0</v>
      </c>
      <c r="AC87" s="98">
        <f>SUM(AC6:AC86)</f>
        <v>2329.2900000000004</v>
      </c>
      <c r="AD87" s="98">
        <f>SUM(AD6:AD86)</f>
        <v>1393.77</v>
      </c>
    </row>
    <row r="88" spans="1:34" ht="24" customHeight="1" thickBot="1" x14ac:dyDescent="0.45">
      <c r="A88" s="334"/>
      <c r="B88" s="83">
        <v>55</v>
      </c>
      <c r="C88" s="83">
        <v>55</v>
      </c>
      <c r="D88" s="84"/>
      <c r="E88" s="84"/>
      <c r="F88" s="84"/>
      <c r="G88" s="341">
        <f>G87+H87</f>
        <v>77988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Q87+R87+Q134+Q150</f>
        <v>110118</v>
      </c>
      <c r="R88" s="342"/>
      <c r="S88" s="375">
        <f>S87+T87+S134+S150</f>
        <v>9317.6</v>
      </c>
      <c r="T88" s="376"/>
      <c r="U88" s="341">
        <f>U87+V87+U134+U150</f>
        <v>793</v>
      </c>
      <c r="V88" s="342"/>
      <c r="W88" s="375">
        <f>W87+X87+W134+W150</f>
        <v>4445.5611414216528</v>
      </c>
      <c r="X88" s="376"/>
      <c r="Y88" s="375">
        <f>Y87+Z87+Y134+Y150</f>
        <v>4255.9399999999996</v>
      </c>
      <c r="Z88" s="376"/>
      <c r="AA88" s="375">
        <f>AA87+AB87+AA134</f>
        <v>230.43</v>
      </c>
      <c r="AB88" s="376"/>
      <c r="AC88" s="375">
        <f>AC87+AD87+AC134+AC150</f>
        <v>4527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323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110118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703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32035</v>
      </c>
      <c r="O91" s="108" t="s">
        <v>158</v>
      </c>
      <c r="P91" s="108"/>
      <c r="Q91" s="108" t="s">
        <v>159</v>
      </c>
      <c r="R91" s="109"/>
      <c r="S91" s="120">
        <f>H87</f>
        <v>45953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464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1.192172</v>
      </c>
      <c r="F92" s="124"/>
      <c r="G92" s="108" t="s">
        <v>162</v>
      </c>
      <c r="H92" s="125"/>
      <c r="I92" s="125">
        <v>21272</v>
      </c>
      <c r="J92" s="117" t="s">
        <v>154</v>
      </c>
      <c r="K92" s="108"/>
      <c r="L92" s="108" t="s">
        <v>163</v>
      </c>
      <c r="M92" s="108"/>
      <c r="N92" s="126">
        <f>G87/B88</f>
        <v>582.4545454545455</v>
      </c>
      <c r="O92" s="108" t="s">
        <v>158</v>
      </c>
      <c r="P92" s="108"/>
      <c r="Q92" s="108" t="s">
        <v>164</v>
      </c>
      <c r="S92" s="126">
        <f>H87/C88</f>
        <v>835.5090909090909</v>
      </c>
      <c r="T92" s="108"/>
      <c r="U92" s="108" t="s">
        <v>158</v>
      </c>
      <c r="W92" s="110"/>
      <c r="X92" s="108"/>
      <c r="Y92" s="127" t="s">
        <v>165</v>
      </c>
      <c r="AA92" s="122">
        <f>V87</f>
        <v>239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300</v>
      </c>
      <c r="F93" s="129"/>
      <c r="G93" s="108" t="s">
        <v>162</v>
      </c>
      <c r="H93" s="125"/>
      <c r="I93" s="125"/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290</v>
      </c>
      <c r="F94" s="129"/>
      <c r="G94" s="108" t="s">
        <v>162</v>
      </c>
      <c r="H94" s="125"/>
      <c r="I94" s="125">
        <v>2058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301</v>
      </c>
      <c r="F95" s="116"/>
      <c r="G95" s="108" t="s">
        <v>162</v>
      </c>
      <c r="H95" s="125"/>
      <c r="I95" s="125">
        <v>2000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308</v>
      </c>
      <c r="F96" s="136"/>
      <c r="G96" s="108" t="s">
        <v>162</v>
      </c>
      <c r="H96" s="125"/>
      <c r="I96" s="125">
        <v>1950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247</v>
      </c>
      <c r="F97" s="129"/>
      <c r="G97" s="108" t="s">
        <v>162</v>
      </c>
      <c r="H97" s="125"/>
      <c r="I97" s="125">
        <v>2500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55</v>
      </c>
      <c r="P97" s="108" t="s">
        <v>25</v>
      </c>
      <c r="Q97" s="108"/>
      <c r="R97" s="108"/>
      <c r="S97" s="130" t="s">
        <v>177</v>
      </c>
      <c r="T97" s="138">
        <f>C88</f>
        <v>55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332</v>
      </c>
      <c r="F98" s="139"/>
      <c r="G98" s="108" t="s">
        <v>162</v>
      </c>
      <c r="H98" s="125"/>
      <c r="I98" s="125">
        <v>2500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4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1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320</v>
      </c>
      <c r="F99" s="142"/>
      <c r="G99" s="108" t="s">
        <v>162</v>
      </c>
      <c r="H99" s="125"/>
      <c r="I99" s="125">
        <v>2000</v>
      </c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14</v>
      </c>
      <c r="Y99" s="127" t="s">
        <v>180</v>
      </c>
      <c r="Z99" s="103" t="s">
        <v>183</v>
      </c>
      <c r="AA99" s="146">
        <v>0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321</v>
      </c>
      <c r="F100" s="148"/>
      <c r="G100" s="108" t="s">
        <v>162</v>
      </c>
      <c r="H100" s="125"/>
      <c r="I100" s="125">
        <v>12000</v>
      </c>
      <c r="J100" s="117" t="s">
        <v>154</v>
      </c>
      <c r="K100" s="8"/>
      <c r="L100" s="149" t="s">
        <v>188</v>
      </c>
      <c r="M100" s="150"/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291</v>
      </c>
      <c r="F101" s="155"/>
      <c r="G101" s="108" t="s">
        <v>162</v>
      </c>
      <c r="H101" s="125"/>
      <c r="I101" s="125"/>
      <c r="J101" s="117" t="s">
        <v>154</v>
      </c>
      <c r="K101" s="108"/>
      <c r="L101" s="149"/>
      <c r="M101" s="150"/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 t="s">
        <v>334</v>
      </c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246</v>
      </c>
      <c r="F102" s="262"/>
      <c r="G102" s="108" t="s">
        <v>162</v>
      </c>
      <c r="H102" s="125"/>
      <c r="I102" s="125">
        <v>8945</v>
      </c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318</v>
      </c>
      <c r="F103" s="148"/>
      <c r="G103" s="108" t="s">
        <v>162</v>
      </c>
      <c r="H103" s="125"/>
      <c r="I103" s="125">
        <v>24175</v>
      </c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331</v>
      </c>
      <c r="F104" s="136"/>
      <c r="G104" s="108" t="s">
        <v>162</v>
      </c>
      <c r="H104" s="125"/>
      <c r="I104" s="125">
        <v>2529</v>
      </c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269</v>
      </c>
      <c r="F105" s="155"/>
      <c r="G105" s="108" t="s">
        <v>162</v>
      </c>
      <c r="H105" s="125"/>
      <c r="I105" s="125">
        <v>16000</v>
      </c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>
        <v>3819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292</v>
      </c>
      <c r="F107" s="155"/>
      <c r="G107" s="108" t="s">
        <v>162</v>
      </c>
      <c r="H107" s="125"/>
      <c r="I107" s="125">
        <v>5000</v>
      </c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s="109" customFormat="1" ht="24" customHeight="1" x14ac:dyDescent="0.55000000000000004">
      <c r="A108" s="1"/>
      <c r="B108" s="161"/>
      <c r="C108" s="1"/>
      <c r="D108" s="1"/>
      <c r="E108" s="136" t="s">
        <v>322</v>
      </c>
      <c r="F108" s="155"/>
      <c r="G108" s="108" t="s">
        <v>162</v>
      </c>
      <c r="H108" s="125"/>
      <c r="I108" s="125">
        <v>3370</v>
      </c>
      <c r="J108" s="117" t="s">
        <v>154</v>
      </c>
      <c r="K108" s="117"/>
      <c r="L108" s="149"/>
      <c r="M108" s="173"/>
      <c r="N108" s="165"/>
      <c r="O108" s="165"/>
      <c r="P108" s="165"/>
      <c r="Q108" s="165"/>
      <c r="R108" s="165"/>
      <c r="S108" s="166"/>
      <c r="T108" s="165"/>
      <c r="U108" s="167"/>
      <c r="V108" s="168"/>
      <c r="W108" s="169"/>
      <c r="X108" s="170"/>
      <c r="Y108" s="149"/>
      <c r="Z108" s="149"/>
      <c r="AA108" s="149"/>
      <c r="AB108" s="149"/>
      <c r="AC108" s="171"/>
      <c r="AD108" s="163"/>
      <c r="AK108" s="172"/>
    </row>
    <row r="109" spans="1:37" ht="24" customHeight="1" x14ac:dyDescent="0.55000000000000004">
      <c r="B109" s="161"/>
      <c r="F109" s="174"/>
      <c r="G109" s="175" t="s">
        <v>330</v>
      </c>
      <c r="H109" s="108"/>
      <c r="I109" s="176"/>
      <c r="J109" s="117"/>
      <c r="K109" s="8"/>
      <c r="L109" s="173"/>
      <c r="M109" s="173"/>
      <c r="N109" s="149"/>
      <c r="O109" s="149"/>
      <c r="P109" s="177"/>
      <c r="Q109" s="165"/>
      <c r="R109" s="165"/>
      <c r="S109" s="165"/>
      <c r="T109" s="167"/>
      <c r="U109" s="167"/>
      <c r="V109" s="168"/>
      <c r="W109" s="169"/>
      <c r="X109" s="149"/>
      <c r="Y109" s="149"/>
      <c r="Z109" s="149"/>
      <c r="AA109" s="149" t="s">
        <v>228</v>
      </c>
      <c r="AB109" s="149" t="s">
        <v>229</v>
      </c>
      <c r="AC109" s="149"/>
      <c r="AD109" s="163"/>
      <c r="AF109" s="109"/>
    </row>
    <row r="110" spans="1:37" ht="24" customHeight="1" x14ac:dyDescent="0.55000000000000004">
      <c r="B110" s="161"/>
      <c r="F110" s="133"/>
      <c r="G110" s="129"/>
      <c r="H110" s="108"/>
      <c r="I110" s="176"/>
      <c r="J110" s="117"/>
      <c r="K110" s="8"/>
      <c r="M110" s="173"/>
      <c r="N110" s="149"/>
      <c r="O110" s="149"/>
      <c r="P110" s="165"/>
      <c r="Q110" s="165"/>
      <c r="R110" s="165"/>
      <c r="S110" s="165"/>
      <c r="T110" s="167"/>
      <c r="U110" s="167"/>
      <c r="V110" s="168"/>
      <c r="W110" s="169"/>
      <c r="X110" s="169"/>
      <c r="Y110" s="149"/>
      <c r="Z110" s="149"/>
      <c r="AA110" s="149" t="s">
        <v>228</v>
      </c>
      <c r="AB110" s="149" t="s">
        <v>230</v>
      </c>
      <c r="AC110" s="149"/>
      <c r="AD110" s="163"/>
      <c r="AF110" s="109"/>
    </row>
    <row r="111" spans="1:37" ht="24" customHeight="1" x14ac:dyDescent="0.55000000000000004">
      <c r="A111" s="109"/>
      <c r="B111" s="109"/>
      <c r="C111" s="109"/>
      <c r="D111" s="109"/>
      <c r="E111" s="109"/>
      <c r="F111" s="136"/>
      <c r="G111" s="136"/>
      <c r="H111" s="108"/>
      <c r="I111" s="176"/>
      <c r="J111" s="117"/>
      <c r="K111" s="109"/>
      <c r="L111" s="167"/>
      <c r="M111" s="173"/>
      <c r="N111" s="149"/>
      <c r="O111" s="149"/>
      <c r="P111" s="165"/>
      <c r="Q111" s="177"/>
      <c r="R111" s="165"/>
      <c r="S111" s="165"/>
      <c r="T111" s="167"/>
      <c r="U111" s="167"/>
      <c r="V111" s="168"/>
      <c r="W111" s="169"/>
      <c r="X111" s="149"/>
      <c r="Y111" s="149"/>
      <c r="Z111" s="149"/>
      <c r="AA111" s="149"/>
      <c r="AB111" s="178"/>
      <c r="AC111" s="149" t="s">
        <v>0</v>
      </c>
      <c r="AD111" s="113"/>
      <c r="AF111" s="109"/>
    </row>
    <row r="112" spans="1:37" ht="24" customHeight="1" x14ac:dyDescent="0.5">
      <c r="A112" s="109"/>
      <c r="B112" s="109"/>
      <c r="C112" s="109"/>
      <c r="D112" s="109"/>
      <c r="E112" s="179"/>
      <c r="F112" s="180"/>
      <c r="G112" s="139"/>
      <c r="H112" s="174"/>
      <c r="I112" s="181"/>
      <c r="J112" s="182"/>
      <c r="K112" s="174"/>
      <c r="L112" s="109"/>
      <c r="M112" s="109"/>
      <c r="N112" s="109"/>
      <c r="O112" s="109"/>
      <c r="P112" s="109"/>
      <c r="Q112" s="109"/>
      <c r="R112" s="109"/>
      <c r="S112" s="183"/>
      <c r="T112" s="109"/>
      <c r="U112" s="109"/>
      <c r="V112" s="109"/>
      <c r="W112" s="184"/>
      <c r="X112" s="185"/>
      <c r="Y112" s="186"/>
      <c r="Z112" s="108"/>
      <c r="AA112" s="109"/>
      <c r="AB112" s="109"/>
      <c r="AC112" s="109"/>
      <c r="AD112" s="113"/>
      <c r="AF112" s="109"/>
    </row>
    <row r="113" spans="1:38" s="109" customFormat="1" ht="24" customHeight="1" x14ac:dyDescent="0.5">
      <c r="A113" s="187"/>
      <c r="B113" s="187"/>
      <c r="C113" s="187" t="s">
        <v>204</v>
      </c>
      <c r="D113" s="187"/>
      <c r="E113" s="187"/>
      <c r="F113" s="180"/>
      <c r="G113" s="139"/>
      <c r="H113" s="174"/>
      <c r="I113" s="175"/>
      <c r="J113" s="108"/>
      <c r="M113" s="373" t="s">
        <v>205</v>
      </c>
      <c r="N113" s="373"/>
      <c r="O113" s="373"/>
      <c r="P113" s="373"/>
      <c r="Q113" s="373"/>
      <c r="S113" s="183"/>
      <c r="W113" s="188"/>
      <c r="X113" s="373" t="s">
        <v>205</v>
      </c>
      <c r="Y113" s="373"/>
      <c r="Z113" s="373"/>
      <c r="AA113" s="373"/>
      <c r="AB113" s="373"/>
      <c r="AC113" s="373"/>
      <c r="AD113" s="373"/>
    </row>
    <row r="114" spans="1:38" s="109" customFormat="1" ht="24" customHeight="1" x14ac:dyDescent="0.5">
      <c r="A114" s="187"/>
      <c r="B114" s="187"/>
      <c r="C114" s="187" t="s">
        <v>206</v>
      </c>
      <c r="D114" s="187"/>
      <c r="E114" s="187"/>
      <c r="F114" s="189"/>
      <c r="G114" s="108"/>
      <c r="H114" s="108"/>
      <c r="I114" s="190"/>
      <c r="J114" s="117"/>
      <c r="K114" s="118"/>
      <c r="L114" s="118"/>
      <c r="M114" s="373" t="s">
        <v>151</v>
      </c>
      <c r="N114" s="373"/>
      <c r="O114" s="373"/>
      <c r="P114" s="373"/>
      <c r="Q114" s="373"/>
      <c r="R114" s="118"/>
      <c r="S114" s="191"/>
      <c r="T114" s="118"/>
      <c r="U114" s="118"/>
      <c r="V114" s="118"/>
      <c r="W114" s="192"/>
      <c r="X114" s="373" t="s">
        <v>206</v>
      </c>
      <c r="Y114" s="373"/>
      <c r="Z114" s="373"/>
      <c r="AA114" s="373"/>
      <c r="AB114" s="373"/>
      <c r="AC114" s="373"/>
      <c r="AD114" s="373"/>
    </row>
    <row r="115" spans="1:38" s="118" customFormat="1" ht="24" customHeight="1" x14ac:dyDescent="0.5">
      <c r="A115" s="187"/>
      <c r="B115" s="187"/>
      <c r="C115" s="187"/>
      <c r="D115" s="187"/>
      <c r="E115" s="187"/>
      <c r="F115" s="374"/>
      <c r="G115" s="374"/>
      <c r="H115" s="108"/>
      <c r="I115" s="190"/>
      <c r="J115" s="117"/>
      <c r="M115" s="187"/>
      <c r="N115" s="187"/>
      <c r="O115" s="187"/>
      <c r="P115" s="187"/>
      <c r="Q115" s="187"/>
      <c r="S115" s="191"/>
      <c r="W115" s="192"/>
      <c r="X115" s="187"/>
      <c r="Y115" s="187"/>
      <c r="Z115" s="187"/>
      <c r="AA115" s="187"/>
      <c r="AB115" s="187"/>
      <c r="AC115" s="187"/>
      <c r="AD115" s="187"/>
      <c r="AL115" s="193"/>
    </row>
    <row r="116" spans="1:38" s="118" customFormat="1" ht="24" customHeight="1" x14ac:dyDescent="0.5">
      <c r="A116" s="101"/>
      <c r="B116" s="194"/>
      <c r="C116" s="194"/>
      <c r="D116" s="195"/>
      <c r="E116" s="195"/>
      <c r="F116" s="195"/>
      <c r="G116" s="196"/>
      <c r="H116" s="196"/>
      <c r="I116" s="196"/>
      <c r="J116" s="196"/>
      <c r="K116" s="196"/>
      <c r="L116" s="196"/>
      <c r="M116" s="197"/>
      <c r="N116" s="197"/>
      <c r="O116" s="197"/>
      <c r="P116" s="197"/>
      <c r="Q116" s="198"/>
      <c r="R116" s="198"/>
      <c r="S116" s="199"/>
      <c r="T116" s="199"/>
      <c r="U116" s="198"/>
      <c r="V116" s="198"/>
      <c r="W116" s="199"/>
      <c r="X116" s="199"/>
      <c r="Y116" s="200"/>
      <c r="Z116" s="200"/>
      <c r="AA116" s="201"/>
      <c r="AB116" s="201"/>
      <c r="AC116" s="202"/>
      <c r="AD116" s="202"/>
      <c r="AL116" s="193"/>
    </row>
    <row r="119" spans="1:38" ht="18.75" thickBot="1" x14ac:dyDescent="0.45"/>
    <row r="120" spans="1:38" x14ac:dyDescent="0.4">
      <c r="A120" s="368" t="s">
        <v>1</v>
      </c>
      <c r="B120" s="349" t="s">
        <v>2</v>
      </c>
      <c r="C120" s="350"/>
      <c r="D120" s="5" t="s">
        <v>3</v>
      </c>
      <c r="E120" s="7"/>
      <c r="F120" s="7"/>
      <c r="G120" s="349" t="s">
        <v>4</v>
      </c>
      <c r="H120" s="350"/>
      <c r="I120" s="349" t="s">
        <v>5</v>
      </c>
      <c r="J120" s="350"/>
      <c r="K120" s="349" t="s">
        <v>6</v>
      </c>
      <c r="L120" s="350"/>
      <c r="M120" s="370" t="s">
        <v>7</v>
      </c>
      <c r="N120" s="371"/>
      <c r="O120" s="362" t="s">
        <v>7</v>
      </c>
      <c r="P120" s="363"/>
      <c r="Q120" s="364" t="s">
        <v>8</v>
      </c>
      <c r="R120" s="365"/>
      <c r="S120" s="349" t="s">
        <v>9</v>
      </c>
      <c r="T120" s="350"/>
      <c r="U120" s="366" t="s">
        <v>10</v>
      </c>
      <c r="V120" s="367"/>
      <c r="W120" s="349" t="s">
        <v>11</v>
      </c>
      <c r="X120" s="350"/>
      <c r="Y120" s="349" t="s">
        <v>12</v>
      </c>
      <c r="Z120" s="350"/>
      <c r="AA120" s="349" t="s">
        <v>13</v>
      </c>
      <c r="AB120" s="350"/>
      <c r="AC120" s="349" t="s">
        <v>14</v>
      </c>
      <c r="AD120" s="353"/>
    </row>
    <row r="121" spans="1:38" ht="21" x14ac:dyDescent="0.4">
      <c r="A121" s="369"/>
      <c r="B121" s="351"/>
      <c r="C121" s="352"/>
      <c r="D121" s="8" t="s">
        <v>15</v>
      </c>
      <c r="E121" s="205" t="s">
        <v>16</v>
      </c>
      <c r="F121" s="9" t="s">
        <v>17</v>
      </c>
      <c r="G121" s="351"/>
      <c r="H121" s="352"/>
      <c r="I121" s="351"/>
      <c r="J121" s="352"/>
      <c r="K121" s="351"/>
      <c r="L121" s="352"/>
      <c r="M121" s="354" t="s">
        <v>18</v>
      </c>
      <c r="N121" s="355"/>
      <c r="O121" s="356" t="s">
        <v>19</v>
      </c>
      <c r="P121" s="357"/>
      <c r="Q121" s="358" t="s">
        <v>20</v>
      </c>
      <c r="R121" s="359"/>
      <c r="S121" s="351" t="s">
        <v>21</v>
      </c>
      <c r="T121" s="352"/>
      <c r="U121" s="360" t="s">
        <v>22</v>
      </c>
      <c r="V121" s="359"/>
      <c r="W121" s="351" t="s">
        <v>23</v>
      </c>
      <c r="X121" s="352"/>
      <c r="Y121" s="351"/>
      <c r="Z121" s="352"/>
      <c r="AA121" s="351"/>
      <c r="AB121" s="352"/>
      <c r="AC121" s="351" t="s">
        <v>24</v>
      </c>
      <c r="AD121" s="361"/>
    </row>
    <row r="122" spans="1:38" ht="18.75" thickBot="1" x14ac:dyDescent="0.45">
      <c r="A122" s="10" t="s">
        <v>25</v>
      </c>
      <c r="B122" s="206" t="s">
        <v>207</v>
      </c>
      <c r="C122" s="12" t="s">
        <v>208</v>
      </c>
      <c r="D122" s="13" t="s">
        <v>28</v>
      </c>
      <c r="E122" s="207"/>
      <c r="F122" s="207"/>
      <c r="G122" s="12" t="s">
        <v>26</v>
      </c>
      <c r="H122" s="12" t="s">
        <v>27</v>
      </c>
      <c r="I122" s="11" t="s">
        <v>26</v>
      </c>
      <c r="J122" s="12" t="s">
        <v>27</v>
      </c>
      <c r="K122" s="11" t="s">
        <v>29</v>
      </c>
      <c r="L122" s="14" t="s">
        <v>30</v>
      </c>
      <c r="M122" s="208" t="s">
        <v>31</v>
      </c>
      <c r="N122" s="209" t="s">
        <v>32</v>
      </c>
      <c r="O122" s="210" t="s">
        <v>31</v>
      </c>
      <c r="P122" s="211" t="s">
        <v>32</v>
      </c>
      <c r="Q122" s="19" t="s">
        <v>26</v>
      </c>
      <c r="R122" s="12" t="s">
        <v>27</v>
      </c>
      <c r="S122" s="20" t="s">
        <v>26</v>
      </c>
      <c r="T122" s="12" t="s">
        <v>27</v>
      </c>
      <c r="U122" s="19" t="s">
        <v>26</v>
      </c>
      <c r="V122" s="12" t="s">
        <v>27</v>
      </c>
      <c r="W122" s="21" t="s">
        <v>26</v>
      </c>
      <c r="X122" s="12" t="s">
        <v>27</v>
      </c>
      <c r="Y122" s="22" t="s">
        <v>26</v>
      </c>
      <c r="Z122" s="23" t="s">
        <v>27</v>
      </c>
      <c r="AA122" s="19" t="s">
        <v>26</v>
      </c>
      <c r="AB122" s="12" t="s">
        <v>27</v>
      </c>
      <c r="AC122" s="11" t="s">
        <v>26</v>
      </c>
      <c r="AD122" s="24" t="s">
        <v>27</v>
      </c>
    </row>
    <row r="123" spans="1:38" ht="32.25" thickBot="1" x14ac:dyDescent="0.55000000000000004">
      <c r="A123" s="212" t="s">
        <v>130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223"/>
      <c r="S123" s="224"/>
      <c r="T123" s="57"/>
      <c r="U123" s="59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72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22"/>
      <c r="R124" s="67"/>
      <c r="S124" s="229"/>
      <c r="T124" s="57"/>
      <c r="U124" s="58"/>
      <c r="V124" s="59"/>
      <c r="W124" s="39"/>
      <c r="X124" s="39"/>
      <c r="Y124" s="40"/>
      <c r="Z124" s="40"/>
      <c r="AA124" s="225"/>
      <c r="AB124" s="226"/>
      <c r="AC124" s="227"/>
      <c r="AD124" s="228"/>
    </row>
    <row r="125" spans="1:38" ht="32.25" thickBot="1" x14ac:dyDescent="0.55000000000000004">
      <c r="A125" s="212" t="s">
        <v>117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54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38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30"/>
      <c r="R127" s="56"/>
      <c r="S127" s="231"/>
      <c r="T127" s="57"/>
      <c r="U127" s="58"/>
      <c r="V127" s="59"/>
      <c r="W127" s="39"/>
      <c r="X127" s="39"/>
      <c r="Y127" s="40"/>
      <c r="Z127" s="40"/>
      <c r="AA127" s="232"/>
      <c r="AB127" s="226"/>
      <c r="AC127" s="233"/>
      <c r="AD127" s="234"/>
    </row>
    <row r="128" spans="1:38" ht="32.25" thickBot="1" x14ac:dyDescent="0.55000000000000004">
      <c r="A128" s="212" t="s">
        <v>40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22"/>
      <c r="R128" s="67"/>
      <c r="S128" s="229"/>
      <c r="T128" s="57"/>
      <c r="U128" s="58"/>
      <c r="V128" s="59"/>
      <c r="W128" s="39"/>
      <c r="X128" s="39"/>
      <c r="Y128" s="40"/>
      <c r="Z128" s="40"/>
      <c r="AA128" s="225"/>
      <c r="AB128" s="226"/>
      <c r="AC128" s="227"/>
      <c r="AD128" s="228"/>
    </row>
    <row r="129" spans="1:30" ht="32.25" thickBot="1" x14ac:dyDescent="0.55000000000000004">
      <c r="A129" s="212" t="s">
        <v>125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30"/>
      <c r="R129" s="56"/>
      <c r="S129" s="231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86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22"/>
      <c r="R130" s="67"/>
      <c r="S130" s="229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74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30"/>
      <c r="R131" s="56"/>
      <c r="S131" s="231"/>
      <c r="T131" s="57"/>
      <c r="U131" s="58"/>
      <c r="V131" s="59"/>
      <c r="W131" s="39"/>
      <c r="X131" s="39"/>
      <c r="Y131" s="40"/>
      <c r="Z131" s="40"/>
      <c r="AA131" s="232"/>
      <c r="AB131" s="226"/>
      <c r="AC131" s="233"/>
      <c r="AD131" s="234"/>
    </row>
    <row r="132" spans="1:30" ht="32.25" thickBot="1" x14ac:dyDescent="0.55000000000000004">
      <c r="A132" s="212" t="s">
        <v>102</v>
      </c>
      <c r="B132" s="213" t="s">
        <v>209</v>
      </c>
      <c r="C132" s="213" t="s">
        <v>210</v>
      </c>
      <c r="D132" s="214" t="s">
        <v>211</v>
      </c>
      <c r="E132" s="215"/>
      <c r="F132" s="73">
        <v>690134</v>
      </c>
      <c r="G132" s="216"/>
      <c r="H132" s="217"/>
      <c r="I132" s="46">
        <v>800</v>
      </c>
      <c r="J132" s="32">
        <v>800</v>
      </c>
      <c r="K132" s="218"/>
      <c r="L132" s="218"/>
      <c r="M132" s="219"/>
      <c r="N132" s="220"/>
      <c r="O132" s="220"/>
      <c r="P132" s="221"/>
      <c r="Q132" s="222"/>
      <c r="R132" s="223"/>
      <c r="S132" s="224"/>
      <c r="T132" s="57"/>
      <c r="U132" s="59"/>
      <c r="V132" s="59"/>
      <c r="W132" s="39"/>
      <c r="X132" s="39"/>
      <c r="Y132" s="40"/>
      <c r="Z132" s="40"/>
      <c r="AA132" s="225"/>
      <c r="AB132" s="235"/>
      <c r="AC132" s="233"/>
      <c r="AD132" s="234"/>
    </row>
    <row r="133" spans="1:30" ht="24" thickBot="1" x14ac:dyDescent="0.45">
      <c r="A133" s="333" t="s">
        <v>150</v>
      </c>
      <c r="B133" s="83" t="s">
        <v>25</v>
      </c>
      <c r="C133" s="83" t="s">
        <v>25</v>
      </c>
      <c r="D133" s="84"/>
      <c r="E133" s="85"/>
      <c r="F133" s="84"/>
      <c r="G133" s="236">
        <f>SUM(G119:G119)</f>
        <v>0</v>
      </c>
      <c r="H133" s="236">
        <f>SUM(H119:H119)</f>
        <v>0</v>
      </c>
      <c r="I133" s="87"/>
      <c r="J133" s="87"/>
      <c r="K133" s="87"/>
      <c r="L133" s="88"/>
      <c r="M133" s="335"/>
      <c r="N133" s="336"/>
      <c r="O133" s="336"/>
      <c r="P133" s="337"/>
      <c r="Q133" s="237">
        <f t="shared" ref="Q133:AD133" si="5">SUM(Q123:Q132)</f>
        <v>0</v>
      </c>
      <c r="R133" s="237">
        <f t="shared" si="5"/>
        <v>0</v>
      </c>
      <c r="S133" s="238">
        <f t="shared" si="5"/>
        <v>0</v>
      </c>
      <c r="T133" s="238">
        <f t="shared" si="5"/>
        <v>0</v>
      </c>
      <c r="U133" s="237">
        <f t="shared" si="5"/>
        <v>0</v>
      </c>
      <c r="V133" s="237">
        <f t="shared" si="5"/>
        <v>0</v>
      </c>
      <c r="W133" s="238">
        <f t="shared" si="5"/>
        <v>0</v>
      </c>
      <c r="X133" s="238">
        <f t="shared" si="5"/>
        <v>0</v>
      </c>
      <c r="Y133" s="95">
        <f t="shared" si="5"/>
        <v>0</v>
      </c>
      <c r="Z133" s="95">
        <f t="shared" si="5"/>
        <v>0</v>
      </c>
      <c r="AA133" s="238">
        <f t="shared" si="5"/>
        <v>0</v>
      </c>
      <c r="AB133" s="238">
        <f t="shared" si="5"/>
        <v>0</v>
      </c>
      <c r="AC133" s="98"/>
      <c r="AD133" s="98">
        <f t="shared" si="5"/>
        <v>0</v>
      </c>
    </row>
    <row r="134" spans="1:30" ht="27" thickBot="1" x14ac:dyDescent="0.45">
      <c r="A134" s="334"/>
      <c r="B134" s="83">
        <v>2</v>
      </c>
      <c r="C134" s="83">
        <v>2</v>
      </c>
      <c r="D134" s="84"/>
      <c r="E134" s="84"/>
      <c r="F134" s="84"/>
      <c r="G134" s="99">
        <v>0</v>
      </c>
      <c r="H134" s="100"/>
      <c r="I134" s="99"/>
      <c r="J134" s="100"/>
      <c r="K134" s="341"/>
      <c r="L134" s="342"/>
      <c r="M134" s="338"/>
      <c r="N134" s="339"/>
      <c r="O134" s="339"/>
      <c r="P134" s="340"/>
      <c r="Q134" s="343">
        <f>Q133+R133</f>
        <v>0</v>
      </c>
      <c r="R134" s="344"/>
      <c r="S134" s="345">
        <f>S133+T133</f>
        <v>0</v>
      </c>
      <c r="T134" s="346"/>
      <c r="U134" s="347">
        <f>U133+V133</f>
        <v>0</v>
      </c>
      <c r="V134" s="348"/>
      <c r="W134" s="327">
        <f>W133+X133</f>
        <v>0</v>
      </c>
      <c r="X134" s="328"/>
      <c r="Y134" s="329">
        <f>Y133+Z133</f>
        <v>0</v>
      </c>
      <c r="Z134" s="330"/>
      <c r="AA134" s="327">
        <f>AA133+AB133</f>
        <v>0</v>
      </c>
      <c r="AB134" s="328"/>
      <c r="AC134" s="331">
        <f>AC133+AD133</f>
        <v>0</v>
      </c>
      <c r="AD134" s="332"/>
    </row>
    <row r="135" spans="1:30" ht="18.75" thickBot="1" x14ac:dyDescent="0.45"/>
    <row r="136" spans="1:30" x14ac:dyDescent="0.4">
      <c r="A136" s="368" t="s">
        <v>1</v>
      </c>
      <c r="B136" s="349" t="s">
        <v>2</v>
      </c>
      <c r="C136" s="350"/>
      <c r="D136" s="5" t="s">
        <v>3</v>
      </c>
      <c r="E136" s="7"/>
      <c r="F136" s="7"/>
      <c r="G136" s="349" t="s">
        <v>4</v>
      </c>
      <c r="H136" s="350"/>
      <c r="I136" s="349" t="s">
        <v>5</v>
      </c>
      <c r="J136" s="350"/>
      <c r="K136" s="349" t="s">
        <v>6</v>
      </c>
      <c r="L136" s="350"/>
      <c r="M136" s="370" t="s">
        <v>7</v>
      </c>
      <c r="N136" s="371"/>
      <c r="O136" s="362" t="s">
        <v>7</v>
      </c>
      <c r="P136" s="363"/>
      <c r="Q136" s="364" t="s">
        <v>8</v>
      </c>
      <c r="R136" s="365"/>
      <c r="S136" s="349" t="s">
        <v>9</v>
      </c>
      <c r="T136" s="350"/>
      <c r="U136" s="366" t="s">
        <v>10</v>
      </c>
      <c r="V136" s="367"/>
      <c r="W136" s="349" t="s">
        <v>11</v>
      </c>
      <c r="X136" s="350"/>
      <c r="Y136" s="349" t="s">
        <v>12</v>
      </c>
      <c r="Z136" s="350"/>
      <c r="AA136" s="349" t="s">
        <v>13</v>
      </c>
      <c r="AB136" s="350"/>
      <c r="AC136" s="349" t="s">
        <v>14</v>
      </c>
      <c r="AD136" s="353"/>
    </row>
    <row r="137" spans="1:30" ht="21" x14ac:dyDescent="0.4">
      <c r="A137" s="369"/>
      <c r="B137" s="351"/>
      <c r="C137" s="352"/>
      <c r="D137" s="8" t="s">
        <v>15</v>
      </c>
      <c r="E137" s="205" t="s">
        <v>16</v>
      </c>
      <c r="F137" s="9" t="s">
        <v>17</v>
      </c>
      <c r="G137" s="351"/>
      <c r="H137" s="352"/>
      <c r="I137" s="351"/>
      <c r="J137" s="352"/>
      <c r="K137" s="351"/>
      <c r="L137" s="352"/>
      <c r="M137" s="354" t="s">
        <v>18</v>
      </c>
      <c r="N137" s="355"/>
      <c r="O137" s="356" t="s">
        <v>19</v>
      </c>
      <c r="P137" s="357"/>
      <c r="Q137" s="358" t="s">
        <v>20</v>
      </c>
      <c r="R137" s="359"/>
      <c r="S137" s="351" t="s">
        <v>21</v>
      </c>
      <c r="T137" s="352"/>
      <c r="U137" s="360" t="s">
        <v>22</v>
      </c>
      <c r="V137" s="359"/>
      <c r="W137" s="351" t="s">
        <v>23</v>
      </c>
      <c r="X137" s="352"/>
      <c r="Y137" s="351"/>
      <c r="Z137" s="352"/>
      <c r="AA137" s="351"/>
      <c r="AB137" s="352"/>
      <c r="AC137" s="351" t="s">
        <v>24</v>
      </c>
      <c r="AD137" s="361"/>
    </row>
    <row r="138" spans="1:30" ht="18.75" thickBot="1" x14ac:dyDescent="0.45">
      <c r="A138" s="10" t="s">
        <v>25</v>
      </c>
      <c r="B138" s="206" t="s">
        <v>207</v>
      </c>
      <c r="C138" s="12" t="s">
        <v>208</v>
      </c>
      <c r="D138" s="13" t="s">
        <v>28</v>
      </c>
      <c r="E138" s="207"/>
      <c r="F138" s="207"/>
      <c r="G138" s="12" t="s">
        <v>26</v>
      </c>
      <c r="H138" s="12" t="s">
        <v>27</v>
      </c>
      <c r="I138" s="11" t="s">
        <v>26</v>
      </c>
      <c r="J138" s="12" t="s">
        <v>27</v>
      </c>
      <c r="K138" s="11" t="s">
        <v>29</v>
      </c>
      <c r="L138" s="14" t="s">
        <v>30</v>
      </c>
      <c r="M138" s="208" t="s">
        <v>31</v>
      </c>
      <c r="N138" s="209" t="s">
        <v>32</v>
      </c>
      <c r="O138" s="210" t="s">
        <v>31</v>
      </c>
      <c r="P138" s="211" t="s">
        <v>32</v>
      </c>
      <c r="Q138" s="19" t="s">
        <v>26</v>
      </c>
      <c r="R138" s="12" t="s">
        <v>27</v>
      </c>
      <c r="S138" s="20" t="s">
        <v>26</v>
      </c>
      <c r="T138" s="12" t="s">
        <v>27</v>
      </c>
      <c r="U138" s="19" t="s">
        <v>26</v>
      </c>
      <c r="V138" s="12" t="s">
        <v>27</v>
      </c>
      <c r="W138" s="21" t="s">
        <v>26</v>
      </c>
      <c r="X138" s="12" t="s">
        <v>27</v>
      </c>
      <c r="Y138" s="22" t="s">
        <v>26</v>
      </c>
      <c r="Z138" s="23" t="s">
        <v>27</v>
      </c>
      <c r="AA138" s="19" t="s">
        <v>26</v>
      </c>
      <c r="AB138" s="12" t="s">
        <v>27</v>
      </c>
      <c r="AC138" s="11" t="s">
        <v>26</v>
      </c>
      <c r="AD138" s="24" t="s">
        <v>27</v>
      </c>
    </row>
    <row r="139" spans="1:30" ht="30" thickBot="1" x14ac:dyDescent="0.55000000000000004">
      <c r="A139" s="212" t="s">
        <v>130</v>
      </c>
      <c r="B139" s="213" t="s">
        <v>209</v>
      </c>
      <c r="C139" s="213" t="s">
        <v>210</v>
      </c>
      <c r="D139" s="258" t="s">
        <v>237</v>
      </c>
      <c r="E139" s="326" t="s">
        <v>329</v>
      </c>
      <c r="F139" s="73">
        <v>690133</v>
      </c>
      <c r="G139" s="216"/>
      <c r="H139" s="217"/>
      <c r="I139" s="46">
        <v>800</v>
      </c>
      <c r="J139" s="32">
        <v>800</v>
      </c>
      <c r="K139" s="218"/>
      <c r="L139" s="218"/>
      <c r="M139" s="219"/>
      <c r="N139" s="220"/>
      <c r="O139" s="220"/>
      <c r="P139" s="221"/>
      <c r="Q139" s="222">
        <v>1470</v>
      </c>
      <c r="R139" s="223">
        <v>1460</v>
      </c>
      <c r="S139" s="224">
        <v>200.1</v>
      </c>
      <c r="T139" s="57">
        <v>199</v>
      </c>
      <c r="U139" s="59">
        <v>15</v>
      </c>
      <c r="V139" s="59">
        <v>15</v>
      </c>
      <c r="W139" s="39">
        <f>S139*1000/39.37/Q139*38.5</f>
        <v>133.11440908596103</v>
      </c>
      <c r="X139" s="39">
        <f>T139*1000/39.37/R139*38.5</f>
        <v>133.28937616779345</v>
      </c>
      <c r="Y139" s="40">
        <v>132.75</v>
      </c>
      <c r="Z139" s="40">
        <v>134.37</v>
      </c>
      <c r="AA139" s="225"/>
      <c r="AB139" s="226"/>
      <c r="AC139" s="227">
        <v>132.38</v>
      </c>
      <c r="AD139" s="228">
        <v>135.44</v>
      </c>
    </row>
    <row r="140" spans="1:30" ht="32.25" thickBot="1" x14ac:dyDescent="0.55000000000000004">
      <c r="A140" s="212" t="s">
        <v>72</v>
      </c>
      <c r="B140" s="213" t="s">
        <v>209</v>
      </c>
      <c r="C140" s="213" t="s">
        <v>210</v>
      </c>
      <c r="D140" s="258" t="s">
        <v>237</v>
      </c>
      <c r="E140" s="215"/>
      <c r="F140" s="73">
        <v>690133</v>
      </c>
      <c r="G140" s="216"/>
      <c r="H140" s="217"/>
      <c r="I140" s="46">
        <v>800</v>
      </c>
      <c r="J140" s="32">
        <v>800</v>
      </c>
      <c r="K140" s="218"/>
      <c r="L140" s="218"/>
      <c r="M140" s="219"/>
      <c r="N140" s="220"/>
      <c r="O140" s="220"/>
      <c r="P140" s="221"/>
      <c r="Q140" s="222"/>
      <c r="R140" s="67"/>
      <c r="S140" s="229"/>
      <c r="T140" s="57"/>
      <c r="U140" s="58"/>
      <c r="V140" s="59"/>
      <c r="W140" s="39"/>
      <c r="X140" s="39"/>
      <c r="Y140" s="40"/>
      <c r="Z140" s="40"/>
      <c r="AA140" s="225"/>
      <c r="AB140" s="226"/>
      <c r="AC140" s="227"/>
      <c r="AD140" s="228"/>
    </row>
    <row r="141" spans="1:30" ht="32.25" thickBot="1" x14ac:dyDescent="0.55000000000000004">
      <c r="A141" s="212" t="s">
        <v>117</v>
      </c>
      <c r="B141" s="213" t="s">
        <v>209</v>
      </c>
      <c r="C141" s="213" t="s">
        <v>210</v>
      </c>
      <c r="D141" s="258" t="s">
        <v>237</v>
      </c>
      <c r="E141" s="215">
        <v>69011509</v>
      </c>
      <c r="F141" s="73">
        <v>690133</v>
      </c>
      <c r="G141" s="216"/>
      <c r="H141" s="217"/>
      <c r="I141" s="46">
        <v>800</v>
      </c>
      <c r="J141" s="32">
        <v>800</v>
      </c>
      <c r="K141" s="218"/>
      <c r="L141" s="218"/>
      <c r="M141" s="219"/>
      <c r="N141" s="220"/>
      <c r="O141" s="220"/>
      <c r="P141" s="221"/>
      <c r="Q141" s="230">
        <v>1545</v>
      </c>
      <c r="R141" s="56"/>
      <c r="S141" s="231">
        <v>211.3</v>
      </c>
      <c r="T141" s="57"/>
      <c r="U141" s="58">
        <v>15</v>
      </c>
      <c r="V141" s="59"/>
      <c r="W141" s="39">
        <f>S141*1000/39.37/Q141*38.5</f>
        <v>133.74154256399129</v>
      </c>
      <c r="X141" s="39"/>
      <c r="Y141" s="40">
        <v>133.91</v>
      </c>
      <c r="Z141" s="40"/>
      <c r="AA141" s="232"/>
      <c r="AB141" s="226"/>
      <c r="AC141" s="233">
        <v>134.08000000000001</v>
      </c>
      <c r="AD141" s="234"/>
    </row>
    <row r="142" spans="1:30" ht="30" thickBot="1" x14ac:dyDescent="0.55000000000000004">
      <c r="A142" s="212" t="s">
        <v>86</v>
      </c>
      <c r="B142" s="213" t="s">
        <v>209</v>
      </c>
      <c r="C142" s="213" t="s">
        <v>210</v>
      </c>
      <c r="D142" s="258" t="s">
        <v>237</v>
      </c>
      <c r="E142" s="326" t="s">
        <v>328</v>
      </c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30">
        <v>1520</v>
      </c>
      <c r="R142" s="56">
        <v>1490</v>
      </c>
      <c r="S142" s="231">
        <v>207.3</v>
      </c>
      <c r="T142" s="57">
        <v>203</v>
      </c>
      <c r="U142" s="58">
        <v>15</v>
      </c>
      <c r="V142" s="59">
        <v>15</v>
      </c>
      <c r="W142" s="39">
        <f>S142*1000/39.37/Q142*38.5</f>
        <v>133.36781278825717</v>
      </c>
      <c r="X142" s="39">
        <f>T142*1000/39.37/R142*38.5</f>
        <v>133.23093760281481</v>
      </c>
      <c r="Y142" s="40">
        <v>133.79</v>
      </c>
      <c r="Z142" s="40">
        <v>133.43</v>
      </c>
      <c r="AA142" s="232"/>
      <c r="AB142" s="226"/>
      <c r="AC142" s="233">
        <v>134.19999999999999</v>
      </c>
      <c r="AD142" s="234">
        <v>133.63</v>
      </c>
    </row>
    <row r="143" spans="1:30" ht="32.25" thickBot="1" x14ac:dyDescent="0.55000000000000004">
      <c r="A143" s="212" t="s">
        <v>54</v>
      </c>
      <c r="B143" s="213" t="s">
        <v>209</v>
      </c>
      <c r="C143" s="213" t="s">
        <v>210</v>
      </c>
      <c r="D143" s="258" t="s">
        <v>237</v>
      </c>
      <c r="E143" s="215">
        <v>69011537</v>
      </c>
      <c r="F143" s="73">
        <v>690133</v>
      </c>
      <c r="G143" s="216"/>
      <c r="H143" s="217"/>
      <c r="I143" s="46">
        <v>800</v>
      </c>
      <c r="J143" s="32">
        <v>800</v>
      </c>
      <c r="K143" s="218"/>
      <c r="L143" s="218"/>
      <c r="M143" s="219"/>
      <c r="N143" s="220"/>
      <c r="O143" s="220"/>
      <c r="P143" s="221"/>
      <c r="Q143" s="230"/>
      <c r="R143" s="56">
        <v>1460</v>
      </c>
      <c r="S143" s="231"/>
      <c r="T143" s="57">
        <v>199.5</v>
      </c>
      <c r="U143" s="58"/>
      <c r="V143" s="59">
        <v>15</v>
      </c>
      <c r="W143" s="39"/>
      <c r="X143" s="39">
        <f>T143*1000/39.37/R143*38.5</f>
        <v>133.62427409786326</v>
      </c>
      <c r="Y143" s="40"/>
      <c r="Z143" s="40">
        <v>133.91999999999999</v>
      </c>
      <c r="AA143" s="232"/>
      <c r="AB143" s="226"/>
      <c r="AC143" s="233"/>
      <c r="AD143" s="234">
        <v>134.21</v>
      </c>
    </row>
    <row r="144" spans="1:30" ht="32.25" thickBot="1" x14ac:dyDescent="0.55000000000000004">
      <c r="A144" s="212" t="s">
        <v>40</v>
      </c>
      <c r="B144" s="213" t="s">
        <v>209</v>
      </c>
      <c r="C144" s="213" t="s">
        <v>210</v>
      </c>
      <c r="D144" s="258" t="s">
        <v>237</v>
      </c>
      <c r="E144" s="215"/>
      <c r="F144" s="73">
        <v>690133</v>
      </c>
      <c r="G144" s="216"/>
      <c r="H144" s="217"/>
      <c r="I144" s="46">
        <v>800</v>
      </c>
      <c r="J144" s="32">
        <v>800</v>
      </c>
      <c r="K144" s="218"/>
      <c r="L144" s="218"/>
      <c r="M144" s="219"/>
      <c r="N144" s="220"/>
      <c r="O144" s="220"/>
      <c r="P144" s="221"/>
      <c r="Q144" s="222"/>
      <c r="R144" s="67"/>
      <c r="S144" s="229"/>
      <c r="T144" s="57"/>
      <c r="U144" s="58"/>
      <c r="V144" s="59"/>
      <c r="W144" s="39"/>
      <c r="X144" s="39"/>
      <c r="Y144" s="40"/>
      <c r="Z144" s="40"/>
      <c r="AA144" s="225"/>
      <c r="AB144" s="226"/>
      <c r="AC144" s="227"/>
      <c r="AD144" s="228"/>
    </row>
    <row r="145" spans="1:30" ht="32.25" thickBot="1" x14ac:dyDescent="0.55000000000000004">
      <c r="A145" s="212" t="s">
        <v>125</v>
      </c>
      <c r="B145" s="213" t="s">
        <v>209</v>
      </c>
      <c r="C145" s="213" t="s">
        <v>210</v>
      </c>
      <c r="D145" s="258" t="s">
        <v>237</v>
      </c>
      <c r="E145" s="215"/>
      <c r="F145" s="73">
        <v>690133</v>
      </c>
      <c r="G145" s="216"/>
      <c r="H145" s="217"/>
      <c r="I145" s="46">
        <v>800</v>
      </c>
      <c r="J145" s="32">
        <v>800</v>
      </c>
      <c r="K145" s="218"/>
      <c r="L145" s="218"/>
      <c r="M145" s="219"/>
      <c r="N145" s="220"/>
      <c r="O145" s="220"/>
      <c r="P145" s="221"/>
      <c r="Q145" s="230"/>
      <c r="R145" s="56"/>
      <c r="S145" s="231"/>
      <c r="T145" s="57"/>
      <c r="U145" s="58"/>
      <c r="V145" s="59"/>
      <c r="W145" s="39"/>
      <c r="X145" s="39"/>
      <c r="Y145" s="40"/>
      <c r="Z145" s="40"/>
      <c r="AA145" s="232"/>
      <c r="AB145" s="226"/>
      <c r="AC145" s="233"/>
      <c r="AD145" s="234"/>
    </row>
    <row r="146" spans="1:30" ht="32.25" thickBot="1" x14ac:dyDescent="0.55000000000000004">
      <c r="A146" s="212" t="s">
        <v>86</v>
      </c>
      <c r="B146" s="213" t="s">
        <v>209</v>
      </c>
      <c r="C146" s="213" t="s">
        <v>210</v>
      </c>
      <c r="D146" s="258" t="s">
        <v>237</v>
      </c>
      <c r="E146" s="215"/>
      <c r="F146" s="73">
        <v>690133</v>
      </c>
      <c r="G146" s="216"/>
      <c r="H146" s="217"/>
      <c r="I146" s="46">
        <v>800</v>
      </c>
      <c r="J146" s="32">
        <v>800</v>
      </c>
      <c r="K146" s="218"/>
      <c r="L146" s="218"/>
      <c r="M146" s="219"/>
      <c r="N146" s="220"/>
      <c r="O146" s="220"/>
      <c r="P146" s="221"/>
      <c r="Q146" s="222"/>
      <c r="R146" s="67"/>
      <c r="S146" s="229"/>
      <c r="T146" s="57"/>
      <c r="U146" s="58"/>
      <c r="V146" s="59"/>
      <c r="W146" s="39"/>
      <c r="X146" s="39"/>
      <c r="Y146" s="40"/>
      <c r="Z146" s="40"/>
      <c r="AA146" s="232"/>
      <c r="AB146" s="226"/>
      <c r="AC146" s="233"/>
      <c r="AD146" s="234"/>
    </row>
    <row r="147" spans="1:30" ht="32.25" thickBot="1" x14ac:dyDescent="0.55000000000000004">
      <c r="A147" s="212" t="s">
        <v>74</v>
      </c>
      <c r="B147" s="213" t="s">
        <v>209</v>
      </c>
      <c r="C147" s="213" t="s">
        <v>210</v>
      </c>
      <c r="D147" s="258" t="s">
        <v>237</v>
      </c>
      <c r="E147" s="215"/>
      <c r="F147" s="73">
        <v>690133</v>
      </c>
      <c r="G147" s="216"/>
      <c r="H147" s="217"/>
      <c r="I147" s="46">
        <v>800</v>
      </c>
      <c r="J147" s="32">
        <v>800</v>
      </c>
      <c r="K147" s="218"/>
      <c r="L147" s="218"/>
      <c r="M147" s="219"/>
      <c r="N147" s="220"/>
      <c r="O147" s="220"/>
      <c r="P147" s="221"/>
      <c r="Q147" s="230"/>
      <c r="R147" s="56"/>
      <c r="S147" s="231"/>
      <c r="T147" s="57"/>
      <c r="U147" s="58"/>
      <c r="V147" s="59"/>
      <c r="W147" s="39"/>
      <c r="X147" s="39"/>
      <c r="Y147" s="40"/>
      <c r="Z147" s="40"/>
      <c r="AA147" s="232"/>
      <c r="AB147" s="226"/>
      <c r="AC147" s="233"/>
      <c r="AD147" s="234"/>
    </row>
    <row r="148" spans="1:30" ht="32.25" thickBot="1" x14ac:dyDescent="0.55000000000000004">
      <c r="A148" s="212" t="s">
        <v>102</v>
      </c>
      <c r="B148" s="213" t="s">
        <v>209</v>
      </c>
      <c r="C148" s="213" t="s">
        <v>210</v>
      </c>
      <c r="D148" s="258" t="s">
        <v>211</v>
      </c>
      <c r="E148" s="215"/>
      <c r="F148" s="73">
        <v>690134</v>
      </c>
      <c r="G148" s="216"/>
      <c r="H148" s="217"/>
      <c r="I148" s="46">
        <v>800</v>
      </c>
      <c r="J148" s="32">
        <v>800</v>
      </c>
      <c r="K148" s="218"/>
      <c r="L148" s="218"/>
      <c r="M148" s="219"/>
      <c r="N148" s="220"/>
      <c r="O148" s="220"/>
      <c r="P148" s="221"/>
      <c r="Q148" s="222"/>
      <c r="R148" s="223"/>
      <c r="S148" s="224"/>
      <c r="T148" s="57"/>
      <c r="U148" s="59"/>
      <c r="V148" s="59"/>
      <c r="W148" s="39"/>
      <c r="X148" s="39"/>
      <c r="Y148" s="40"/>
      <c r="Z148" s="40"/>
      <c r="AA148" s="225"/>
      <c r="AB148" s="235"/>
      <c r="AC148" s="233"/>
      <c r="AD148" s="234"/>
    </row>
    <row r="149" spans="1:30" ht="24" thickBot="1" x14ac:dyDescent="0.45">
      <c r="A149" s="333" t="s">
        <v>150</v>
      </c>
      <c r="B149" s="83" t="s">
        <v>25</v>
      </c>
      <c r="C149" s="83" t="s">
        <v>25</v>
      </c>
      <c r="D149" s="84"/>
      <c r="E149" s="85"/>
      <c r="F149" s="84"/>
      <c r="G149" s="236">
        <f>SUM(G135:G135)</f>
        <v>0</v>
      </c>
      <c r="H149" s="236">
        <f>SUM(H135:H135)</f>
        <v>0</v>
      </c>
      <c r="I149" s="87"/>
      <c r="J149" s="87"/>
      <c r="K149" s="87"/>
      <c r="L149" s="88"/>
      <c r="M149" s="335"/>
      <c r="N149" s="336"/>
      <c r="O149" s="336"/>
      <c r="P149" s="337"/>
      <c r="Q149" s="237">
        <f t="shared" ref="Q149:AD149" si="6">SUM(Q139:Q148)</f>
        <v>4535</v>
      </c>
      <c r="R149" s="237">
        <f t="shared" si="6"/>
        <v>4410</v>
      </c>
      <c r="S149" s="238">
        <f t="shared" si="6"/>
        <v>618.70000000000005</v>
      </c>
      <c r="T149" s="238">
        <f t="shared" si="6"/>
        <v>601.5</v>
      </c>
      <c r="U149" s="237">
        <f t="shared" si="6"/>
        <v>45</v>
      </c>
      <c r="V149" s="237">
        <f t="shared" si="6"/>
        <v>45</v>
      </c>
      <c r="W149" s="238">
        <f t="shared" si="6"/>
        <v>400.22376443820951</v>
      </c>
      <c r="X149" s="238">
        <f t="shared" si="6"/>
        <v>400.14458786847149</v>
      </c>
      <c r="Y149" s="95">
        <f t="shared" si="6"/>
        <v>400.44999999999993</v>
      </c>
      <c r="Z149" s="95">
        <f t="shared" si="6"/>
        <v>401.72</v>
      </c>
      <c r="AA149" s="238">
        <f t="shared" si="6"/>
        <v>0</v>
      </c>
      <c r="AB149" s="238">
        <f t="shared" si="6"/>
        <v>0</v>
      </c>
      <c r="AC149" s="98">
        <f t="shared" si="6"/>
        <v>400.66</v>
      </c>
      <c r="AD149" s="98">
        <f t="shared" si="6"/>
        <v>403.28</v>
      </c>
    </row>
    <row r="150" spans="1:30" ht="27" thickBot="1" x14ac:dyDescent="0.45">
      <c r="A150" s="334"/>
      <c r="B150" s="83">
        <v>2</v>
      </c>
      <c r="C150" s="83">
        <v>2</v>
      </c>
      <c r="D150" s="84"/>
      <c r="E150" s="84"/>
      <c r="F150" s="84"/>
      <c r="G150" s="99">
        <v>0</v>
      </c>
      <c r="H150" s="100"/>
      <c r="I150" s="99"/>
      <c r="J150" s="100"/>
      <c r="K150" s="341"/>
      <c r="L150" s="342"/>
      <c r="M150" s="338"/>
      <c r="N150" s="339"/>
      <c r="O150" s="339"/>
      <c r="P150" s="340"/>
      <c r="Q150" s="343">
        <f>Q149+R149</f>
        <v>8945</v>
      </c>
      <c r="R150" s="344"/>
      <c r="S150" s="345">
        <f>S149+T149</f>
        <v>1220.2</v>
      </c>
      <c r="T150" s="346"/>
      <c r="U150" s="347">
        <f>U149+V149</f>
        <v>90</v>
      </c>
      <c r="V150" s="348"/>
      <c r="W150" s="327">
        <f>W149+X149</f>
        <v>800.368352306681</v>
      </c>
      <c r="X150" s="328"/>
      <c r="Y150" s="329">
        <f>Y149+Z149</f>
        <v>802.17</v>
      </c>
      <c r="Z150" s="330"/>
      <c r="AA150" s="327">
        <f>AA149+AB149</f>
        <v>0</v>
      </c>
      <c r="AB150" s="328"/>
      <c r="AC150" s="331">
        <f>AC149+AD149</f>
        <v>803.94</v>
      </c>
      <c r="AD150" s="332"/>
    </row>
  </sheetData>
  <autoFilter ref="A5:AD113" xr:uid="{3D257094-AFCF-44D4-9CB6-CF8FC9C29795}"/>
  <mergeCells count="104">
    <mergeCell ref="W150:X150"/>
    <mergeCell ref="Y150:Z150"/>
    <mergeCell ref="AA150:AB150"/>
    <mergeCell ref="AC150:AD150"/>
    <mergeCell ref="A149:A150"/>
    <mergeCell ref="M149:P150"/>
    <mergeCell ref="K150:L150"/>
    <mergeCell ref="Q150:R150"/>
    <mergeCell ref="S150:T150"/>
    <mergeCell ref="U150:V150"/>
    <mergeCell ref="S137:T137"/>
    <mergeCell ref="U137:V137"/>
    <mergeCell ref="W137:X137"/>
    <mergeCell ref="AC137:AD137"/>
    <mergeCell ref="O136:P136"/>
    <mergeCell ref="Q136:R136"/>
    <mergeCell ref="S136:T136"/>
    <mergeCell ref="U136:V136"/>
    <mergeCell ref="W136:X136"/>
    <mergeCell ref="Y136:Z137"/>
    <mergeCell ref="U120:V120"/>
    <mergeCell ref="W120:X120"/>
    <mergeCell ref="Y120:Z121"/>
    <mergeCell ref="W134:X134"/>
    <mergeCell ref="Y134:Z134"/>
    <mergeCell ref="AA134:AB134"/>
    <mergeCell ref="AC134:AD134"/>
    <mergeCell ref="A136:A137"/>
    <mergeCell ref="B136:C137"/>
    <mergeCell ref="G136:H137"/>
    <mergeCell ref="I136:J137"/>
    <mergeCell ref="K136:L137"/>
    <mergeCell ref="M136:N136"/>
    <mergeCell ref="A133:A134"/>
    <mergeCell ref="M133:P134"/>
    <mergeCell ref="K134:L134"/>
    <mergeCell ref="Q134:R134"/>
    <mergeCell ref="S134:T134"/>
    <mergeCell ref="U134:V134"/>
    <mergeCell ref="AA136:AB137"/>
    <mergeCell ref="AC136:AD136"/>
    <mergeCell ref="M137:N137"/>
    <mergeCell ref="O137:P137"/>
    <mergeCell ref="Q137:R137"/>
    <mergeCell ref="A120:A121"/>
    <mergeCell ref="B120:C121"/>
    <mergeCell ref="G120:H121"/>
    <mergeCell ref="I120:J121"/>
    <mergeCell ref="K120:L121"/>
    <mergeCell ref="M120:N120"/>
    <mergeCell ref="E90:J90"/>
    <mergeCell ref="M113:Q113"/>
    <mergeCell ref="X113:AD113"/>
    <mergeCell ref="M114:Q114"/>
    <mergeCell ref="X114:AD114"/>
    <mergeCell ref="F115:G115"/>
    <mergeCell ref="AA120:AB121"/>
    <mergeCell ref="AC120:AD120"/>
    <mergeCell ref="M121:N121"/>
    <mergeCell ref="O121:P121"/>
    <mergeCell ref="Q121:R121"/>
    <mergeCell ref="S121:T121"/>
    <mergeCell ref="U121:V121"/>
    <mergeCell ref="W121:X121"/>
    <mergeCell ref="AC121:AD121"/>
    <mergeCell ref="O120:P120"/>
    <mergeCell ref="Q120:R120"/>
    <mergeCell ref="S120:T120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</mergeCells>
  <dataValidations count="1">
    <dataValidation type="list" allowBlank="1" showInputMessage="1" showErrorMessage="1" sqref="B10:C10 B54:C54" xr:uid="{92B11C7D-06F6-4F56-A604-7EA5477EA0B3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CA3E-110C-49F2-826A-51ADC85D9078}">
  <sheetPr>
    <tabColor rgb="FF00B050"/>
  </sheetPr>
  <dimension ref="A1:AL149"/>
  <sheetViews>
    <sheetView zoomScale="78" zoomScaleNormal="78" zoomScaleSheetLayoutView="70" workbookViewId="0">
      <pane xSplit="4" ySplit="5" topLeftCell="E79" activePane="bottomRight" state="frozen"/>
      <selection activeCell="M107" sqref="M107"/>
      <selection pane="topRight" activeCell="M107" sqref="M107"/>
      <selection pane="bottomLeft" activeCell="M107" sqref="M107"/>
      <selection pane="bottomRight" activeCell="Y84" sqref="Y84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303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296</v>
      </c>
      <c r="E6" s="28">
        <v>69011327</v>
      </c>
      <c r="F6" s="29">
        <v>690126</v>
      </c>
      <c r="G6" s="30">
        <v>926</v>
      </c>
      <c r="H6" s="31">
        <v>1030</v>
      </c>
      <c r="I6" s="32">
        <v>750</v>
      </c>
      <c r="J6" s="32">
        <v>750</v>
      </c>
      <c r="K6" s="33">
        <f>G6*8/100</f>
        <v>74.08</v>
      </c>
      <c r="L6" s="34">
        <f>H6*8/100</f>
        <v>82.4</v>
      </c>
      <c r="M6" s="303">
        <v>998</v>
      </c>
      <c r="N6" s="303">
        <v>1924</v>
      </c>
      <c r="O6" s="303">
        <v>1924</v>
      </c>
      <c r="P6" s="303">
        <v>954</v>
      </c>
      <c r="Q6" s="35">
        <v>2000</v>
      </c>
      <c r="R6" s="35"/>
      <c r="S6" s="36">
        <v>183.5</v>
      </c>
      <c r="T6" s="36"/>
      <c r="U6" s="37">
        <v>20</v>
      </c>
      <c r="V6" s="38"/>
      <c r="W6" s="39">
        <f>S6*1000/39.37/Q6*44.5</f>
        <v>103.70523241046483</v>
      </c>
      <c r="X6" s="39"/>
      <c r="Y6" s="40">
        <f t="shared" ref="Y6:Y7" si="0">(AC6+W6)/2</f>
        <v>103.19761620523241</v>
      </c>
      <c r="Z6" s="40"/>
      <c r="AA6" s="41"/>
      <c r="AB6" s="42"/>
      <c r="AC6" s="43">
        <v>102.69</v>
      </c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101</v>
      </c>
      <c r="E7" s="28">
        <v>69011325</v>
      </c>
      <c r="F7" s="29">
        <v>690126</v>
      </c>
      <c r="G7" s="45">
        <v>629</v>
      </c>
      <c r="H7" s="31">
        <v>875</v>
      </c>
      <c r="I7" s="46">
        <v>750</v>
      </c>
      <c r="J7" s="32">
        <v>750</v>
      </c>
      <c r="K7" s="33">
        <f t="shared" ref="K7:L38" si="1">G7*8/100</f>
        <v>50.32</v>
      </c>
      <c r="L7" s="47">
        <f t="shared" si="1"/>
        <v>70</v>
      </c>
      <c r="M7" s="303">
        <v>553</v>
      </c>
      <c r="N7" s="303">
        <v>1182</v>
      </c>
      <c r="O7" s="303">
        <v>1182</v>
      </c>
      <c r="P7" s="303">
        <v>57</v>
      </c>
      <c r="Q7" s="35">
        <v>1970</v>
      </c>
      <c r="R7" s="48"/>
      <c r="S7" s="36">
        <v>193.5</v>
      </c>
      <c r="T7" s="36"/>
      <c r="U7" s="37">
        <v>20</v>
      </c>
      <c r="V7" s="38"/>
      <c r="W7" s="39">
        <f>S7*1000/39.37/Q7*44.5</f>
        <v>111.02207483602784</v>
      </c>
      <c r="X7" s="39"/>
      <c r="Y7" s="40">
        <f t="shared" si="0"/>
        <v>111.88603741801393</v>
      </c>
      <c r="Z7" s="40"/>
      <c r="AA7" s="41"/>
      <c r="AB7" s="42"/>
      <c r="AC7" s="43">
        <v>112.75</v>
      </c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/>
      <c r="F8" s="29">
        <v>690111</v>
      </c>
      <c r="G8" s="45">
        <v>679</v>
      </c>
      <c r="H8" s="31">
        <v>920</v>
      </c>
      <c r="I8" s="46">
        <v>750</v>
      </c>
      <c r="J8" s="32">
        <v>750</v>
      </c>
      <c r="K8" s="33">
        <f t="shared" si="1"/>
        <v>54.32</v>
      </c>
      <c r="L8" s="47">
        <f t="shared" si="1"/>
        <v>73.599999999999994</v>
      </c>
      <c r="M8" s="303">
        <v>1499</v>
      </c>
      <c r="N8" s="303">
        <v>2178</v>
      </c>
      <c r="O8" s="303">
        <v>2178</v>
      </c>
      <c r="P8" s="303">
        <v>920</v>
      </c>
      <c r="Q8" s="35"/>
      <c r="R8" s="48"/>
      <c r="S8" s="36"/>
      <c r="T8" s="36"/>
      <c r="U8" s="37"/>
      <c r="V8" s="38"/>
      <c r="W8" s="39"/>
      <c r="X8" s="39"/>
      <c r="Y8" s="40"/>
      <c r="Z8" s="40"/>
      <c r="AA8" s="41"/>
      <c r="AB8" s="42"/>
      <c r="AC8" s="43"/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/>
      <c r="F9" s="29">
        <v>690109</v>
      </c>
      <c r="G9" s="45">
        <v>600</v>
      </c>
      <c r="H9" s="31">
        <v>0</v>
      </c>
      <c r="I9" s="46">
        <v>110</v>
      </c>
      <c r="J9" s="32">
        <v>110</v>
      </c>
      <c r="K9" s="33">
        <f t="shared" si="1"/>
        <v>48</v>
      </c>
      <c r="L9" s="47">
        <f t="shared" si="1"/>
        <v>0</v>
      </c>
      <c r="M9" s="303">
        <v>1943</v>
      </c>
      <c r="N9" s="303">
        <v>2543</v>
      </c>
      <c r="O9" s="303">
        <v>2543</v>
      </c>
      <c r="P9" s="303"/>
      <c r="Q9" s="35"/>
      <c r="R9" s="48"/>
      <c r="S9" s="36"/>
      <c r="T9" s="36"/>
      <c r="U9" s="37"/>
      <c r="V9" s="38"/>
      <c r="W9" s="39"/>
      <c r="X9" s="39"/>
      <c r="Y9" s="40"/>
      <c r="Z9" s="40"/>
      <c r="AA9" s="41"/>
      <c r="AB9" s="42"/>
      <c r="AC9" s="43"/>
      <c r="AD9" s="43"/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47</v>
      </c>
      <c r="E10" s="28"/>
      <c r="F10" s="29">
        <v>690119</v>
      </c>
      <c r="G10" s="51">
        <v>0</v>
      </c>
      <c r="H10" s="31">
        <v>535</v>
      </c>
      <c r="I10" s="46">
        <v>110</v>
      </c>
      <c r="J10" s="32">
        <v>110</v>
      </c>
      <c r="K10" s="33">
        <f t="shared" si="1"/>
        <v>0</v>
      </c>
      <c r="L10" s="47">
        <f t="shared" si="1"/>
        <v>42.8</v>
      </c>
      <c r="M10" s="303">
        <v>1495</v>
      </c>
      <c r="N10" s="303">
        <v>1495</v>
      </c>
      <c r="O10" s="303">
        <v>1495</v>
      </c>
      <c r="P10" s="303">
        <v>2030</v>
      </c>
      <c r="Q10" s="35"/>
      <c r="R10" s="48"/>
      <c r="S10" s="36"/>
      <c r="T10" s="36"/>
      <c r="U10" s="37"/>
      <c r="V10" s="38"/>
      <c r="W10" s="39"/>
      <c r="X10" s="39"/>
      <c r="Y10" s="40"/>
      <c r="Z10" s="40"/>
      <c r="AA10" s="41"/>
      <c r="AB10" s="42"/>
      <c r="AC10" s="43"/>
      <c r="AD10" s="43"/>
      <c r="AE10" s="260" t="s">
        <v>287</v>
      </c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101</v>
      </c>
      <c r="E11" s="28">
        <v>69011326</v>
      </c>
      <c r="F11" s="29">
        <v>690126</v>
      </c>
      <c r="G11" s="45">
        <v>433</v>
      </c>
      <c r="H11" s="31">
        <v>575</v>
      </c>
      <c r="I11" s="46">
        <v>800</v>
      </c>
      <c r="J11" s="32">
        <v>800</v>
      </c>
      <c r="K11" s="33">
        <f t="shared" si="1"/>
        <v>34.64</v>
      </c>
      <c r="L11" s="47">
        <f>H11*8/100</f>
        <v>46</v>
      </c>
      <c r="M11" s="304">
        <v>1243</v>
      </c>
      <c r="N11" s="304">
        <v>370</v>
      </c>
      <c r="O11" s="304">
        <v>370</v>
      </c>
      <c r="P11" s="304">
        <v>945</v>
      </c>
      <c r="Q11" s="35">
        <v>1320</v>
      </c>
      <c r="R11" s="48"/>
      <c r="S11" s="36">
        <v>135.4</v>
      </c>
      <c r="T11" s="36"/>
      <c r="U11" s="37">
        <v>15</v>
      </c>
      <c r="V11" s="38"/>
      <c r="W11" s="39">
        <f>S11*1000/39.37/Q11*44.5</f>
        <v>115.94161067110014</v>
      </c>
      <c r="X11" s="39"/>
      <c r="Y11" s="40">
        <f t="shared" ref="Y11" si="2">(AC11+W11)/2</f>
        <v>113.80580533555008</v>
      </c>
      <c r="Z11" s="52"/>
      <c r="AA11" s="41"/>
      <c r="AB11" s="42"/>
      <c r="AC11" s="43">
        <v>111.67</v>
      </c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285</v>
      </c>
      <c r="E12" s="28"/>
      <c r="F12" s="29">
        <v>690143</v>
      </c>
      <c r="G12" s="45">
        <v>539</v>
      </c>
      <c r="H12" s="31">
        <v>535</v>
      </c>
      <c r="I12" s="46">
        <v>800</v>
      </c>
      <c r="J12" s="32">
        <v>800</v>
      </c>
      <c r="K12" s="33">
        <f t="shared" si="1"/>
        <v>43.12</v>
      </c>
      <c r="L12" s="47">
        <f t="shared" si="1"/>
        <v>42.8</v>
      </c>
      <c r="M12" s="303">
        <v>1614</v>
      </c>
      <c r="N12" s="303">
        <v>2153</v>
      </c>
      <c r="O12" s="303">
        <v>2153</v>
      </c>
      <c r="P12" s="303">
        <v>188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285</v>
      </c>
      <c r="E13" s="28"/>
      <c r="F13" s="29">
        <v>690143</v>
      </c>
      <c r="G13" s="45">
        <v>565</v>
      </c>
      <c r="H13" s="31">
        <v>720</v>
      </c>
      <c r="I13" s="46">
        <v>800</v>
      </c>
      <c r="J13" s="32">
        <v>800</v>
      </c>
      <c r="K13" s="33">
        <f t="shared" si="1"/>
        <v>45.2</v>
      </c>
      <c r="L13" s="47">
        <f t="shared" si="1"/>
        <v>57.6</v>
      </c>
      <c r="M13" s="303">
        <v>629</v>
      </c>
      <c r="N13" s="303">
        <v>1194</v>
      </c>
      <c r="O13" s="303">
        <v>1194</v>
      </c>
      <c r="P13" s="303">
        <v>1914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528</v>
      </c>
      <c r="H14" s="31">
        <v>790</v>
      </c>
      <c r="I14" s="46">
        <v>800</v>
      </c>
      <c r="J14" s="32">
        <v>800</v>
      </c>
      <c r="K14" s="33">
        <f t="shared" si="1"/>
        <v>42.24</v>
      </c>
      <c r="L14" s="47">
        <f t="shared" si="1"/>
        <v>63.2</v>
      </c>
      <c r="M14" s="303">
        <v>529</v>
      </c>
      <c r="N14" s="303">
        <v>1057</v>
      </c>
      <c r="O14" s="303">
        <v>1057</v>
      </c>
      <c r="P14" s="303">
        <v>347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47</v>
      </c>
      <c r="E15" s="28"/>
      <c r="F15" s="29">
        <v>690119</v>
      </c>
      <c r="G15" s="55">
        <v>179</v>
      </c>
      <c r="H15" s="31">
        <v>685</v>
      </c>
      <c r="I15" s="46">
        <v>800</v>
      </c>
      <c r="J15" s="32">
        <v>800</v>
      </c>
      <c r="K15" s="33">
        <f t="shared" si="1"/>
        <v>14.32</v>
      </c>
      <c r="L15" s="47">
        <f t="shared" si="1"/>
        <v>54.8</v>
      </c>
      <c r="M15" s="303">
        <v>479</v>
      </c>
      <c r="N15" s="303">
        <v>658</v>
      </c>
      <c r="O15" s="303">
        <v>658</v>
      </c>
      <c r="P15" s="303">
        <v>1343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>
        <v>69011336</v>
      </c>
      <c r="F16" s="29">
        <v>690106</v>
      </c>
      <c r="G16" s="55">
        <v>334</v>
      </c>
      <c r="H16" s="31">
        <v>930</v>
      </c>
      <c r="I16" s="46">
        <v>800</v>
      </c>
      <c r="J16" s="32">
        <v>800</v>
      </c>
      <c r="K16" s="33">
        <f t="shared" si="1"/>
        <v>26.72</v>
      </c>
      <c r="L16" s="47">
        <f t="shared" si="1"/>
        <v>74.400000000000006</v>
      </c>
      <c r="M16" s="303">
        <v>1502</v>
      </c>
      <c r="N16" s="303">
        <v>0</v>
      </c>
      <c r="O16" s="303">
        <v>0</v>
      </c>
      <c r="P16" s="303">
        <v>930</v>
      </c>
      <c r="Q16" s="35"/>
      <c r="R16" s="48">
        <v>1836</v>
      </c>
      <c r="S16" s="36"/>
      <c r="T16" s="36">
        <v>144.6</v>
      </c>
      <c r="U16" s="37"/>
      <c r="V16" s="38">
        <v>15</v>
      </c>
      <c r="W16" s="39"/>
      <c r="X16" s="39">
        <f>T16*1000/39.37/R16*31.5</f>
        <v>63.014537793781479</v>
      </c>
      <c r="Y16" s="40"/>
      <c r="Z16" s="40">
        <f t="shared" ref="Z16" si="3">(AD16+X16)/2</f>
        <v>63.707268896890739</v>
      </c>
      <c r="AA16" s="41"/>
      <c r="AB16" s="42"/>
      <c r="AC16" s="43"/>
      <c r="AD16" s="43">
        <v>64.400000000000006</v>
      </c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/>
      <c r="F17" s="29">
        <v>690106</v>
      </c>
      <c r="G17" s="55">
        <v>325</v>
      </c>
      <c r="H17" s="31">
        <v>1054</v>
      </c>
      <c r="I17" s="46">
        <v>800</v>
      </c>
      <c r="J17" s="32">
        <v>800</v>
      </c>
      <c r="K17" s="33">
        <f t="shared" si="1"/>
        <v>26</v>
      </c>
      <c r="L17" s="47">
        <f t="shared" si="1"/>
        <v>84.32</v>
      </c>
      <c r="M17" s="303">
        <v>475</v>
      </c>
      <c r="N17" s="303">
        <v>800</v>
      </c>
      <c r="O17" s="303">
        <v>800</v>
      </c>
      <c r="P17" s="303">
        <v>1854</v>
      </c>
      <c r="Q17" s="35"/>
      <c r="R17" s="48"/>
      <c r="S17" s="36"/>
      <c r="T17" s="36"/>
      <c r="U17" s="37"/>
      <c r="V17" s="38"/>
      <c r="W17" s="39"/>
      <c r="X17" s="39"/>
      <c r="Y17" s="40"/>
      <c r="Z17" s="40"/>
      <c r="AA17" s="41"/>
      <c r="AB17" s="42"/>
      <c r="AC17" s="43"/>
      <c r="AD17" s="43"/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/>
      <c r="F18" s="29">
        <v>690106</v>
      </c>
      <c r="G18" s="55">
        <v>382</v>
      </c>
      <c r="H18" s="31">
        <v>960</v>
      </c>
      <c r="I18" s="46">
        <v>800</v>
      </c>
      <c r="J18" s="32">
        <v>800</v>
      </c>
      <c r="K18" s="33">
        <f t="shared" si="1"/>
        <v>30.56</v>
      </c>
      <c r="L18" s="47">
        <f t="shared" si="1"/>
        <v>76.8</v>
      </c>
      <c r="M18" s="303">
        <v>458</v>
      </c>
      <c r="N18" s="303">
        <v>840</v>
      </c>
      <c r="O18" s="303">
        <v>840</v>
      </c>
      <c r="P18" s="303">
        <v>1800</v>
      </c>
      <c r="Q18" s="35"/>
      <c r="R18" s="48"/>
      <c r="S18" s="36"/>
      <c r="T18" s="36"/>
      <c r="U18" s="37"/>
      <c r="V18" s="38"/>
      <c r="W18" s="39"/>
      <c r="X18" s="39"/>
      <c r="Y18" s="40"/>
      <c r="Z18" s="40"/>
      <c r="AA18" s="41"/>
      <c r="AB18" s="42"/>
      <c r="AC18" s="43"/>
      <c r="AD18" s="43"/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59</v>
      </c>
      <c r="E19" s="28">
        <v>69011308</v>
      </c>
      <c r="F19" s="29">
        <v>690112</v>
      </c>
      <c r="G19" s="45">
        <v>892</v>
      </c>
      <c r="H19" s="31">
        <v>1140</v>
      </c>
      <c r="I19" s="46">
        <v>750</v>
      </c>
      <c r="J19" s="32">
        <v>750</v>
      </c>
      <c r="K19" s="33">
        <f t="shared" si="1"/>
        <v>71.36</v>
      </c>
      <c r="L19" s="47">
        <f t="shared" si="1"/>
        <v>91.2</v>
      </c>
      <c r="M19" s="303">
        <v>287</v>
      </c>
      <c r="N19" s="303">
        <v>1179</v>
      </c>
      <c r="O19" s="303">
        <v>1179</v>
      </c>
      <c r="P19" s="303">
        <v>319</v>
      </c>
      <c r="Q19" s="35">
        <v>2000</v>
      </c>
      <c r="R19" s="48"/>
      <c r="S19" s="36">
        <v>157.9</v>
      </c>
      <c r="T19" s="36"/>
      <c r="U19" s="37"/>
      <c r="V19" s="38"/>
      <c r="W19" s="39">
        <f>S19*1000/39.37/Q19*38.5</f>
        <v>77.205359410718827</v>
      </c>
      <c r="X19" s="39"/>
      <c r="Y19" s="40">
        <f t="shared" ref="Y19:Y21" si="4">(AC19+W19)/2</f>
        <v>78.377679705359412</v>
      </c>
      <c r="Z19" s="40"/>
      <c r="AA19" s="41"/>
      <c r="AB19" s="42"/>
      <c r="AC19" s="43">
        <v>79.55</v>
      </c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146</v>
      </c>
      <c r="E20" s="28">
        <v>69011329</v>
      </c>
      <c r="F20" s="29">
        <v>690119</v>
      </c>
      <c r="G20" s="45">
        <v>824</v>
      </c>
      <c r="H20" s="31">
        <v>1000</v>
      </c>
      <c r="I20" s="46">
        <v>750</v>
      </c>
      <c r="J20" s="32">
        <v>750</v>
      </c>
      <c r="K20" s="33">
        <f t="shared" si="1"/>
        <v>65.92</v>
      </c>
      <c r="L20" s="47">
        <f t="shared" si="1"/>
        <v>80</v>
      </c>
      <c r="M20" s="303">
        <v>640</v>
      </c>
      <c r="N20" s="303">
        <v>1464</v>
      </c>
      <c r="O20" s="303">
        <v>1464</v>
      </c>
      <c r="P20" s="303">
        <v>464</v>
      </c>
      <c r="Q20" s="35">
        <v>2000</v>
      </c>
      <c r="R20" s="48"/>
      <c r="S20" s="36">
        <v>151.6</v>
      </c>
      <c r="T20" s="36"/>
      <c r="U20" s="37"/>
      <c r="V20" s="38"/>
      <c r="W20" s="39">
        <f>S20*1000/39.37/Q20*38.5</f>
        <v>74.124968249936515</v>
      </c>
      <c r="X20" s="39"/>
      <c r="Y20" s="40">
        <f t="shared" si="4"/>
        <v>75.402484124968254</v>
      </c>
      <c r="Z20" s="40"/>
      <c r="AA20" s="41"/>
      <c r="AB20" s="42"/>
      <c r="AC20" s="43">
        <v>76.680000000000007</v>
      </c>
      <c r="AD20" s="43"/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146</v>
      </c>
      <c r="E21" s="28">
        <v>69011328</v>
      </c>
      <c r="F21" s="29">
        <v>690119</v>
      </c>
      <c r="G21" s="45">
        <v>930</v>
      </c>
      <c r="H21" s="31">
        <v>1240</v>
      </c>
      <c r="I21" s="46">
        <v>750</v>
      </c>
      <c r="J21" s="32">
        <v>750</v>
      </c>
      <c r="K21" s="33">
        <f t="shared" si="1"/>
        <v>74.400000000000006</v>
      </c>
      <c r="L21" s="47">
        <f t="shared" si="1"/>
        <v>99.2</v>
      </c>
      <c r="M21" s="303">
        <v>846</v>
      </c>
      <c r="N21" s="303">
        <v>1776</v>
      </c>
      <c r="O21" s="303">
        <v>1776</v>
      </c>
      <c r="P21" s="303">
        <v>1016</v>
      </c>
      <c r="Q21" s="35">
        <v>2000</v>
      </c>
      <c r="R21" s="48"/>
      <c r="S21" s="36">
        <v>151.4</v>
      </c>
      <c r="T21" s="36"/>
      <c r="U21" s="37"/>
      <c r="V21" s="38"/>
      <c r="W21" s="39">
        <f>S21*1000/39.37/Q21*38.5</f>
        <v>74.027178054356114</v>
      </c>
      <c r="X21" s="39"/>
      <c r="Y21" s="40">
        <f t="shared" si="4"/>
        <v>73.903589027178057</v>
      </c>
      <c r="Z21" s="40"/>
      <c r="AA21" s="41"/>
      <c r="AB21" s="42"/>
      <c r="AC21" s="43">
        <v>73.78</v>
      </c>
      <c r="AD21" s="43"/>
    </row>
    <row r="22" spans="1:35" ht="26.25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/>
      <c r="F22" s="29">
        <v>690112</v>
      </c>
      <c r="G22" s="45">
        <v>1011</v>
      </c>
      <c r="H22" s="31">
        <v>886</v>
      </c>
      <c r="I22" s="46">
        <v>750</v>
      </c>
      <c r="J22" s="32">
        <v>750</v>
      </c>
      <c r="K22" s="33">
        <f t="shared" si="1"/>
        <v>80.88</v>
      </c>
      <c r="L22" s="47">
        <f t="shared" si="1"/>
        <v>70.88</v>
      </c>
      <c r="M22" s="305">
        <v>1783</v>
      </c>
      <c r="N22" s="303">
        <v>794</v>
      </c>
      <c r="O22" s="303">
        <v>794</v>
      </c>
      <c r="P22" s="305">
        <v>1680</v>
      </c>
      <c r="Q22" s="35"/>
      <c r="R22" s="48"/>
      <c r="S22" s="36"/>
      <c r="T22" s="36"/>
      <c r="U22" s="37"/>
      <c r="V22" s="38"/>
      <c r="W22" s="39"/>
      <c r="X22" s="39"/>
      <c r="Y22" s="40"/>
      <c r="Z22" s="40"/>
      <c r="AA22" s="41"/>
      <c r="AB22" s="42"/>
      <c r="AC22" s="43"/>
      <c r="AD22" s="43"/>
    </row>
    <row r="23" spans="1:35" ht="24" customHeight="1" x14ac:dyDescent="0.4">
      <c r="A23" s="249" t="s">
        <v>70</v>
      </c>
      <c r="B23" s="246" t="s">
        <v>42</v>
      </c>
      <c r="C23" s="253" t="s">
        <v>41</v>
      </c>
      <c r="D23" s="256" t="s">
        <v>57</v>
      </c>
      <c r="E23" s="28">
        <v>69011335</v>
      </c>
      <c r="F23" s="29">
        <v>690104</v>
      </c>
      <c r="G23" s="45">
        <v>705</v>
      </c>
      <c r="H23" s="31">
        <v>805</v>
      </c>
      <c r="I23" s="46">
        <v>750</v>
      </c>
      <c r="J23" s="32">
        <v>750</v>
      </c>
      <c r="K23" s="33">
        <f t="shared" si="1"/>
        <v>56.4</v>
      </c>
      <c r="L23" s="47">
        <f t="shared" si="1"/>
        <v>64.400000000000006</v>
      </c>
      <c r="M23" s="303">
        <v>883</v>
      </c>
      <c r="N23" s="303">
        <v>526</v>
      </c>
      <c r="O23" s="303">
        <v>526</v>
      </c>
      <c r="P23" s="303">
        <v>1331</v>
      </c>
      <c r="Q23" s="35"/>
      <c r="R23" s="48">
        <v>1062</v>
      </c>
      <c r="S23" s="36"/>
      <c r="T23" s="36">
        <v>84.9</v>
      </c>
      <c r="U23" s="37"/>
      <c r="V23" s="38">
        <v>10</v>
      </c>
      <c r="W23" s="39"/>
      <c r="X23" s="39">
        <f>T23*1000/39.37/R23*31.5</f>
        <v>63.962924536018576</v>
      </c>
      <c r="Y23" s="40"/>
      <c r="Z23" s="40">
        <v>64.91</v>
      </c>
      <c r="AA23" s="41"/>
      <c r="AB23" s="42"/>
      <c r="AC23" s="43"/>
      <c r="AD23" s="43">
        <v>65.849999999999994</v>
      </c>
    </row>
    <row r="24" spans="1:35" ht="24" customHeight="1" x14ac:dyDescent="0.5">
      <c r="A24" s="249" t="s">
        <v>72</v>
      </c>
      <c r="B24" s="246" t="s">
        <v>42</v>
      </c>
      <c r="C24" s="253" t="s">
        <v>41</v>
      </c>
      <c r="D24" s="258" t="s">
        <v>237</v>
      </c>
      <c r="E24" s="28"/>
      <c r="F24" s="29">
        <v>690133</v>
      </c>
      <c r="G24" s="45">
        <v>912</v>
      </c>
      <c r="H24" s="31">
        <v>805</v>
      </c>
      <c r="I24" s="46">
        <v>750</v>
      </c>
      <c r="J24" s="32">
        <v>750</v>
      </c>
      <c r="K24" s="33">
        <f t="shared" si="1"/>
        <v>72.959999999999994</v>
      </c>
      <c r="L24" s="47">
        <f t="shared" si="1"/>
        <v>64.400000000000006</v>
      </c>
      <c r="M24" s="303">
        <v>76</v>
      </c>
      <c r="N24" s="303">
        <v>988</v>
      </c>
      <c r="O24" s="303">
        <v>988</v>
      </c>
      <c r="P24" s="303">
        <v>1793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101</v>
      </c>
      <c r="E25" s="259">
        <v>69011316</v>
      </c>
      <c r="F25" s="29">
        <v>690126</v>
      </c>
      <c r="G25" s="45">
        <v>720</v>
      </c>
      <c r="H25" s="31">
        <v>631</v>
      </c>
      <c r="I25" s="46">
        <v>750</v>
      </c>
      <c r="J25" s="32">
        <v>750</v>
      </c>
      <c r="K25" s="33">
        <f t="shared" si="1"/>
        <v>57.6</v>
      </c>
      <c r="L25" s="47">
        <f t="shared" si="1"/>
        <v>50.48</v>
      </c>
      <c r="M25" s="306">
        <v>401</v>
      </c>
      <c r="N25" s="303">
        <v>1121</v>
      </c>
      <c r="O25" s="303">
        <v>1121</v>
      </c>
      <c r="P25" s="306">
        <v>1752</v>
      </c>
      <c r="Q25" s="35">
        <v>2000</v>
      </c>
      <c r="R25" s="48"/>
      <c r="S25" s="36">
        <v>200.1</v>
      </c>
      <c r="T25" s="36"/>
      <c r="U25" s="37">
        <v>20</v>
      </c>
      <c r="V25" s="38"/>
      <c r="W25" s="39">
        <f>S25*1000/39.37/Q25*44.5</f>
        <v>113.08674117348235</v>
      </c>
      <c r="X25" s="39"/>
      <c r="Y25" s="40">
        <v>114.61</v>
      </c>
      <c r="Z25" s="40"/>
      <c r="AA25" s="41"/>
      <c r="AB25" s="42"/>
      <c r="AC25" s="239">
        <v>116.12</v>
      </c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47</v>
      </c>
      <c r="E26" s="28">
        <v>69011334</v>
      </c>
      <c r="F26" s="29">
        <v>690119</v>
      </c>
      <c r="G26" s="55">
        <v>324</v>
      </c>
      <c r="H26" s="31">
        <v>756</v>
      </c>
      <c r="I26" s="46">
        <v>800</v>
      </c>
      <c r="J26" s="32">
        <v>800</v>
      </c>
      <c r="K26" s="33">
        <f t="shared" si="1"/>
        <v>25.92</v>
      </c>
      <c r="L26" s="47">
        <f t="shared" si="1"/>
        <v>60.48</v>
      </c>
      <c r="M26" s="303">
        <v>917</v>
      </c>
      <c r="N26" s="303">
        <v>300</v>
      </c>
      <c r="O26" s="303">
        <v>300</v>
      </c>
      <c r="P26" s="303">
        <v>1056</v>
      </c>
      <c r="Q26" s="35"/>
      <c r="R26" s="35">
        <v>1062</v>
      </c>
      <c r="S26" s="36"/>
      <c r="T26" s="36">
        <v>87.5</v>
      </c>
      <c r="U26" s="37"/>
      <c r="V26" s="38">
        <v>10</v>
      </c>
      <c r="W26" s="39"/>
      <c r="X26" s="39">
        <f>T26*1000/39.37/R26*38.5</f>
        <v>80.571018015859011</v>
      </c>
      <c r="Y26" s="40"/>
      <c r="Z26" s="40">
        <f t="shared" ref="Z26" si="5">(AD26+X26)/2</f>
        <v>81.265509007929495</v>
      </c>
      <c r="AA26" s="41"/>
      <c r="AB26" s="42"/>
      <c r="AC26" s="43"/>
      <c r="AD26" s="43">
        <v>81.96</v>
      </c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59</v>
      </c>
      <c r="E27" s="28"/>
      <c r="F27" s="29">
        <v>690112</v>
      </c>
      <c r="G27" s="55">
        <v>555</v>
      </c>
      <c r="H27" s="31">
        <v>803</v>
      </c>
      <c r="I27" s="46">
        <v>800</v>
      </c>
      <c r="J27" s="32">
        <v>800</v>
      </c>
      <c r="K27" s="33">
        <f t="shared" si="1"/>
        <v>44.4</v>
      </c>
      <c r="L27" s="47">
        <f t="shared" si="1"/>
        <v>64.239999999999995</v>
      </c>
      <c r="M27" s="303">
        <v>1002</v>
      </c>
      <c r="N27" s="303">
        <v>1557</v>
      </c>
      <c r="O27" s="303">
        <v>1557</v>
      </c>
      <c r="P27" s="303">
        <v>360</v>
      </c>
      <c r="Q27" s="35"/>
      <c r="R27" s="35"/>
      <c r="S27" s="57"/>
      <c r="T27" s="57"/>
      <c r="U27" s="58"/>
      <c r="V27" s="59"/>
      <c r="W27" s="39"/>
      <c r="X27" s="39"/>
      <c r="Y27" s="40"/>
      <c r="Z27" s="40"/>
      <c r="AA27" s="41"/>
      <c r="AB27" s="42"/>
      <c r="AC27" s="43"/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61</v>
      </c>
      <c r="E28" s="259"/>
      <c r="F28" s="29">
        <v>690112</v>
      </c>
      <c r="G28" s="45">
        <v>558</v>
      </c>
      <c r="H28" s="31">
        <v>1002</v>
      </c>
      <c r="I28" s="46">
        <v>800</v>
      </c>
      <c r="J28" s="32">
        <v>800</v>
      </c>
      <c r="K28" s="33">
        <f t="shared" si="1"/>
        <v>44.64</v>
      </c>
      <c r="L28" s="47">
        <f t="shared" si="1"/>
        <v>80.16</v>
      </c>
      <c r="M28" s="303">
        <v>1304</v>
      </c>
      <c r="N28" s="303">
        <v>1862</v>
      </c>
      <c r="O28" s="303">
        <v>1862</v>
      </c>
      <c r="P28" s="303">
        <v>864</v>
      </c>
      <c r="Q28" s="35"/>
      <c r="R28" s="48"/>
      <c r="S28" s="36"/>
      <c r="T28" s="36"/>
      <c r="U28" s="37"/>
      <c r="V28" s="38"/>
      <c r="W28" s="39"/>
      <c r="X28" s="39"/>
      <c r="Y28" s="40"/>
      <c r="Z28" s="40"/>
      <c r="AA28" s="41"/>
      <c r="AB28" s="42"/>
      <c r="AC28" s="43"/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47</v>
      </c>
      <c r="E29" s="28"/>
      <c r="F29" s="29">
        <v>690119</v>
      </c>
      <c r="G29" s="45">
        <v>583</v>
      </c>
      <c r="H29" s="31">
        <v>848</v>
      </c>
      <c r="I29" s="46">
        <v>800</v>
      </c>
      <c r="J29" s="32">
        <v>800</v>
      </c>
      <c r="K29" s="33">
        <f t="shared" si="1"/>
        <v>46.64</v>
      </c>
      <c r="L29" s="47">
        <f t="shared" si="1"/>
        <v>67.84</v>
      </c>
      <c r="M29" s="303">
        <v>1176</v>
      </c>
      <c r="N29" s="303">
        <v>1759</v>
      </c>
      <c r="O29" s="303">
        <v>1759</v>
      </c>
      <c r="P29" s="303">
        <v>607</v>
      </c>
      <c r="Q29" s="35"/>
      <c r="R29" s="48"/>
      <c r="S29" s="36"/>
      <c r="T29" s="36"/>
      <c r="U29" s="37"/>
      <c r="V29" s="38"/>
      <c r="W29" s="39"/>
      <c r="X29" s="39"/>
      <c r="Y29" s="40"/>
      <c r="Z29" s="40"/>
      <c r="AA29" s="41"/>
      <c r="AB29" s="42"/>
      <c r="AC29" s="43"/>
      <c r="AD29" s="43"/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47</v>
      </c>
      <c r="E30" s="28"/>
      <c r="F30" s="29">
        <v>690108</v>
      </c>
      <c r="G30" s="45">
        <v>506</v>
      </c>
      <c r="H30" s="31">
        <v>901</v>
      </c>
      <c r="I30" s="46">
        <v>800</v>
      </c>
      <c r="J30" s="32">
        <v>800</v>
      </c>
      <c r="K30" s="33">
        <f t="shared" si="1"/>
        <v>40.479999999999997</v>
      </c>
      <c r="L30" s="47">
        <f t="shared" si="1"/>
        <v>72.08</v>
      </c>
      <c r="M30" s="303">
        <v>742</v>
      </c>
      <c r="N30" s="303">
        <v>1248</v>
      </c>
      <c r="O30" s="303">
        <v>1248</v>
      </c>
      <c r="P30" s="303">
        <v>149</v>
      </c>
      <c r="Q30" s="35"/>
      <c r="R30" s="35"/>
      <c r="S30" s="36"/>
      <c r="T30" s="36"/>
      <c r="U30" s="37"/>
      <c r="V30" s="38"/>
      <c r="W30" s="39"/>
      <c r="X30" s="39"/>
      <c r="Y30" s="40"/>
      <c r="Z30" s="40"/>
      <c r="AA30" s="41"/>
      <c r="AB30" s="42"/>
      <c r="AC30" s="43"/>
      <c r="AD30" s="43"/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1"/>
        <v>0</v>
      </c>
      <c r="L31" s="47">
        <f t="shared" si="1"/>
        <v>0</v>
      </c>
      <c r="M31" s="303">
        <v>0</v>
      </c>
      <c r="N31" s="303">
        <v>0</v>
      </c>
      <c r="O31" s="303">
        <v>0</v>
      </c>
      <c r="P31" s="303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1"/>
        <v>0</v>
      </c>
      <c r="L32" s="47">
        <f t="shared" si="1"/>
        <v>0</v>
      </c>
      <c r="M32" s="303">
        <v>0</v>
      </c>
      <c r="N32" s="303">
        <v>0</v>
      </c>
      <c r="O32" s="303">
        <v>0</v>
      </c>
      <c r="P32" s="303">
        <v>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1"/>
        <v>0</v>
      </c>
      <c r="L33" s="47">
        <f t="shared" si="1"/>
        <v>0</v>
      </c>
      <c r="M33" s="303">
        <v>0</v>
      </c>
      <c r="N33" s="303">
        <v>0</v>
      </c>
      <c r="O33" s="303">
        <v>0</v>
      </c>
      <c r="P33" s="303">
        <v>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>
        <v>69011323</v>
      </c>
      <c r="F34" s="29">
        <v>690119</v>
      </c>
      <c r="G34" s="60">
        <v>0</v>
      </c>
      <c r="H34" s="31">
        <v>455</v>
      </c>
      <c r="I34" s="46">
        <v>110</v>
      </c>
      <c r="J34" s="32">
        <v>110</v>
      </c>
      <c r="K34" s="33">
        <f t="shared" si="1"/>
        <v>0</v>
      </c>
      <c r="L34" s="47">
        <f t="shared" si="1"/>
        <v>36.4</v>
      </c>
      <c r="M34" s="303">
        <v>370</v>
      </c>
      <c r="N34" s="303">
        <v>370</v>
      </c>
      <c r="O34" s="303">
        <v>370</v>
      </c>
      <c r="P34" s="303">
        <v>455</v>
      </c>
      <c r="Q34" s="35">
        <v>2550</v>
      </c>
      <c r="R34" s="48"/>
      <c r="S34" s="36">
        <v>217.5</v>
      </c>
      <c r="T34" s="36"/>
      <c r="U34" s="37">
        <v>25</v>
      </c>
      <c r="V34" s="38"/>
      <c r="W34" s="39">
        <f>S34*1000/39.37/Q34*38.5</f>
        <v>83.409284465627763</v>
      </c>
      <c r="X34" s="39"/>
      <c r="Y34" s="40">
        <v>84.38</v>
      </c>
      <c r="Z34" s="40"/>
      <c r="AA34" s="41"/>
      <c r="AB34" s="42"/>
      <c r="AC34" s="43">
        <v>85.35</v>
      </c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0</v>
      </c>
      <c r="H35" s="31">
        <v>961</v>
      </c>
      <c r="I35" s="46">
        <v>110</v>
      </c>
      <c r="J35" s="32">
        <v>110</v>
      </c>
      <c r="K35" s="33">
        <f t="shared" si="1"/>
        <v>0</v>
      </c>
      <c r="L35" s="47">
        <f t="shared" si="1"/>
        <v>76.88</v>
      </c>
      <c r="M35" s="303">
        <v>14</v>
      </c>
      <c r="N35" s="303">
        <v>14</v>
      </c>
      <c r="O35" s="303">
        <v>14</v>
      </c>
      <c r="P35" s="303">
        <v>975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71</v>
      </c>
      <c r="E36" s="28">
        <v>69011301</v>
      </c>
      <c r="F36" s="29">
        <v>690106</v>
      </c>
      <c r="G36" s="45">
        <v>0</v>
      </c>
      <c r="H36" s="31">
        <v>0</v>
      </c>
      <c r="I36" s="46">
        <v>115</v>
      </c>
      <c r="J36" s="32">
        <v>115</v>
      </c>
      <c r="K36" s="33">
        <f t="shared" si="1"/>
        <v>0</v>
      </c>
      <c r="L36" s="47">
        <f t="shared" si="1"/>
        <v>0</v>
      </c>
      <c r="M36" s="303">
        <v>551</v>
      </c>
      <c r="N36" s="303">
        <v>551</v>
      </c>
      <c r="O36" s="303">
        <v>551</v>
      </c>
      <c r="P36" s="303">
        <v>551</v>
      </c>
      <c r="Q36" s="35">
        <v>2707</v>
      </c>
      <c r="R36" s="48"/>
      <c r="S36" s="36">
        <v>191.5</v>
      </c>
      <c r="T36" s="36"/>
      <c r="U36" s="37">
        <v>25</v>
      </c>
      <c r="V36" s="38"/>
      <c r="W36" s="39">
        <f>S36*1000/39.37/Q36*31.5</f>
        <v>56.601202969675988</v>
      </c>
      <c r="X36" s="39"/>
      <c r="Y36" s="40">
        <v>57.85</v>
      </c>
      <c r="Z36" s="40"/>
      <c r="AA36" s="41"/>
      <c r="AB36" s="42"/>
      <c r="AC36" s="43">
        <v>59.09</v>
      </c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71</v>
      </c>
      <c r="E37" s="28">
        <v>69011302</v>
      </c>
      <c r="F37" s="29">
        <v>690106</v>
      </c>
      <c r="G37" s="45">
        <v>0</v>
      </c>
      <c r="H37" s="31">
        <v>0</v>
      </c>
      <c r="I37" s="46">
        <v>115</v>
      </c>
      <c r="J37" s="32">
        <v>115</v>
      </c>
      <c r="K37" s="33">
        <f t="shared" si="1"/>
        <v>0</v>
      </c>
      <c r="L37" s="47">
        <f t="shared" si="1"/>
        <v>0</v>
      </c>
      <c r="M37" s="303">
        <v>21</v>
      </c>
      <c r="N37" s="303">
        <v>21</v>
      </c>
      <c r="O37" s="303">
        <v>21</v>
      </c>
      <c r="P37" s="303">
        <v>21</v>
      </c>
      <c r="Q37" s="35">
        <v>2575</v>
      </c>
      <c r="R37" s="67"/>
      <c r="S37" s="36">
        <v>180.3</v>
      </c>
      <c r="T37" s="36"/>
      <c r="U37" s="37">
        <v>25</v>
      </c>
      <c r="V37" s="37"/>
      <c r="W37" s="39">
        <f>S37*1000/39.37/Q37*31.5</f>
        <v>56.022647967626028</v>
      </c>
      <c r="X37" s="39"/>
      <c r="Y37" s="40">
        <v>56.36</v>
      </c>
      <c r="Z37" s="40"/>
      <c r="AA37" s="41"/>
      <c r="AB37" s="42"/>
      <c r="AC37" s="43">
        <v>56.69</v>
      </c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71</v>
      </c>
      <c r="E38" s="28">
        <v>69011303</v>
      </c>
      <c r="F38" s="29">
        <v>690106</v>
      </c>
      <c r="G38" s="45">
        <v>0</v>
      </c>
      <c r="H38" s="31">
        <v>0</v>
      </c>
      <c r="I38" s="46">
        <v>115</v>
      </c>
      <c r="J38" s="32">
        <v>115</v>
      </c>
      <c r="K38" s="33">
        <f t="shared" si="1"/>
        <v>0</v>
      </c>
      <c r="L38" s="47">
        <f t="shared" si="1"/>
        <v>0</v>
      </c>
      <c r="M38" s="303">
        <v>31</v>
      </c>
      <c r="N38" s="303">
        <v>31</v>
      </c>
      <c r="O38" s="303">
        <v>31</v>
      </c>
      <c r="P38" s="303">
        <v>31</v>
      </c>
      <c r="Q38" s="35">
        <v>2755</v>
      </c>
      <c r="R38" s="35"/>
      <c r="S38" s="316">
        <v>195.1</v>
      </c>
      <c r="T38" s="36"/>
      <c r="U38" s="37">
        <v>25</v>
      </c>
      <c r="V38" s="37"/>
      <c r="W38" s="39">
        <f>S38*1000/39.37/Q38*31.5</f>
        <v>56.660552522556955</v>
      </c>
      <c r="X38" s="39"/>
      <c r="Y38" s="40">
        <v>57.87</v>
      </c>
      <c r="Z38" s="40"/>
      <c r="AA38" s="41"/>
      <c r="AB38" s="42"/>
      <c r="AC38" s="43">
        <v>59.07</v>
      </c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>
        <v>69011312</v>
      </c>
      <c r="F39" s="29">
        <v>690107</v>
      </c>
      <c r="G39" s="45">
        <v>0</v>
      </c>
      <c r="H39" s="31">
        <v>768</v>
      </c>
      <c r="I39" s="63">
        <v>115</v>
      </c>
      <c r="J39" s="64">
        <v>115</v>
      </c>
      <c r="K39" s="65">
        <f t="shared" ref="K39:L55" si="6">G39*8/100</f>
        <v>0</v>
      </c>
      <c r="L39" s="68">
        <f t="shared" si="6"/>
        <v>61.44</v>
      </c>
      <c r="M39" s="303">
        <v>1400</v>
      </c>
      <c r="N39" s="303">
        <v>1400</v>
      </c>
      <c r="O39" s="303">
        <v>1400</v>
      </c>
      <c r="P39" s="303">
        <v>768</v>
      </c>
      <c r="Q39" s="35">
        <v>1400</v>
      </c>
      <c r="R39" s="67"/>
      <c r="S39" s="36">
        <v>96.7</v>
      </c>
      <c r="T39" s="36"/>
      <c r="U39" s="37">
        <v>10</v>
      </c>
      <c r="V39" s="37"/>
      <c r="W39" s="39">
        <f>S39*1000/39.37/Q39*38.5</f>
        <v>67.54508509017019</v>
      </c>
      <c r="X39" s="39"/>
      <c r="Y39" s="40">
        <v>67.31</v>
      </c>
      <c r="Z39" s="40"/>
      <c r="AA39" s="41"/>
      <c r="AB39" s="42"/>
      <c r="AC39" s="43">
        <v>67.069999999999993</v>
      </c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43</v>
      </c>
      <c r="E40" s="28"/>
      <c r="F40" s="29">
        <v>690106</v>
      </c>
      <c r="G40" s="45">
        <v>0</v>
      </c>
      <c r="H40" s="31">
        <v>808</v>
      </c>
      <c r="I40" s="63">
        <v>115</v>
      </c>
      <c r="J40" s="64">
        <v>115</v>
      </c>
      <c r="K40" s="65">
        <f t="shared" si="6"/>
        <v>0</v>
      </c>
      <c r="L40" s="68">
        <f t="shared" si="6"/>
        <v>64.64</v>
      </c>
      <c r="M40" s="303">
        <v>912</v>
      </c>
      <c r="N40" s="303">
        <v>912</v>
      </c>
      <c r="O40" s="303">
        <v>912</v>
      </c>
      <c r="P40" s="303">
        <v>1720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/>
      <c r="F41" s="29">
        <v>690119</v>
      </c>
      <c r="G41" s="45">
        <v>0</v>
      </c>
      <c r="H41" s="31">
        <v>258</v>
      </c>
      <c r="I41" s="46">
        <v>120</v>
      </c>
      <c r="J41" s="32">
        <v>120</v>
      </c>
      <c r="K41" s="33">
        <f t="shared" si="6"/>
        <v>0</v>
      </c>
      <c r="L41" s="47">
        <f t="shared" si="6"/>
        <v>20.64</v>
      </c>
      <c r="M41" s="303">
        <v>1729</v>
      </c>
      <c r="N41" s="303">
        <v>1729</v>
      </c>
      <c r="O41" s="303">
        <v>1729</v>
      </c>
      <c r="P41" s="303">
        <v>258</v>
      </c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47</v>
      </c>
      <c r="E42" s="28"/>
      <c r="F42" s="29">
        <v>690119</v>
      </c>
      <c r="G42" s="45">
        <v>0</v>
      </c>
      <c r="H42" s="31">
        <v>0</v>
      </c>
      <c r="I42" s="46">
        <v>120</v>
      </c>
      <c r="J42" s="32">
        <v>120</v>
      </c>
      <c r="K42" s="33">
        <f t="shared" si="6"/>
        <v>0</v>
      </c>
      <c r="L42" s="47">
        <f t="shared" si="6"/>
        <v>0</v>
      </c>
      <c r="M42" s="303">
        <v>1259</v>
      </c>
      <c r="N42" s="303">
        <v>1259</v>
      </c>
      <c r="O42" s="303">
        <v>1259</v>
      </c>
      <c r="P42" s="303">
        <v>0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47</v>
      </c>
      <c r="E43" s="28"/>
      <c r="F43" s="29">
        <v>690119</v>
      </c>
      <c r="G43" s="45">
        <v>0</v>
      </c>
      <c r="H43" s="31">
        <v>765</v>
      </c>
      <c r="I43" s="46">
        <v>120</v>
      </c>
      <c r="J43" s="32">
        <v>120</v>
      </c>
      <c r="K43" s="33">
        <f t="shared" si="6"/>
        <v>0</v>
      </c>
      <c r="L43" s="47">
        <f t="shared" si="6"/>
        <v>61.2</v>
      </c>
      <c r="M43" s="303">
        <v>671</v>
      </c>
      <c r="N43" s="303">
        <v>671</v>
      </c>
      <c r="O43" s="303">
        <v>671</v>
      </c>
      <c r="P43" s="303">
        <v>1436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/>
      <c r="F44" s="29">
        <v>690128</v>
      </c>
      <c r="G44" s="69">
        <v>0</v>
      </c>
      <c r="H44" s="31">
        <v>642</v>
      </c>
      <c r="I44" s="46">
        <v>120</v>
      </c>
      <c r="J44" s="32">
        <v>120</v>
      </c>
      <c r="K44" s="33">
        <f t="shared" si="6"/>
        <v>0</v>
      </c>
      <c r="L44" s="47">
        <f t="shared" si="6"/>
        <v>51.36</v>
      </c>
      <c r="M44" s="303">
        <v>456</v>
      </c>
      <c r="N44" s="303">
        <v>456</v>
      </c>
      <c r="O44" s="303">
        <v>456</v>
      </c>
      <c r="P44" s="303">
        <v>1098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47</v>
      </c>
      <c r="E45" s="28"/>
      <c r="F45" s="29">
        <v>690119</v>
      </c>
      <c r="G45" s="45">
        <v>0</v>
      </c>
      <c r="H45" s="31">
        <v>0</v>
      </c>
      <c r="I45" s="63">
        <v>120</v>
      </c>
      <c r="J45" s="64">
        <v>120</v>
      </c>
      <c r="K45" s="65">
        <f t="shared" si="6"/>
        <v>0</v>
      </c>
      <c r="L45" s="68">
        <f t="shared" si="6"/>
        <v>0</v>
      </c>
      <c r="M45" s="308">
        <v>716</v>
      </c>
      <c r="N45" s="308">
        <v>716</v>
      </c>
      <c r="O45" s="308">
        <v>716</v>
      </c>
      <c r="P45" s="308">
        <v>716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/>
      <c r="F46" s="29">
        <v>690128</v>
      </c>
      <c r="G46" s="45">
        <v>0</v>
      </c>
      <c r="H46" s="31">
        <v>0</v>
      </c>
      <c r="I46" s="46">
        <v>650</v>
      </c>
      <c r="J46" s="32">
        <v>650</v>
      </c>
      <c r="K46" s="33">
        <f t="shared" si="6"/>
        <v>0</v>
      </c>
      <c r="L46" s="47">
        <f t="shared" si="6"/>
        <v>0</v>
      </c>
      <c r="M46" s="305">
        <v>1265</v>
      </c>
      <c r="N46" s="305">
        <v>1265</v>
      </c>
      <c r="O46" s="305">
        <v>1265</v>
      </c>
      <c r="P46" s="305">
        <v>1265</v>
      </c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239"/>
      <c r="AD46" s="43"/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59"/>
      <c r="F47" s="29">
        <v>690128</v>
      </c>
      <c r="G47" s="45">
        <v>0</v>
      </c>
      <c r="H47" s="31">
        <v>0</v>
      </c>
      <c r="I47" s="63">
        <v>650</v>
      </c>
      <c r="J47" s="64">
        <v>650</v>
      </c>
      <c r="K47" s="65">
        <f t="shared" si="6"/>
        <v>0</v>
      </c>
      <c r="L47" s="68">
        <f t="shared" si="6"/>
        <v>0</v>
      </c>
      <c r="M47" s="303">
        <v>1062</v>
      </c>
      <c r="N47" s="303">
        <v>1062</v>
      </c>
      <c r="O47" s="303">
        <v>1062</v>
      </c>
      <c r="P47" s="303">
        <v>1062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/>
      <c r="F48" s="29">
        <v>690128</v>
      </c>
      <c r="G48" s="69">
        <v>0</v>
      </c>
      <c r="H48" s="31">
        <v>0</v>
      </c>
      <c r="I48" s="63">
        <v>650</v>
      </c>
      <c r="J48" s="64">
        <v>650</v>
      </c>
      <c r="K48" s="65">
        <f t="shared" si="6"/>
        <v>0</v>
      </c>
      <c r="L48" s="68">
        <f t="shared" si="6"/>
        <v>0</v>
      </c>
      <c r="M48" s="303">
        <v>845</v>
      </c>
      <c r="N48" s="303">
        <v>845</v>
      </c>
      <c r="O48" s="303">
        <v>845</v>
      </c>
      <c r="P48" s="303">
        <v>845</v>
      </c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239"/>
      <c r="AD48" s="43"/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47</v>
      </c>
      <c r="E49" s="28"/>
      <c r="F49" s="29">
        <v>690119</v>
      </c>
      <c r="G49" s="73">
        <v>0</v>
      </c>
      <c r="H49" s="31">
        <v>0</v>
      </c>
      <c r="I49" s="46">
        <v>650</v>
      </c>
      <c r="J49" s="32">
        <v>650</v>
      </c>
      <c r="K49" s="33">
        <f t="shared" si="6"/>
        <v>0</v>
      </c>
      <c r="L49" s="47">
        <f t="shared" si="6"/>
        <v>0</v>
      </c>
      <c r="M49" s="303">
        <v>1180</v>
      </c>
      <c r="N49" s="303">
        <v>1180</v>
      </c>
      <c r="O49" s="303">
        <v>1180</v>
      </c>
      <c r="P49" s="303">
        <v>1180</v>
      </c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47</v>
      </c>
      <c r="E50" s="28"/>
      <c r="F50" s="29">
        <v>690119</v>
      </c>
      <c r="G50" s="74">
        <v>0</v>
      </c>
      <c r="H50" s="31">
        <v>0</v>
      </c>
      <c r="I50" s="46">
        <v>650</v>
      </c>
      <c r="J50" s="32">
        <v>650</v>
      </c>
      <c r="K50" s="33">
        <f t="shared" si="6"/>
        <v>0</v>
      </c>
      <c r="L50" s="47">
        <f t="shared" si="6"/>
        <v>0</v>
      </c>
      <c r="M50" s="309">
        <v>1593</v>
      </c>
      <c r="N50" s="309">
        <v>1593</v>
      </c>
      <c r="O50" s="309">
        <v>1593</v>
      </c>
      <c r="P50" s="309">
        <v>1593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285</v>
      </c>
      <c r="E51" s="28"/>
      <c r="F51" s="29">
        <v>690143</v>
      </c>
      <c r="G51" s="45">
        <v>668</v>
      </c>
      <c r="H51" s="31">
        <v>785</v>
      </c>
      <c r="I51" s="46">
        <v>650</v>
      </c>
      <c r="J51" s="32">
        <v>650</v>
      </c>
      <c r="K51" s="33">
        <f t="shared" si="6"/>
        <v>53.44</v>
      </c>
      <c r="L51" s="47">
        <f t="shared" si="6"/>
        <v>62.8</v>
      </c>
      <c r="M51" s="310">
        <v>312</v>
      </c>
      <c r="N51" s="303">
        <v>980</v>
      </c>
      <c r="O51" s="303">
        <v>980</v>
      </c>
      <c r="P51" s="310">
        <v>1765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" customHeight="1" x14ac:dyDescent="0.4">
      <c r="A52" s="251" t="s">
        <v>110</v>
      </c>
      <c r="B52" s="246" t="s">
        <v>46</v>
      </c>
      <c r="C52" s="253" t="s">
        <v>45</v>
      </c>
      <c r="D52" s="256" t="s">
        <v>47</v>
      </c>
      <c r="E52" s="28">
        <v>69011311</v>
      </c>
      <c r="F52" s="29">
        <v>690119</v>
      </c>
      <c r="G52" s="45">
        <v>0</v>
      </c>
      <c r="H52" s="31">
        <v>785</v>
      </c>
      <c r="I52" s="46">
        <v>125</v>
      </c>
      <c r="J52" s="32">
        <v>125</v>
      </c>
      <c r="K52" s="33">
        <f t="shared" si="6"/>
        <v>0</v>
      </c>
      <c r="L52" s="47">
        <f t="shared" si="6"/>
        <v>62.8</v>
      </c>
      <c r="M52" s="307">
        <v>485</v>
      </c>
      <c r="N52" s="303">
        <v>485</v>
      </c>
      <c r="O52" s="303">
        <v>485</v>
      </c>
      <c r="P52" s="307">
        <v>1270</v>
      </c>
      <c r="Q52" s="35">
        <v>2500</v>
      </c>
      <c r="R52" s="48"/>
      <c r="S52" s="36">
        <v>212.9</v>
      </c>
      <c r="T52" s="36"/>
      <c r="U52" s="37">
        <v>25</v>
      </c>
      <c r="V52" s="38"/>
      <c r="W52" s="39">
        <f>S52*1000/39.37/Q52*38.5</f>
        <v>83.278130556261118</v>
      </c>
      <c r="X52" s="39"/>
      <c r="Y52" s="40">
        <v>83.96</v>
      </c>
      <c r="Z52" s="40"/>
      <c r="AA52" s="41"/>
      <c r="AB52" s="42"/>
      <c r="AC52" s="43">
        <v>84.63</v>
      </c>
      <c r="AD52" s="43"/>
    </row>
    <row r="53" spans="1:35" ht="24" customHeight="1" x14ac:dyDescent="0.4">
      <c r="A53" s="251" t="s">
        <v>111</v>
      </c>
      <c r="B53" s="246" t="s">
        <v>46</v>
      </c>
      <c r="C53" s="253" t="s">
        <v>45</v>
      </c>
      <c r="D53" s="256" t="s">
        <v>285</v>
      </c>
      <c r="E53" s="28"/>
      <c r="F53" s="29">
        <v>690143</v>
      </c>
      <c r="G53" s="69">
        <v>500</v>
      </c>
      <c r="H53" s="31">
        <v>1095</v>
      </c>
      <c r="I53" s="46">
        <v>125</v>
      </c>
      <c r="J53" s="32">
        <v>125</v>
      </c>
      <c r="K53" s="33">
        <f t="shared" si="6"/>
        <v>40</v>
      </c>
      <c r="L53" s="47">
        <f t="shared" si="6"/>
        <v>87.6</v>
      </c>
      <c r="M53" s="303">
        <v>2365</v>
      </c>
      <c r="N53" s="303">
        <v>365</v>
      </c>
      <c r="O53" s="303">
        <v>365</v>
      </c>
      <c r="P53" s="303">
        <v>1460</v>
      </c>
      <c r="Q53" s="35"/>
      <c r="R53" s="48"/>
      <c r="S53" s="36"/>
      <c r="T53" s="36"/>
      <c r="U53" s="37"/>
      <c r="V53" s="38"/>
      <c r="W53" s="39"/>
      <c r="X53" s="39"/>
      <c r="Y53" s="40"/>
      <c r="Z53" s="40"/>
      <c r="AA53" s="41"/>
      <c r="AB53" s="42"/>
      <c r="AC53" s="43"/>
      <c r="AD53" s="43"/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47</v>
      </c>
      <c r="E54" s="28"/>
      <c r="F54" s="29">
        <v>690106</v>
      </c>
      <c r="G54" s="69">
        <v>0</v>
      </c>
      <c r="H54" s="31">
        <v>885</v>
      </c>
      <c r="I54" s="63">
        <v>125</v>
      </c>
      <c r="J54" s="64">
        <v>125</v>
      </c>
      <c r="K54" s="65">
        <f t="shared" si="6"/>
        <v>0</v>
      </c>
      <c r="L54" s="68">
        <f t="shared" si="6"/>
        <v>70.8</v>
      </c>
      <c r="M54" s="303">
        <v>1800</v>
      </c>
      <c r="N54" s="303">
        <v>1800</v>
      </c>
      <c r="O54" s="303">
        <v>1800</v>
      </c>
      <c r="P54" s="303">
        <v>185</v>
      </c>
      <c r="Q54" s="35"/>
      <c r="R54" s="48"/>
      <c r="S54" s="36"/>
      <c r="T54" s="36"/>
      <c r="U54" s="37"/>
      <c r="V54" s="38"/>
      <c r="W54" s="39"/>
      <c r="X54" s="39"/>
      <c r="Y54" s="40"/>
      <c r="Z54" s="40"/>
      <c r="AA54" s="41"/>
      <c r="AB54" s="42"/>
      <c r="AC54" s="43"/>
      <c r="AD54" s="43"/>
    </row>
    <row r="55" spans="1:35" ht="24" customHeight="1" x14ac:dyDescent="0.4">
      <c r="A55" s="251" t="s">
        <v>113</v>
      </c>
      <c r="B55" s="246" t="s">
        <v>46</v>
      </c>
      <c r="C55" s="253" t="s">
        <v>45</v>
      </c>
      <c r="D55" s="256" t="s">
        <v>47</v>
      </c>
      <c r="E55" s="28"/>
      <c r="F55" s="29">
        <v>690106</v>
      </c>
      <c r="G55" s="45">
        <v>0</v>
      </c>
      <c r="H55" s="31">
        <v>865</v>
      </c>
      <c r="I55" s="46">
        <v>125</v>
      </c>
      <c r="J55" s="32">
        <v>125</v>
      </c>
      <c r="K55" s="33">
        <f t="shared" si="6"/>
        <v>0</v>
      </c>
      <c r="L55" s="47">
        <f t="shared" si="6"/>
        <v>69.2</v>
      </c>
      <c r="M55" s="303">
        <v>300</v>
      </c>
      <c r="N55" s="303">
        <v>300</v>
      </c>
      <c r="O55" s="303">
        <v>300</v>
      </c>
      <c r="P55" s="303">
        <v>1165</v>
      </c>
      <c r="Q55" s="35"/>
      <c r="R55" s="48"/>
      <c r="S55" s="36"/>
      <c r="T55" s="36"/>
      <c r="U55" s="37"/>
      <c r="V55" s="38"/>
      <c r="W55" s="39"/>
      <c r="X55" s="39"/>
      <c r="Y55" s="40"/>
      <c r="Z55" s="40"/>
      <c r="AA55" s="41"/>
      <c r="AB55" s="42"/>
      <c r="AC55" s="43"/>
      <c r="AD55" s="43"/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/>
      <c r="F56" s="29">
        <v>690106</v>
      </c>
      <c r="G56" s="45">
        <v>0</v>
      </c>
      <c r="H56" s="31">
        <v>749</v>
      </c>
      <c r="I56" s="63">
        <v>115</v>
      </c>
      <c r="J56" s="64">
        <v>115</v>
      </c>
      <c r="K56" s="65">
        <v>0</v>
      </c>
      <c r="L56" s="68">
        <v>0</v>
      </c>
      <c r="M56" s="303">
        <v>304</v>
      </c>
      <c r="N56" s="303">
        <v>304</v>
      </c>
      <c r="O56" s="303">
        <v>304</v>
      </c>
      <c r="P56" s="303">
        <v>1053</v>
      </c>
      <c r="Q56" s="35"/>
      <c r="R56" s="48"/>
      <c r="S56" s="36"/>
      <c r="T56" s="36"/>
      <c r="U56" s="37"/>
      <c r="V56" s="38"/>
      <c r="W56" s="39"/>
      <c r="X56" s="39"/>
      <c r="Y56" s="40"/>
      <c r="Z56" s="40"/>
      <c r="AA56" s="41"/>
      <c r="AB56" s="41"/>
      <c r="AC56" s="43"/>
      <c r="AD56" s="43"/>
    </row>
    <row r="57" spans="1:35" ht="24" customHeight="1" thickBot="1" x14ac:dyDescent="0.55000000000000004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592</v>
      </c>
      <c r="H57" s="31">
        <v>902</v>
      </c>
      <c r="I57" s="46">
        <v>115</v>
      </c>
      <c r="J57" s="32">
        <v>115</v>
      </c>
      <c r="K57" s="33">
        <f t="shared" ref="K57:L82" si="7">G57*8/100</f>
        <v>47.36</v>
      </c>
      <c r="L57" s="47">
        <f t="shared" si="7"/>
        <v>72.16</v>
      </c>
      <c r="M57" s="308">
        <v>93</v>
      </c>
      <c r="N57" s="303">
        <v>685</v>
      </c>
      <c r="O57" s="303">
        <v>685</v>
      </c>
      <c r="P57" s="308">
        <v>87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297</v>
      </c>
      <c r="E58" s="28">
        <v>69011314</v>
      </c>
      <c r="F58" s="29">
        <v>690107</v>
      </c>
      <c r="G58" s="45">
        <v>955</v>
      </c>
      <c r="H58" s="31">
        <v>943</v>
      </c>
      <c r="I58" s="46">
        <v>135</v>
      </c>
      <c r="J58" s="32">
        <v>135</v>
      </c>
      <c r="K58" s="33">
        <f t="shared" si="7"/>
        <v>76.400000000000006</v>
      </c>
      <c r="L58" s="47">
        <f t="shared" si="7"/>
        <v>75.44</v>
      </c>
      <c r="M58" s="305">
        <v>1882</v>
      </c>
      <c r="N58" s="303">
        <v>917</v>
      </c>
      <c r="O58" s="303">
        <v>917</v>
      </c>
      <c r="P58" s="305">
        <v>1860</v>
      </c>
      <c r="Q58" s="35">
        <v>1920</v>
      </c>
      <c r="R58" s="48"/>
      <c r="S58" s="36">
        <v>124.1</v>
      </c>
      <c r="T58" s="36"/>
      <c r="U58" s="37">
        <v>20</v>
      </c>
      <c r="V58" s="38"/>
      <c r="W58" s="39">
        <f>S58*1000/39.37/Q58*38.5</f>
        <v>63.207100372534086</v>
      </c>
      <c r="X58" s="39"/>
      <c r="Y58" s="40">
        <v>63.93</v>
      </c>
      <c r="Z58" s="40"/>
      <c r="AA58" s="41"/>
      <c r="AB58" s="41"/>
      <c r="AC58" s="43">
        <v>64.650000000000006</v>
      </c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71</v>
      </c>
      <c r="E59" s="28">
        <v>69011306</v>
      </c>
      <c r="F59" s="29">
        <v>690106</v>
      </c>
      <c r="G59" s="45">
        <v>1180</v>
      </c>
      <c r="H59" s="31">
        <v>891</v>
      </c>
      <c r="I59" s="46">
        <v>135</v>
      </c>
      <c r="J59" s="32">
        <v>135</v>
      </c>
      <c r="K59" s="33">
        <f t="shared" si="7"/>
        <v>94.4</v>
      </c>
      <c r="L59" s="47">
        <f t="shared" si="7"/>
        <v>71.28</v>
      </c>
      <c r="M59" s="303">
        <v>1003</v>
      </c>
      <c r="N59" s="303">
        <v>2183</v>
      </c>
      <c r="O59" s="303">
        <v>2183</v>
      </c>
      <c r="P59" s="303">
        <v>690</v>
      </c>
      <c r="Q59" s="35">
        <v>2650</v>
      </c>
      <c r="R59" s="48"/>
      <c r="S59" s="36">
        <v>183</v>
      </c>
      <c r="T59" s="36"/>
      <c r="U59" s="37">
        <v>25</v>
      </c>
      <c r="V59" s="38"/>
      <c r="W59" s="39">
        <f>S59*1000/39.37/Q59*31.5</f>
        <v>55.252299183843654</v>
      </c>
      <c r="X59" s="39"/>
      <c r="Y59" s="40">
        <v>57.54</v>
      </c>
      <c r="Z59" s="40"/>
      <c r="AA59" s="41"/>
      <c r="AB59" s="42"/>
      <c r="AC59" s="43">
        <v>59.83</v>
      </c>
      <c r="AD59" s="43"/>
      <c r="AI59" s="75"/>
    </row>
    <row r="60" spans="1:35" ht="26.25" customHeight="1" x14ac:dyDescent="0.4">
      <c r="A60" s="251" t="s">
        <v>123</v>
      </c>
      <c r="B60" s="246" t="s">
        <v>121</v>
      </c>
      <c r="C60" s="253" t="s">
        <v>120</v>
      </c>
      <c r="D60" s="256" t="s">
        <v>71</v>
      </c>
      <c r="E60" s="259">
        <v>69011305</v>
      </c>
      <c r="F60" s="29">
        <v>690106</v>
      </c>
      <c r="G60" s="45">
        <v>1140</v>
      </c>
      <c r="H60" s="31">
        <v>922</v>
      </c>
      <c r="I60" s="46">
        <v>135</v>
      </c>
      <c r="J60" s="64">
        <v>135</v>
      </c>
      <c r="K60" s="65">
        <f t="shared" si="7"/>
        <v>91.2</v>
      </c>
      <c r="L60" s="68">
        <f t="shared" si="7"/>
        <v>73.760000000000005</v>
      </c>
      <c r="M60" s="303">
        <v>1057</v>
      </c>
      <c r="N60" s="303">
        <v>2197</v>
      </c>
      <c r="O60" s="303">
        <v>2197</v>
      </c>
      <c r="P60" s="303">
        <v>757</v>
      </c>
      <c r="Q60" s="35">
        <v>2570</v>
      </c>
      <c r="R60" s="48"/>
      <c r="S60" s="36">
        <v>179</v>
      </c>
      <c r="T60" s="36"/>
      <c r="U60" s="37">
        <v>25</v>
      </c>
      <c r="V60" s="38"/>
      <c r="W60" s="39">
        <f>S60*1000/39.37/Q60*31.5</f>
        <v>55.726920792362989</v>
      </c>
      <c r="X60" s="39"/>
      <c r="Y60" s="40">
        <v>56.53</v>
      </c>
      <c r="Z60" s="40"/>
      <c r="AA60" s="41"/>
      <c r="AB60" s="42"/>
      <c r="AC60" s="43">
        <v>57.33</v>
      </c>
      <c r="AD60" s="43"/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47</v>
      </c>
      <c r="E61" s="28">
        <v>69011322</v>
      </c>
      <c r="F61" s="29">
        <v>690106</v>
      </c>
      <c r="G61" s="45">
        <v>1140</v>
      </c>
      <c r="H61" s="31">
        <v>908</v>
      </c>
      <c r="I61" s="46">
        <v>135</v>
      </c>
      <c r="J61" s="64">
        <v>135</v>
      </c>
      <c r="K61" s="65">
        <f t="shared" si="7"/>
        <v>91.2</v>
      </c>
      <c r="L61" s="68">
        <f t="shared" si="7"/>
        <v>72.64</v>
      </c>
      <c r="M61" s="303">
        <v>1182</v>
      </c>
      <c r="N61" s="303">
        <v>1039</v>
      </c>
      <c r="O61" s="303">
        <v>1039</v>
      </c>
      <c r="P61" s="303">
        <v>1947</v>
      </c>
      <c r="Q61" s="35">
        <v>2342</v>
      </c>
      <c r="R61" s="48"/>
      <c r="S61" s="36">
        <v>198.5</v>
      </c>
      <c r="T61" s="36"/>
      <c r="U61" s="37">
        <v>25</v>
      </c>
      <c r="V61" s="38"/>
      <c r="W61" s="39">
        <f>S61*1000/39.37/Q61*38.5</f>
        <v>82.883662778427166</v>
      </c>
      <c r="X61" s="39"/>
      <c r="Y61" s="40">
        <v>84.07</v>
      </c>
      <c r="Z61" s="40"/>
      <c r="AA61" s="41"/>
      <c r="AB61" s="42"/>
      <c r="AC61" s="43">
        <v>85.25</v>
      </c>
      <c r="AD61" s="43"/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94</v>
      </c>
      <c r="E62" s="28">
        <v>69011313</v>
      </c>
      <c r="F62" s="29">
        <v>690108</v>
      </c>
      <c r="G62" s="45">
        <v>1111</v>
      </c>
      <c r="H62" s="31">
        <v>869</v>
      </c>
      <c r="I62" s="46">
        <v>135</v>
      </c>
      <c r="J62" s="32">
        <v>135</v>
      </c>
      <c r="K62" s="33">
        <f t="shared" si="7"/>
        <v>88.88</v>
      </c>
      <c r="L62" s="47">
        <f t="shared" si="7"/>
        <v>69.52</v>
      </c>
      <c r="M62" s="306">
        <v>2276</v>
      </c>
      <c r="N62" s="303">
        <v>1072</v>
      </c>
      <c r="O62" s="303">
        <v>1072</v>
      </c>
      <c r="P62" s="306">
        <v>1941</v>
      </c>
      <c r="Q62" s="35">
        <v>2315</v>
      </c>
      <c r="R62" s="48"/>
      <c r="S62" s="36">
        <v>166.8</v>
      </c>
      <c r="T62" s="36"/>
      <c r="U62" s="37">
        <v>20</v>
      </c>
      <c r="V62" s="38"/>
      <c r="W62" s="39">
        <f>S62*1000/39.37/Q62*38.5</f>
        <v>70.459631200039951</v>
      </c>
      <c r="X62" s="39"/>
      <c r="Y62" s="40">
        <v>71.739999999999995</v>
      </c>
      <c r="Z62" s="40"/>
      <c r="AA62" s="41"/>
      <c r="AB62" s="42"/>
      <c r="AC62" s="43">
        <v>73.02</v>
      </c>
      <c r="AD62" s="43"/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47</v>
      </c>
      <c r="E63" s="28">
        <v>69011324</v>
      </c>
      <c r="F63" s="29">
        <v>690106</v>
      </c>
      <c r="G63" s="45">
        <v>730</v>
      </c>
      <c r="H63" s="31">
        <v>1040</v>
      </c>
      <c r="I63" s="46">
        <v>135</v>
      </c>
      <c r="J63" s="64">
        <v>135</v>
      </c>
      <c r="K63" s="65">
        <f t="shared" si="7"/>
        <v>58.4</v>
      </c>
      <c r="L63" s="68">
        <f t="shared" si="7"/>
        <v>83.2</v>
      </c>
      <c r="M63" s="303">
        <v>1150</v>
      </c>
      <c r="N63" s="303">
        <v>1880</v>
      </c>
      <c r="O63" s="303">
        <v>1880</v>
      </c>
      <c r="P63" s="303">
        <v>370</v>
      </c>
      <c r="Q63" s="35">
        <v>700</v>
      </c>
      <c r="R63" s="48"/>
      <c r="S63" s="36">
        <v>58.3</v>
      </c>
      <c r="T63" s="36"/>
      <c r="U63" s="37">
        <v>5</v>
      </c>
      <c r="V63" s="38"/>
      <c r="W63" s="39">
        <f>S63*1000/39.37/Q63*38.5</f>
        <v>81.445262890525797</v>
      </c>
      <c r="X63" s="39"/>
      <c r="Y63" s="40">
        <v>82.62</v>
      </c>
      <c r="Z63" s="40"/>
      <c r="AA63" s="41"/>
      <c r="AB63" s="42"/>
      <c r="AC63" s="43">
        <v>83.79</v>
      </c>
      <c r="AD63" s="43"/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71</v>
      </c>
      <c r="E64" s="28">
        <v>69011307</v>
      </c>
      <c r="F64" s="29">
        <v>690106</v>
      </c>
      <c r="G64" s="45">
        <v>930</v>
      </c>
      <c r="H64" s="31">
        <v>1060</v>
      </c>
      <c r="I64" s="46">
        <v>135</v>
      </c>
      <c r="J64" s="64">
        <v>135</v>
      </c>
      <c r="K64" s="65">
        <f t="shared" si="7"/>
        <v>74.400000000000006</v>
      </c>
      <c r="L64" s="76">
        <f t="shared" si="7"/>
        <v>84.8</v>
      </c>
      <c r="M64" s="303">
        <v>900</v>
      </c>
      <c r="N64" s="303">
        <v>1830</v>
      </c>
      <c r="O64" s="303">
        <v>1830</v>
      </c>
      <c r="P64" s="303">
        <v>330</v>
      </c>
      <c r="Q64" s="35">
        <v>2650</v>
      </c>
      <c r="R64" s="48"/>
      <c r="S64" s="36">
        <v>182.2</v>
      </c>
      <c r="T64" s="36"/>
      <c r="U64" s="37">
        <v>25</v>
      </c>
      <c r="V64" s="38"/>
      <c r="W64" s="39">
        <f>S64*1000/39.37/Q64*31.5</f>
        <v>55.010759078121936</v>
      </c>
      <c r="X64" s="39"/>
      <c r="Y64" s="40">
        <v>55.75</v>
      </c>
      <c r="Z64" s="40"/>
      <c r="AA64" s="41"/>
      <c r="AB64" s="42"/>
      <c r="AC64" s="43">
        <v>56.49</v>
      </c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71</v>
      </c>
      <c r="E65" s="28">
        <v>69011304</v>
      </c>
      <c r="F65" s="29">
        <v>690106</v>
      </c>
      <c r="G65" s="69">
        <v>750</v>
      </c>
      <c r="H65" s="31">
        <v>1110</v>
      </c>
      <c r="I65" s="46">
        <v>135</v>
      </c>
      <c r="J65" s="32">
        <v>135</v>
      </c>
      <c r="K65" s="33">
        <f t="shared" si="7"/>
        <v>60</v>
      </c>
      <c r="L65" s="47">
        <f t="shared" si="7"/>
        <v>88.8</v>
      </c>
      <c r="M65" s="303">
        <v>2500</v>
      </c>
      <c r="N65" s="303">
        <v>750</v>
      </c>
      <c r="O65" s="303">
        <v>750</v>
      </c>
      <c r="P65" s="303">
        <v>1860</v>
      </c>
      <c r="Q65" s="35">
        <v>2500</v>
      </c>
      <c r="R65" s="48"/>
      <c r="S65" s="36">
        <v>177.1</v>
      </c>
      <c r="T65" s="36"/>
      <c r="U65" s="37">
        <v>25</v>
      </c>
      <c r="V65" s="38"/>
      <c r="W65" s="39">
        <f>S65*1000/39.37/Q65*31.5</f>
        <v>56.679197358394717</v>
      </c>
      <c r="X65" s="39"/>
      <c r="Y65" s="40">
        <v>57.76</v>
      </c>
      <c r="Z65" s="40"/>
      <c r="AA65" s="41"/>
      <c r="AB65" s="42"/>
      <c r="AC65" s="43">
        <v>58.84</v>
      </c>
      <c r="AD65" s="43"/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780</v>
      </c>
      <c r="H66" s="31">
        <v>1080</v>
      </c>
      <c r="I66" s="46">
        <v>135</v>
      </c>
      <c r="J66" s="32">
        <v>135</v>
      </c>
      <c r="K66" s="33">
        <f t="shared" si="7"/>
        <v>62.4</v>
      </c>
      <c r="L66" s="47">
        <f t="shared" si="7"/>
        <v>86.4</v>
      </c>
      <c r="M66" s="303">
        <v>250</v>
      </c>
      <c r="N66" s="303">
        <v>1030</v>
      </c>
      <c r="O66" s="303">
        <v>1030</v>
      </c>
      <c r="P66" s="303">
        <v>610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/>
      <c r="F67" s="29">
        <v>690128</v>
      </c>
      <c r="G67" s="45">
        <v>200</v>
      </c>
      <c r="H67" s="31">
        <v>810</v>
      </c>
      <c r="I67" s="46">
        <v>135</v>
      </c>
      <c r="J67" s="32">
        <v>135</v>
      </c>
      <c r="K67" s="33">
        <f t="shared" si="7"/>
        <v>16</v>
      </c>
      <c r="L67" s="47">
        <f t="shared" si="7"/>
        <v>64.8</v>
      </c>
      <c r="M67" s="303">
        <v>800</v>
      </c>
      <c r="N67" s="303">
        <v>1000</v>
      </c>
      <c r="O67" s="303">
        <v>1000</v>
      </c>
      <c r="P67" s="303">
        <v>210</v>
      </c>
      <c r="Q67" s="35"/>
      <c r="R67" s="48"/>
      <c r="S67" s="36"/>
      <c r="T67" s="36"/>
      <c r="U67" s="37"/>
      <c r="V67" s="38"/>
      <c r="W67" s="39"/>
      <c r="X67" s="39"/>
      <c r="Y67" s="40"/>
      <c r="Z67" s="40"/>
      <c r="AA67" s="41"/>
      <c r="AB67" s="235"/>
      <c r="AC67" s="239"/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47</v>
      </c>
      <c r="E68" s="28"/>
      <c r="F68" s="29">
        <v>690119</v>
      </c>
      <c r="G68" s="69">
        <v>0</v>
      </c>
      <c r="H68" s="31">
        <v>700</v>
      </c>
      <c r="I68" s="46">
        <v>130</v>
      </c>
      <c r="J68" s="32">
        <v>130</v>
      </c>
      <c r="K68" s="33">
        <f t="shared" si="7"/>
        <v>0</v>
      </c>
      <c r="L68" s="47">
        <f t="shared" si="7"/>
        <v>56</v>
      </c>
      <c r="M68" s="303">
        <v>942</v>
      </c>
      <c r="N68" s="303">
        <v>0</v>
      </c>
      <c r="O68" s="303">
        <v>0</v>
      </c>
      <c r="P68" s="303">
        <v>700</v>
      </c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146</v>
      </c>
      <c r="E69" s="28">
        <v>69011330</v>
      </c>
      <c r="F69" s="29">
        <v>690119</v>
      </c>
      <c r="G69" s="69">
        <v>921</v>
      </c>
      <c r="H69" s="31">
        <v>1207</v>
      </c>
      <c r="I69" s="46">
        <v>780</v>
      </c>
      <c r="J69" s="32">
        <v>780</v>
      </c>
      <c r="K69" s="33">
        <f t="shared" si="7"/>
        <v>73.680000000000007</v>
      </c>
      <c r="L69" s="47">
        <f t="shared" si="7"/>
        <v>96.56</v>
      </c>
      <c r="M69" s="303">
        <v>1895</v>
      </c>
      <c r="N69" s="303">
        <v>816</v>
      </c>
      <c r="O69" s="303">
        <v>816</v>
      </c>
      <c r="P69" s="303">
        <v>23</v>
      </c>
      <c r="Q69" s="35">
        <v>2000</v>
      </c>
      <c r="R69" s="48"/>
      <c r="S69" s="36">
        <v>149.5</v>
      </c>
      <c r="T69" s="36"/>
      <c r="U69" s="37"/>
      <c r="V69" s="38"/>
      <c r="W69" s="39">
        <f>S69*1000/39.37/Q69*38.5</f>
        <v>73.098171196342392</v>
      </c>
      <c r="X69" s="39"/>
      <c r="Y69" s="40">
        <f t="shared" ref="Y69:Z72" si="8">(AC69+W69)/2</f>
        <v>73.604085598171196</v>
      </c>
      <c r="Z69" s="40"/>
      <c r="AA69" s="41"/>
      <c r="AB69" s="42"/>
      <c r="AC69" s="43">
        <v>74.11</v>
      </c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146</v>
      </c>
      <c r="E70" s="28">
        <v>69011331</v>
      </c>
      <c r="F70" s="29">
        <v>690119</v>
      </c>
      <c r="G70" s="45">
        <v>790</v>
      </c>
      <c r="H70" s="31">
        <v>1057</v>
      </c>
      <c r="I70" s="46">
        <v>780</v>
      </c>
      <c r="J70" s="32">
        <v>780</v>
      </c>
      <c r="K70" s="33">
        <f t="shared" si="7"/>
        <v>63.2</v>
      </c>
      <c r="L70" s="47">
        <f t="shared" si="7"/>
        <v>84.56</v>
      </c>
      <c r="M70" s="308">
        <v>1178</v>
      </c>
      <c r="N70" s="308">
        <v>1968</v>
      </c>
      <c r="O70" s="308">
        <v>1968</v>
      </c>
      <c r="P70" s="308">
        <v>525</v>
      </c>
      <c r="Q70" s="35">
        <v>1237</v>
      </c>
      <c r="R70" s="48"/>
      <c r="S70" s="36">
        <v>89.2</v>
      </c>
      <c r="T70" s="36"/>
      <c r="U70" s="37"/>
      <c r="V70" s="38"/>
      <c r="W70" s="39">
        <f>S70*1000/39.37/Q70*38.5</f>
        <v>70.51645469499509</v>
      </c>
      <c r="X70" s="39"/>
      <c r="Y70" s="40">
        <f t="shared" si="8"/>
        <v>72.528227347497548</v>
      </c>
      <c r="Z70" s="40"/>
      <c r="AA70" s="41"/>
      <c r="AB70" s="42"/>
      <c r="AC70" s="43">
        <v>74.540000000000006</v>
      </c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47</v>
      </c>
      <c r="E71" s="28">
        <v>69011333</v>
      </c>
      <c r="F71" s="29">
        <v>690106</v>
      </c>
      <c r="G71" s="45">
        <v>815</v>
      </c>
      <c r="H71" s="31">
        <v>965</v>
      </c>
      <c r="I71" s="46">
        <v>780</v>
      </c>
      <c r="J71" s="32">
        <v>780</v>
      </c>
      <c r="K71" s="33">
        <f t="shared" si="7"/>
        <v>65.2</v>
      </c>
      <c r="L71" s="47">
        <f t="shared" si="7"/>
        <v>77.2</v>
      </c>
      <c r="M71" s="305">
        <v>1419</v>
      </c>
      <c r="N71" s="305">
        <v>2234</v>
      </c>
      <c r="O71" s="305">
        <v>2234</v>
      </c>
      <c r="P71" s="305">
        <v>866</v>
      </c>
      <c r="Q71" s="35"/>
      <c r="R71" s="48">
        <v>530</v>
      </c>
      <c r="S71" s="36"/>
      <c r="T71" s="36">
        <v>44</v>
      </c>
      <c r="U71" s="37"/>
      <c r="V71" s="38"/>
      <c r="W71" s="39"/>
      <c r="X71" s="39">
        <f>T71*1000/39.37/R71*38.5</f>
        <v>81.184313312022852</v>
      </c>
      <c r="Y71" s="40"/>
      <c r="Z71" s="40">
        <f t="shared" si="8"/>
        <v>81.462156656011416</v>
      </c>
      <c r="AA71" s="41"/>
      <c r="AB71" s="42"/>
      <c r="AC71" s="43"/>
      <c r="AD71" s="43">
        <v>81.739999999999995</v>
      </c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304</v>
      </c>
      <c r="E72" s="28">
        <v>69011332</v>
      </c>
      <c r="F72" s="29">
        <v>690104</v>
      </c>
      <c r="G72" s="77">
        <v>892</v>
      </c>
      <c r="H72" s="31">
        <v>1000</v>
      </c>
      <c r="I72" s="63">
        <v>780</v>
      </c>
      <c r="J72" s="64">
        <v>780</v>
      </c>
      <c r="K72" s="65">
        <f t="shared" si="7"/>
        <v>71.36</v>
      </c>
      <c r="L72" s="47">
        <f t="shared" si="7"/>
        <v>80</v>
      </c>
      <c r="M72" s="303">
        <v>1351</v>
      </c>
      <c r="N72" s="303">
        <v>243</v>
      </c>
      <c r="O72" s="303">
        <v>243</v>
      </c>
      <c r="P72" s="303">
        <v>1243</v>
      </c>
      <c r="Q72" s="35"/>
      <c r="R72" s="48">
        <v>2000</v>
      </c>
      <c r="S72" s="36"/>
      <c r="T72" s="36">
        <v>143.19999999999999</v>
      </c>
      <c r="U72" s="37"/>
      <c r="V72" s="38"/>
      <c r="W72" s="39"/>
      <c r="X72" s="39">
        <f>T72*1000/39.37/R72*31.5</f>
        <v>57.287274574549151</v>
      </c>
      <c r="Y72" s="40"/>
      <c r="Z72" s="40">
        <f t="shared" si="8"/>
        <v>57.823637287274579</v>
      </c>
      <c r="AA72" s="41"/>
      <c r="AB72" s="42"/>
      <c r="AC72" s="43"/>
      <c r="AD72" s="43">
        <v>58.36</v>
      </c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43</v>
      </c>
      <c r="E73" s="28"/>
      <c r="F73" s="29">
        <v>690107</v>
      </c>
      <c r="G73" s="78">
        <v>0</v>
      </c>
      <c r="H73" s="31">
        <v>0</v>
      </c>
      <c r="I73" s="63">
        <v>780</v>
      </c>
      <c r="J73" s="64">
        <v>780</v>
      </c>
      <c r="K73" s="65">
        <f t="shared" si="7"/>
        <v>0</v>
      </c>
      <c r="L73" s="47">
        <f t="shared" si="7"/>
        <v>0</v>
      </c>
      <c r="M73" s="303">
        <v>2346</v>
      </c>
      <c r="N73" s="303">
        <v>2346</v>
      </c>
      <c r="O73" s="303">
        <v>2346</v>
      </c>
      <c r="P73" s="303">
        <v>2346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43</v>
      </c>
      <c r="E74" s="28"/>
      <c r="F74" s="29">
        <v>690107</v>
      </c>
      <c r="G74" s="79">
        <v>548</v>
      </c>
      <c r="H74" s="31">
        <v>0</v>
      </c>
      <c r="I74" s="63">
        <v>780</v>
      </c>
      <c r="J74" s="64">
        <v>780</v>
      </c>
      <c r="K74" s="65">
        <f t="shared" si="7"/>
        <v>43.84</v>
      </c>
      <c r="L74" s="68">
        <f t="shared" si="7"/>
        <v>0</v>
      </c>
      <c r="M74" s="303">
        <v>2125</v>
      </c>
      <c r="N74" s="303">
        <v>173</v>
      </c>
      <c r="O74" s="303">
        <v>173</v>
      </c>
      <c r="P74" s="303">
        <v>173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146</v>
      </c>
      <c r="E75" s="28"/>
      <c r="F75" s="29">
        <v>690109</v>
      </c>
      <c r="G75" s="80">
        <v>0</v>
      </c>
      <c r="H75" s="31">
        <v>1101</v>
      </c>
      <c r="I75" s="46">
        <v>800</v>
      </c>
      <c r="J75" s="32">
        <v>800</v>
      </c>
      <c r="K75" s="33">
        <f t="shared" si="7"/>
        <v>0</v>
      </c>
      <c r="L75" s="47">
        <f t="shared" si="7"/>
        <v>88.08</v>
      </c>
      <c r="M75" s="303">
        <v>1048</v>
      </c>
      <c r="N75" s="303">
        <v>1048</v>
      </c>
      <c r="O75" s="303">
        <v>1048</v>
      </c>
      <c r="P75" s="303">
        <v>149</v>
      </c>
      <c r="Q75" s="48"/>
      <c r="R75" s="48"/>
      <c r="S75" s="36"/>
      <c r="T75" s="36"/>
      <c r="U75" s="37"/>
      <c r="V75" s="38"/>
      <c r="W75" s="39"/>
      <c r="X75" s="39"/>
      <c r="Y75" s="40"/>
      <c r="Z75" s="40"/>
      <c r="AA75" s="41"/>
      <c r="AB75" s="42"/>
      <c r="AC75" s="43"/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146</v>
      </c>
      <c r="E76" s="28"/>
      <c r="F76" s="29">
        <v>690109</v>
      </c>
      <c r="G76" s="45">
        <v>0</v>
      </c>
      <c r="H76" s="31">
        <v>1202</v>
      </c>
      <c r="I76" s="46">
        <v>800</v>
      </c>
      <c r="J76" s="32">
        <v>800</v>
      </c>
      <c r="K76" s="33">
        <f t="shared" si="7"/>
        <v>0</v>
      </c>
      <c r="L76" s="47">
        <f t="shared" si="7"/>
        <v>96.16</v>
      </c>
      <c r="M76" s="303">
        <v>1363</v>
      </c>
      <c r="N76" s="303">
        <v>1363</v>
      </c>
      <c r="O76" s="303">
        <v>1363</v>
      </c>
      <c r="P76" s="303">
        <v>565</v>
      </c>
      <c r="Q76" s="35"/>
      <c r="R76" s="48"/>
      <c r="S76" s="36"/>
      <c r="T76" s="36"/>
      <c r="U76" s="37"/>
      <c r="V76" s="38"/>
      <c r="W76" s="39"/>
      <c r="X76" s="39"/>
      <c r="Y76" s="40"/>
      <c r="Z76" s="40"/>
      <c r="AA76" s="41"/>
      <c r="AB76" s="42"/>
      <c r="AC76" s="43"/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146</v>
      </c>
      <c r="E77" s="28">
        <v>69011321</v>
      </c>
      <c r="F77" s="29">
        <v>690109</v>
      </c>
      <c r="G77" s="45">
        <v>0</v>
      </c>
      <c r="H77" s="31">
        <v>1233</v>
      </c>
      <c r="I77" s="46">
        <v>800</v>
      </c>
      <c r="J77" s="32">
        <v>800</v>
      </c>
      <c r="K77" s="33">
        <f t="shared" si="7"/>
        <v>0</v>
      </c>
      <c r="L77" s="47">
        <f t="shared" si="7"/>
        <v>98.64</v>
      </c>
      <c r="M77" s="303">
        <v>160</v>
      </c>
      <c r="N77" s="303">
        <v>160</v>
      </c>
      <c r="O77" s="303">
        <v>160</v>
      </c>
      <c r="P77" s="303">
        <v>1393</v>
      </c>
      <c r="Q77" s="35">
        <v>2000</v>
      </c>
      <c r="R77" s="48"/>
      <c r="S77" s="36">
        <v>147.5</v>
      </c>
      <c r="T77" s="36"/>
      <c r="U77" s="37"/>
      <c r="V77" s="38"/>
      <c r="W77" s="39">
        <f>S77*1000/39.37/Q77*38.5</f>
        <v>72.120269240538491</v>
      </c>
      <c r="X77" s="39"/>
      <c r="Y77" s="40">
        <v>72.849999999999994</v>
      </c>
      <c r="Z77" s="40"/>
      <c r="AA77" s="41"/>
      <c r="AB77" s="42"/>
      <c r="AC77" s="43">
        <v>73.58</v>
      </c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295</v>
      </c>
      <c r="E78" s="28"/>
      <c r="F78" s="29">
        <v>690106</v>
      </c>
      <c r="G78" s="45">
        <v>0</v>
      </c>
      <c r="H78" s="31">
        <v>1125</v>
      </c>
      <c r="I78" s="46">
        <v>800</v>
      </c>
      <c r="J78" s="32">
        <v>800</v>
      </c>
      <c r="K78" s="33">
        <f t="shared" si="7"/>
        <v>0</v>
      </c>
      <c r="L78" s="47">
        <f t="shared" si="7"/>
        <v>90</v>
      </c>
      <c r="M78" s="303">
        <v>1949</v>
      </c>
      <c r="N78" s="303">
        <v>1949</v>
      </c>
      <c r="O78" s="303">
        <v>1949</v>
      </c>
      <c r="P78" s="303">
        <v>1074</v>
      </c>
      <c r="Q78" s="35"/>
      <c r="R78" s="48"/>
      <c r="S78" s="36"/>
      <c r="T78" s="36"/>
      <c r="U78" s="37"/>
      <c r="V78" s="38"/>
      <c r="W78" s="39"/>
      <c r="X78" s="39"/>
      <c r="Y78" s="40"/>
      <c r="Z78" s="40"/>
      <c r="AA78" s="41"/>
      <c r="AB78" s="42"/>
      <c r="AC78" s="43"/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146</v>
      </c>
      <c r="E79" s="28"/>
      <c r="F79" s="29">
        <v>690109</v>
      </c>
      <c r="G79" s="45">
        <v>660</v>
      </c>
      <c r="H79" s="31">
        <v>1255</v>
      </c>
      <c r="I79" s="46">
        <v>800</v>
      </c>
      <c r="J79" s="32">
        <v>800</v>
      </c>
      <c r="K79" s="33"/>
      <c r="L79" s="47">
        <f t="shared" si="7"/>
        <v>100.4</v>
      </c>
      <c r="M79" s="303">
        <v>1598</v>
      </c>
      <c r="N79" s="303">
        <v>258</v>
      </c>
      <c r="O79" s="303">
        <v>258</v>
      </c>
      <c r="P79" s="303">
        <v>1513</v>
      </c>
      <c r="Q79" s="48"/>
      <c r="R79" s="48"/>
      <c r="S79" s="36"/>
      <c r="T79" s="36"/>
      <c r="U79" s="37"/>
      <c r="V79" s="38"/>
      <c r="W79" s="39"/>
      <c r="X79" s="39"/>
      <c r="Y79" s="40"/>
      <c r="Z79" s="40"/>
      <c r="AA79" s="41"/>
      <c r="AB79" s="42"/>
      <c r="AC79" s="43"/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146</v>
      </c>
      <c r="E80" s="28"/>
      <c r="F80" s="29">
        <v>690109</v>
      </c>
      <c r="G80" s="45">
        <v>660</v>
      </c>
      <c r="H80" s="31">
        <v>1270</v>
      </c>
      <c r="I80" s="46">
        <v>800</v>
      </c>
      <c r="J80" s="32">
        <v>800</v>
      </c>
      <c r="K80" s="33">
        <f t="shared" si="7"/>
        <v>52.8</v>
      </c>
      <c r="L80" s="47">
        <f t="shared" si="7"/>
        <v>101.6</v>
      </c>
      <c r="M80" s="303">
        <v>1517</v>
      </c>
      <c r="N80" s="303">
        <v>177</v>
      </c>
      <c r="O80" s="303">
        <v>177</v>
      </c>
      <c r="P80" s="303">
        <v>1447</v>
      </c>
      <c r="Q80" s="35"/>
      <c r="R80" s="48"/>
      <c r="S80" s="36"/>
      <c r="T80" s="36"/>
      <c r="U80" s="37"/>
      <c r="V80" s="38"/>
      <c r="W80" s="39"/>
      <c r="X80" s="39"/>
      <c r="Y80" s="40"/>
      <c r="Z80" s="40"/>
      <c r="AA80" s="41"/>
      <c r="AB80" s="42"/>
      <c r="AC80" s="43"/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146</v>
      </c>
      <c r="E81" s="28">
        <v>69011309</v>
      </c>
      <c r="F81" s="29">
        <v>690109</v>
      </c>
      <c r="G81" s="45">
        <v>665</v>
      </c>
      <c r="H81" s="31">
        <v>1155</v>
      </c>
      <c r="I81" s="46">
        <v>800</v>
      </c>
      <c r="J81" s="32">
        <v>800</v>
      </c>
      <c r="K81" s="33">
        <f t="shared" si="7"/>
        <v>53.2</v>
      </c>
      <c r="L81" s="47">
        <f t="shared" si="7"/>
        <v>92.4</v>
      </c>
      <c r="M81" s="303">
        <v>900</v>
      </c>
      <c r="N81" s="303">
        <v>1565</v>
      </c>
      <c r="O81" s="303">
        <v>1565</v>
      </c>
      <c r="P81" s="303">
        <v>720</v>
      </c>
      <c r="Q81" s="35">
        <v>2000</v>
      </c>
      <c r="R81" s="48"/>
      <c r="S81" s="36">
        <v>152.4</v>
      </c>
      <c r="T81" s="36"/>
      <c r="U81" s="37"/>
      <c r="V81" s="38"/>
      <c r="W81" s="39">
        <f>S81*1000/39.37/Q81*38.5</f>
        <v>74.516129032258064</v>
      </c>
      <c r="X81" s="39"/>
      <c r="Y81" s="40">
        <v>75.739999999999995</v>
      </c>
      <c r="Z81" s="40"/>
      <c r="AA81" s="41"/>
      <c r="AB81" s="42"/>
      <c r="AC81" s="43">
        <v>76.95</v>
      </c>
      <c r="AD81" s="43"/>
    </row>
    <row r="82" spans="1:34" ht="24" customHeight="1" x14ac:dyDescent="0.4">
      <c r="A82" s="249" t="s">
        <v>148</v>
      </c>
      <c r="B82" s="246" t="s">
        <v>116</v>
      </c>
      <c r="C82" s="253" t="s">
        <v>63</v>
      </c>
      <c r="D82" s="256" t="s">
        <v>146</v>
      </c>
      <c r="E82" s="28"/>
      <c r="F82" s="29">
        <v>690109</v>
      </c>
      <c r="G82" s="45">
        <v>660</v>
      </c>
      <c r="H82" s="31">
        <v>1216</v>
      </c>
      <c r="I82" s="46">
        <v>800</v>
      </c>
      <c r="J82" s="32">
        <v>800</v>
      </c>
      <c r="K82" s="33">
        <f t="shared" si="7"/>
        <v>52.8</v>
      </c>
      <c r="L82" s="47">
        <f t="shared" si="7"/>
        <v>97.28</v>
      </c>
      <c r="M82" s="303">
        <v>1559</v>
      </c>
      <c r="N82" s="303">
        <v>219</v>
      </c>
      <c r="O82" s="303">
        <v>219</v>
      </c>
      <c r="P82" s="303">
        <v>1435</v>
      </c>
      <c r="Q82" s="35"/>
      <c r="R82" s="48"/>
      <c r="S82" s="36"/>
      <c r="T82" s="36"/>
      <c r="U82" s="37"/>
      <c r="V82" s="38"/>
      <c r="W82" s="39"/>
      <c r="X82" s="39"/>
      <c r="Y82" s="40"/>
      <c r="Z82" s="40"/>
      <c r="AA82" s="41"/>
      <c r="AB82" s="42"/>
      <c r="AC82" s="43"/>
      <c r="AD82" s="43"/>
    </row>
    <row r="83" spans="1:34" ht="24" customHeight="1" x14ac:dyDescent="0.4">
      <c r="A83" s="251" t="s">
        <v>136</v>
      </c>
      <c r="B83" s="246" t="s">
        <v>64</v>
      </c>
      <c r="C83" s="253" t="s">
        <v>34</v>
      </c>
      <c r="D83" s="256" t="s">
        <v>272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9">G83*8/100</f>
        <v>0</v>
      </c>
      <c r="L83" s="47">
        <f t="shared" si="9"/>
        <v>0</v>
      </c>
      <c r="M83" s="303">
        <v>230</v>
      </c>
      <c r="N83" s="303">
        <v>230</v>
      </c>
      <c r="O83" s="303">
        <v>230</v>
      </c>
      <c r="P83" s="303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251" t="s">
        <v>124</v>
      </c>
      <c r="B84" s="246" t="s">
        <v>51</v>
      </c>
      <c r="C84" s="253" t="s">
        <v>233</v>
      </c>
      <c r="D84" s="256" t="s">
        <v>94</v>
      </c>
      <c r="E84" s="28">
        <v>69011315</v>
      </c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03">
        <v>34</v>
      </c>
      <c r="O84" s="303">
        <v>34</v>
      </c>
      <c r="P84" s="303">
        <v>34</v>
      </c>
      <c r="Q84" s="35">
        <v>1320</v>
      </c>
      <c r="R84" s="48"/>
      <c r="S84" s="36">
        <v>95</v>
      </c>
      <c r="T84" s="36"/>
      <c r="U84" s="37">
        <v>10</v>
      </c>
      <c r="V84" s="38"/>
      <c r="W84" s="39">
        <f>S84*1000/39.37/Q84*38.5</f>
        <v>70.379307425281525</v>
      </c>
      <c r="X84" s="39"/>
      <c r="Y84" s="40">
        <v>70.83</v>
      </c>
      <c r="Z84" s="40"/>
      <c r="AA84" s="41"/>
      <c r="AB84" s="41"/>
      <c r="AC84" s="43">
        <v>71.28</v>
      </c>
      <c r="AD84" s="43"/>
    </row>
    <row r="85" spans="1:34" ht="24" customHeight="1" x14ac:dyDescent="0.4">
      <c r="A85" s="71" t="s">
        <v>149</v>
      </c>
      <c r="B85" s="26"/>
      <c r="C85" s="254"/>
      <c r="D85" s="256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10">G85*8/100</f>
        <v>0</v>
      </c>
      <c r="L85" s="47">
        <f t="shared" si="10"/>
        <v>0</v>
      </c>
      <c r="M85" s="311">
        <v>62</v>
      </c>
      <c r="N85" s="311">
        <v>62</v>
      </c>
      <c r="O85" s="311">
        <v>62</v>
      </c>
      <c r="P85" s="31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54"/>
      <c r="D86" s="257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10"/>
        <v>0</v>
      </c>
      <c r="L86" s="47">
        <f t="shared" si="10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31926</v>
      </c>
      <c r="H87" s="86">
        <f>SUM(H6:H82)</f>
        <v>55268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53981</v>
      </c>
      <c r="R87" s="89">
        <f>SUM(R6:R86)</f>
        <v>6490</v>
      </c>
      <c r="S87" s="90">
        <f>SUM(S6:S86)</f>
        <v>4170</v>
      </c>
      <c r="T87" s="91">
        <f>SUM(T6:T86)</f>
        <v>504.2</v>
      </c>
      <c r="U87" s="89">
        <f>SUM(U6:U86)</f>
        <v>390</v>
      </c>
      <c r="V87" s="89">
        <f>SUM(V6:V84)</f>
        <v>35</v>
      </c>
      <c r="W87" s="92">
        <f>SUM(W6:W86)</f>
        <v>1953.9252336216703</v>
      </c>
      <c r="X87" s="93">
        <f>SUM(X6:X86)</f>
        <v>346.02006823223104</v>
      </c>
      <c r="Y87" s="94">
        <f>SUM(Y6:Y86)</f>
        <v>1974.4055247619708</v>
      </c>
      <c r="Z87" s="95">
        <f>SUM(Z6:Z86)</f>
        <v>349.16857184810624</v>
      </c>
      <c r="AA87" s="96">
        <f>SUM(AA6:AA82)</f>
        <v>0</v>
      </c>
      <c r="AB87" s="97">
        <f>SUM(AB6:AB82)</f>
        <v>0</v>
      </c>
      <c r="AC87" s="98">
        <f>SUM(AC6:AC86)</f>
        <v>1994.8</v>
      </c>
      <c r="AD87" s="98">
        <f>SUM(AD6:AD86)</f>
        <v>352.31</v>
      </c>
    </row>
    <row r="88" spans="1:34" ht="24" customHeight="1" thickBot="1" x14ac:dyDescent="0.45">
      <c r="A88" s="334"/>
      <c r="B88" s="83">
        <v>55</v>
      </c>
      <c r="C88" s="83">
        <v>55</v>
      </c>
      <c r="D88" s="84"/>
      <c r="E88" s="84"/>
      <c r="F88" s="84"/>
      <c r="G88" s="341">
        <f>G87+H87</f>
        <v>87194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Q87+R87+Q133+Q149</f>
        <v>68061</v>
      </c>
      <c r="R88" s="342"/>
      <c r="S88" s="375">
        <f>S87+T87+S133+S149</f>
        <v>5700.4</v>
      </c>
      <c r="T88" s="376"/>
      <c r="U88" s="341">
        <f>U87+V87+U133+U149</f>
        <v>500</v>
      </c>
      <c r="V88" s="342"/>
      <c r="W88" s="375">
        <f>W87+X87+W133+W149</f>
        <v>2960.96139611955</v>
      </c>
      <c r="X88" s="376"/>
      <c r="Y88" s="375">
        <f>Y87+Z87+Y133+Y149</f>
        <v>2590.1840966100772</v>
      </c>
      <c r="Z88" s="376"/>
      <c r="AA88" s="383">
        <f>AA87+AB87+AA133+AA149</f>
        <v>394.25</v>
      </c>
      <c r="AB88" s="384"/>
      <c r="AC88" s="375">
        <f>AC87+AD87+AC133+AC149</f>
        <v>3007.79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302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68061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425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31926</v>
      </c>
      <c r="O91" s="108" t="s">
        <v>158</v>
      </c>
      <c r="P91" s="108"/>
      <c r="Q91" s="108" t="s">
        <v>159</v>
      </c>
      <c r="R91" s="109"/>
      <c r="S91" s="120">
        <f>H87</f>
        <v>55268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390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1.2025650000000001</v>
      </c>
      <c r="F92" s="124"/>
      <c r="G92" s="108" t="s">
        <v>162</v>
      </c>
      <c r="H92" s="125"/>
      <c r="I92" s="125">
        <v>1920</v>
      </c>
      <c r="J92" s="117" t="s">
        <v>154</v>
      </c>
      <c r="K92" s="108"/>
      <c r="L92" s="108" t="s">
        <v>163</v>
      </c>
      <c r="M92" s="108"/>
      <c r="N92" s="126">
        <f>G87/B88</f>
        <v>580.4727272727273</v>
      </c>
      <c r="O92" s="108" t="s">
        <v>158</v>
      </c>
      <c r="P92" s="108"/>
      <c r="Q92" s="108" t="s">
        <v>164</v>
      </c>
      <c r="S92" s="126">
        <f>H87/C88</f>
        <v>1004.8727272727273</v>
      </c>
      <c r="T92" s="108"/>
      <c r="U92" s="108" t="s">
        <v>158</v>
      </c>
      <c r="W92" s="110"/>
      <c r="X92" s="108"/>
      <c r="Y92" s="127" t="s">
        <v>165</v>
      </c>
      <c r="AA92" s="122">
        <f>V87</f>
        <v>35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300</v>
      </c>
      <c r="F93" s="129"/>
      <c r="G93" s="108" t="s">
        <v>162</v>
      </c>
      <c r="H93" s="125"/>
      <c r="I93" s="125">
        <v>2000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>
        <v>2898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301</v>
      </c>
      <c r="F95" s="116"/>
      <c r="G95" s="108" t="s">
        <v>162</v>
      </c>
      <c r="H95" s="125"/>
      <c r="I95" s="125">
        <v>2000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308</v>
      </c>
      <c r="F96" s="136"/>
      <c r="G96" s="108" t="s">
        <v>162</v>
      </c>
      <c r="H96" s="125"/>
      <c r="I96" s="125">
        <v>5290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307</v>
      </c>
      <c r="F97" s="129"/>
      <c r="G97" s="108" t="s">
        <v>162</v>
      </c>
      <c r="H97" s="125"/>
      <c r="I97" s="125">
        <v>18407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55</v>
      </c>
      <c r="P97" s="108" t="s">
        <v>25</v>
      </c>
      <c r="Q97" s="108"/>
      <c r="R97" s="108"/>
      <c r="S97" s="130" t="s">
        <v>177</v>
      </c>
      <c r="T97" s="138">
        <f>C88</f>
        <v>55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9684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3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/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306</v>
      </c>
      <c r="F100" s="148"/>
      <c r="G100" s="108" t="s">
        <v>162</v>
      </c>
      <c r="H100" s="125"/>
      <c r="I100" s="125">
        <v>2000</v>
      </c>
      <c r="J100" s="117" t="s">
        <v>154</v>
      </c>
      <c r="K100" s="8"/>
      <c r="L100" s="149" t="s">
        <v>188</v>
      </c>
      <c r="M100" s="150" t="s">
        <v>311</v>
      </c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291</v>
      </c>
      <c r="F101" s="155"/>
      <c r="G101" s="108" t="s">
        <v>162</v>
      </c>
      <c r="H101" s="125"/>
      <c r="I101" s="125">
        <v>11237</v>
      </c>
      <c r="J101" s="117" t="s">
        <v>154</v>
      </c>
      <c r="K101" s="108"/>
      <c r="L101" s="149"/>
      <c r="M101" s="150" t="s">
        <v>312</v>
      </c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246</v>
      </c>
      <c r="F102" s="262"/>
      <c r="G102" s="108" t="s">
        <v>162</v>
      </c>
      <c r="H102" s="125"/>
      <c r="I102" s="125">
        <v>7590</v>
      </c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/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269</v>
      </c>
      <c r="F105" s="155"/>
      <c r="G105" s="108" t="s">
        <v>162</v>
      </c>
      <c r="H105" s="125"/>
      <c r="I105" s="125"/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>
        <v>5035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292</v>
      </c>
      <c r="F107" s="155"/>
      <c r="G107" s="108" t="s">
        <v>162</v>
      </c>
      <c r="H107" s="125"/>
      <c r="I107" s="125"/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280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 t="s">
        <v>228</v>
      </c>
      <c r="AB108" s="149" t="s">
        <v>229</v>
      </c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 t="s">
        <v>228</v>
      </c>
      <c r="AB109" s="149" t="s">
        <v>230</v>
      </c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72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54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11">SUM(Q122:Q131)</f>
        <v>0</v>
      </c>
      <c r="R132" s="237">
        <f t="shared" si="11"/>
        <v>0</v>
      </c>
      <c r="S132" s="238">
        <f t="shared" si="11"/>
        <v>0</v>
      </c>
      <c r="T132" s="238">
        <f t="shared" si="11"/>
        <v>0</v>
      </c>
      <c r="U132" s="237">
        <f t="shared" si="11"/>
        <v>0</v>
      </c>
      <c r="V132" s="237">
        <f t="shared" si="11"/>
        <v>0</v>
      </c>
      <c r="W132" s="238">
        <f t="shared" si="11"/>
        <v>0</v>
      </c>
      <c r="X132" s="238">
        <f t="shared" si="11"/>
        <v>0</v>
      </c>
      <c r="Y132" s="95">
        <f t="shared" si="11"/>
        <v>0</v>
      </c>
      <c r="Z132" s="95">
        <f t="shared" si="11"/>
        <v>0</v>
      </c>
      <c r="AA132" s="238">
        <f t="shared" si="11"/>
        <v>0</v>
      </c>
      <c r="AB132" s="238">
        <f t="shared" si="11"/>
        <v>0</v>
      </c>
      <c r="AC132" s="98"/>
      <c r="AD132" s="98">
        <f t="shared" si="11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  <row r="134" spans="1:30" ht="18.75" thickBot="1" x14ac:dyDescent="0.45"/>
    <row r="135" spans="1:30" x14ac:dyDescent="0.4">
      <c r="A135" s="368" t="s">
        <v>1</v>
      </c>
      <c r="B135" s="349" t="s">
        <v>2</v>
      </c>
      <c r="C135" s="350"/>
      <c r="D135" s="5" t="s">
        <v>3</v>
      </c>
      <c r="E135" s="7"/>
      <c r="F135" s="7"/>
      <c r="G135" s="349" t="s">
        <v>4</v>
      </c>
      <c r="H135" s="350"/>
      <c r="I135" s="349" t="s">
        <v>5</v>
      </c>
      <c r="J135" s="350"/>
      <c r="K135" s="349" t="s">
        <v>6</v>
      </c>
      <c r="L135" s="350"/>
      <c r="M135" s="370" t="s">
        <v>7</v>
      </c>
      <c r="N135" s="371"/>
      <c r="O135" s="362" t="s">
        <v>7</v>
      </c>
      <c r="P135" s="363"/>
      <c r="Q135" s="364" t="s">
        <v>8</v>
      </c>
      <c r="R135" s="365"/>
      <c r="S135" s="349" t="s">
        <v>9</v>
      </c>
      <c r="T135" s="350"/>
      <c r="U135" s="366" t="s">
        <v>10</v>
      </c>
      <c r="V135" s="367"/>
      <c r="W135" s="349" t="s">
        <v>11</v>
      </c>
      <c r="X135" s="350"/>
      <c r="Y135" s="349" t="s">
        <v>12</v>
      </c>
      <c r="Z135" s="350"/>
      <c r="AA135" s="349" t="s">
        <v>13</v>
      </c>
      <c r="AB135" s="350"/>
      <c r="AC135" s="349" t="s">
        <v>14</v>
      </c>
      <c r="AD135" s="353"/>
    </row>
    <row r="136" spans="1:30" ht="21" x14ac:dyDescent="0.4">
      <c r="A136" s="369"/>
      <c r="B136" s="351"/>
      <c r="C136" s="352"/>
      <c r="D136" s="8" t="s">
        <v>15</v>
      </c>
      <c r="E136" s="205" t="s">
        <v>16</v>
      </c>
      <c r="F136" s="9" t="s">
        <v>17</v>
      </c>
      <c r="G136" s="351"/>
      <c r="H136" s="352"/>
      <c r="I136" s="351"/>
      <c r="J136" s="352"/>
      <c r="K136" s="351"/>
      <c r="L136" s="352"/>
      <c r="M136" s="354" t="s">
        <v>18</v>
      </c>
      <c r="N136" s="355"/>
      <c r="O136" s="356" t="s">
        <v>19</v>
      </c>
      <c r="P136" s="357"/>
      <c r="Q136" s="358" t="s">
        <v>20</v>
      </c>
      <c r="R136" s="359"/>
      <c r="S136" s="351" t="s">
        <v>21</v>
      </c>
      <c r="T136" s="352"/>
      <c r="U136" s="360" t="s">
        <v>22</v>
      </c>
      <c r="V136" s="359"/>
      <c r="W136" s="351" t="s">
        <v>23</v>
      </c>
      <c r="X136" s="352"/>
      <c r="Y136" s="351"/>
      <c r="Z136" s="352"/>
      <c r="AA136" s="351"/>
      <c r="AB136" s="352"/>
      <c r="AC136" s="351" t="s">
        <v>24</v>
      </c>
      <c r="AD136" s="361"/>
    </row>
    <row r="137" spans="1:30" ht="18.75" thickBot="1" x14ac:dyDescent="0.45">
      <c r="A137" s="10" t="s">
        <v>25</v>
      </c>
      <c r="B137" s="206" t="s">
        <v>207</v>
      </c>
      <c r="C137" s="12" t="s">
        <v>208</v>
      </c>
      <c r="D137" s="13" t="s">
        <v>28</v>
      </c>
      <c r="E137" s="207"/>
      <c r="F137" s="207"/>
      <c r="G137" s="12" t="s">
        <v>26</v>
      </c>
      <c r="H137" s="12" t="s">
        <v>27</v>
      </c>
      <c r="I137" s="11" t="s">
        <v>26</v>
      </c>
      <c r="J137" s="12" t="s">
        <v>27</v>
      </c>
      <c r="K137" s="11" t="s">
        <v>29</v>
      </c>
      <c r="L137" s="14" t="s">
        <v>30</v>
      </c>
      <c r="M137" s="208" t="s">
        <v>31</v>
      </c>
      <c r="N137" s="209" t="s">
        <v>32</v>
      </c>
      <c r="O137" s="210" t="s">
        <v>31</v>
      </c>
      <c r="P137" s="211" t="s">
        <v>32</v>
      </c>
      <c r="Q137" s="19" t="s">
        <v>26</v>
      </c>
      <c r="R137" s="12" t="s">
        <v>27</v>
      </c>
      <c r="S137" s="20" t="s">
        <v>26</v>
      </c>
      <c r="T137" s="12" t="s">
        <v>27</v>
      </c>
      <c r="U137" s="19" t="s">
        <v>26</v>
      </c>
      <c r="V137" s="12" t="s">
        <v>27</v>
      </c>
      <c r="W137" s="21" t="s">
        <v>26</v>
      </c>
      <c r="X137" s="12" t="s">
        <v>27</v>
      </c>
      <c r="Y137" s="22" t="s">
        <v>26</v>
      </c>
      <c r="Z137" s="23" t="s">
        <v>27</v>
      </c>
      <c r="AA137" s="19" t="s">
        <v>26</v>
      </c>
      <c r="AB137" s="12" t="s">
        <v>27</v>
      </c>
      <c r="AC137" s="11" t="s">
        <v>26</v>
      </c>
      <c r="AD137" s="24" t="s">
        <v>27</v>
      </c>
    </row>
    <row r="138" spans="1:30" ht="32.25" thickBot="1" x14ac:dyDescent="0.55000000000000004">
      <c r="A138" s="212" t="s">
        <v>130</v>
      </c>
      <c r="B138" s="213" t="s">
        <v>209</v>
      </c>
      <c r="C138" s="213" t="s">
        <v>210</v>
      </c>
      <c r="D138" s="258" t="s">
        <v>237</v>
      </c>
      <c r="E138" s="215">
        <v>69011318</v>
      </c>
      <c r="F138" s="73">
        <v>690133</v>
      </c>
      <c r="G138" s="216"/>
      <c r="H138" s="217"/>
      <c r="I138" s="46">
        <v>800</v>
      </c>
      <c r="J138" s="32">
        <v>800</v>
      </c>
      <c r="K138" s="218"/>
      <c r="L138" s="218"/>
      <c r="M138" s="219"/>
      <c r="N138" s="220"/>
      <c r="O138" s="220"/>
      <c r="P138" s="221"/>
      <c r="Q138" s="222">
        <v>1480</v>
      </c>
      <c r="R138" s="223"/>
      <c r="S138" s="224">
        <v>201.5</v>
      </c>
      <c r="T138" s="57"/>
      <c r="U138" s="59">
        <v>15</v>
      </c>
      <c r="V138" s="59"/>
      <c r="W138" s="39">
        <f>S138*1000/39.37/Q138*38.5</f>
        <v>133.14002979357312</v>
      </c>
      <c r="X138" s="39"/>
      <c r="Y138" s="40">
        <v>133.58000000000001</v>
      </c>
      <c r="Z138" s="40"/>
      <c r="AA138" s="225"/>
      <c r="AB138" s="226"/>
      <c r="AC138" s="227">
        <v>134.01</v>
      </c>
      <c r="AD138" s="228"/>
    </row>
    <row r="139" spans="1:30" ht="32.25" thickBot="1" x14ac:dyDescent="0.55000000000000004">
      <c r="A139" s="212" t="s">
        <v>72</v>
      </c>
      <c r="B139" s="213" t="s">
        <v>209</v>
      </c>
      <c r="C139" s="213" t="s">
        <v>210</v>
      </c>
      <c r="D139" s="258" t="s">
        <v>237</v>
      </c>
      <c r="E139" s="215">
        <v>69011317</v>
      </c>
      <c r="F139" s="73">
        <v>690133</v>
      </c>
      <c r="G139" s="216"/>
      <c r="H139" s="217"/>
      <c r="I139" s="46">
        <v>800</v>
      </c>
      <c r="J139" s="32">
        <v>800</v>
      </c>
      <c r="K139" s="218"/>
      <c r="L139" s="218"/>
      <c r="M139" s="219"/>
      <c r="N139" s="220"/>
      <c r="O139" s="220"/>
      <c r="P139" s="221"/>
      <c r="Q139" s="222">
        <v>1480</v>
      </c>
      <c r="R139" s="67"/>
      <c r="S139" s="229">
        <v>202.5</v>
      </c>
      <c r="T139" s="57"/>
      <c r="U139" s="58">
        <v>15</v>
      </c>
      <c r="V139" s="59"/>
      <c r="W139" s="39">
        <f>S139*1000/39.37/Q139*38.5</f>
        <v>133.80077435830549</v>
      </c>
      <c r="X139" s="39"/>
      <c r="Y139" s="40"/>
      <c r="Z139" s="40"/>
      <c r="AA139" s="225">
        <v>132.65</v>
      </c>
      <c r="AB139" s="226"/>
      <c r="AC139" s="227">
        <v>131.5</v>
      </c>
      <c r="AD139" s="228"/>
    </row>
    <row r="140" spans="1:30" ht="32.25" thickBot="1" x14ac:dyDescent="0.55000000000000004">
      <c r="A140" s="212" t="s">
        <v>117</v>
      </c>
      <c r="B140" s="213" t="s">
        <v>209</v>
      </c>
      <c r="C140" s="213" t="s">
        <v>210</v>
      </c>
      <c r="D140" s="258" t="s">
        <v>237</v>
      </c>
      <c r="E140" s="215">
        <v>69011310</v>
      </c>
      <c r="F140" s="73">
        <v>690133</v>
      </c>
      <c r="G140" s="216"/>
      <c r="H140" s="217"/>
      <c r="I140" s="46">
        <v>800</v>
      </c>
      <c r="J140" s="32">
        <v>800</v>
      </c>
      <c r="K140" s="218"/>
      <c r="L140" s="218"/>
      <c r="M140" s="219"/>
      <c r="N140" s="220"/>
      <c r="O140" s="220"/>
      <c r="P140" s="221"/>
      <c r="Q140" s="230">
        <v>1500</v>
      </c>
      <c r="R140" s="56"/>
      <c r="S140" s="231">
        <v>201.8</v>
      </c>
      <c r="T140" s="57"/>
      <c r="U140" s="58">
        <v>15</v>
      </c>
      <c r="V140" s="59"/>
      <c r="W140" s="39">
        <f>S140*1000/39.37/Q140*38.5</f>
        <v>131.56040978748626</v>
      </c>
      <c r="X140" s="39"/>
      <c r="Y140" s="40"/>
      <c r="Z140" s="40"/>
      <c r="AA140" s="232">
        <v>131.77000000000001</v>
      </c>
      <c r="AB140" s="226"/>
      <c r="AC140" s="233">
        <v>131.97999999999999</v>
      </c>
      <c r="AD140" s="234"/>
    </row>
    <row r="141" spans="1:30" ht="32.25" thickBot="1" x14ac:dyDescent="0.55000000000000004">
      <c r="A141" s="212" t="s">
        <v>86</v>
      </c>
      <c r="B141" s="213" t="s">
        <v>209</v>
      </c>
      <c r="C141" s="213" t="s">
        <v>210</v>
      </c>
      <c r="D141" s="258" t="s">
        <v>237</v>
      </c>
      <c r="E141" s="215">
        <v>69011320</v>
      </c>
      <c r="F141" s="73">
        <v>690133</v>
      </c>
      <c r="G141" s="216"/>
      <c r="H141" s="217"/>
      <c r="I141" s="46">
        <v>800</v>
      </c>
      <c r="J141" s="32">
        <v>800</v>
      </c>
      <c r="K141" s="218"/>
      <c r="L141" s="218"/>
      <c r="M141" s="219"/>
      <c r="N141" s="220"/>
      <c r="O141" s="220"/>
      <c r="P141" s="221"/>
      <c r="Q141" s="230">
        <v>1630</v>
      </c>
      <c r="R141" s="56"/>
      <c r="S141" s="231">
        <v>222.3</v>
      </c>
      <c r="T141" s="57"/>
      <c r="U141" s="58">
        <v>15</v>
      </c>
      <c r="V141" s="59"/>
      <c r="W141" s="39">
        <f>S141*1000/39.37/Q141*38.5</f>
        <v>133.36662869644758</v>
      </c>
      <c r="X141" s="39"/>
      <c r="Y141" s="40">
        <v>133.03</v>
      </c>
      <c r="Z141" s="40"/>
      <c r="AA141" s="232"/>
      <c r="AB141" s="226"/>
      <c r="AC141" s="233">
        <v>132.68</v>
      </c>
      <c r="AD141" s="234"/>
    </row>
    <row r="142" spans="1:30" ht="32.25" thickBot="1" x14ac:dyDescent="0.55000000000000004">
      <c r="A142" s="212" t="s">
        <v>54</v>
      </c>
      <c r="B142" s="213" t="s">
        <v>209</v>
      </c>
      <c r="C142" s="213" t="s">
        <v>210</v>
      </c>
      <c r="D142" s="258" t="s">
        <v>237</v>
      </c>
      <c r="E142" s="215">
        <v>69011319</v>
      </c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30">
        <v>1500</v>
      </c>
      <c r="R142" s="56"/>
      <c r="S142" s="231">
        <v>198.1</v>
      </c>
      <c r="T142" s="57"/>
      <c r="U142" s="58">
        <v>15</v>
      </c>
      <c r="V142" s="59"/>
      <c r="W142" s="39">
        <f>S142*1000/39.37/Q142*38.5</f>
        <v>129.14825162983658</v>
      </c>
      <c r="X142" s="39"/>
      <c r="Y142" s="40"/>
      <c r="Z142" s="40"/>
      <c r="AA142" s="232">
        <v>129.83000000000001</v>
      </c>
      <c r="AB142" s="226"/>
      <c r="AC142" s="233">
        <v>130.51</v>
      </c>
      <c r="AD142" s="234"/>
    </row>
    <row r="143" spans="1:30" ht="32.25" thickBot="1" x14ac:dyDescent="0.55000000000000004">
      <c r="A143" s="212" t="s">
        <v>40</v>
      </c>
      <c r="B143" s="213" t="s">
        <v>209</v>
      </c>
      <c r="C143" s="213" t="s">
        <v>210</v>
      </c>
      <c r="D143" s="258" t="s">
        <v>237</v>
      </c>
      <c r="E143" s="215"/>
      <c r="F143" s="73">
        <v>690133</v>
      </c>
      <c r="G143" s="216"/>
      <c r="H143" s="217"/>
      <c r="I143" s="46">
        <v>800</v>
      </c>
      <c r="J143" s="32">
        <v>800</v>
      </c>
      <c r="K143" s="218"/>
      <c r="L143" s="218"/>
      <c r="M143" s="219"/>
      <c r="N143" s="220"/>
      <c r="O143" s="220"/>
      <c r="P143" s="221"/>
      <c r="Q143" s="222"/>
      <c r="R143" s="67"/>
      <c r="S143" s="229"/>
      <c r="T143" s="57"/>
      <c r="U143" s="58"/>
      <c r="V143" s="59"/>
      <c r="W143" s="39"/>
      <c r="X143" s="39"/>
      <c r="Y143" s="40"/>
      <c r="Z143" s="40"/>
      <c r="AA143" s="225"/>
      <c r="AB143" s="226"/>
      <c r="AC143" s="227"/>
      <c r="AD143" s="228"/>
    </row>
    <row r="144" spans="1:30" ht="32.25" thickBot="1" x14ac:dyDescent="0.55000000000000004">
      <c r="A144" s="212" t="s">
        <v>125</v>
      </c>
      <c r="B144" s="213" t="s">
        <v>209</v>
      </c>
      <c r="C144" s="213" t="s">
        <v>210</v>
      </c>
      <c r="D144" s="258" t="s">
        <v>237</v>
      </c>
      <c r="E144" s="215"/>
      <c r="F144" s="73">
        <v>690133</v>
      </c>
      <c r="G144" s="216"/>
      <c r="H144" s="217"/>
      <c r="I144" s="46">
        <v>800</v>
      </c>
      <c r="J144" s="32">
        <v>800</v>
      </c>
      <c r="K144" s="218"/>
      <c r="L144" s="218"/>
      <c r="M144" s="219"/>
      <c r="N144" s="220"/>
      <c r="O144" s="220"/>
      <c r="P144" s="221"/>
      <c r="Q144" s="230"/>
      <c r="R144" s="56"/>
      <c r="S144" s="231"/>
      <c r="T144" s="57"/>
      <c r="U144" s="58"/>
      <c r="V144" s="59"/>
      <c r="W144" s="39"/>
      <c r="X144" s="39"/>
      <c r="Y144" s="40"/>
      <c r="Z144" s="40"/>
      <c r="AA144" s="232"/>
      <c r="AB144" s="226"/>
      <c r="AC144" s="233"/>
      <c r="AD144" s="234"/>
    </row>
    <row r="145" spans="1:30" ht="32.25" thickBot="1" x14ac:dyDescent="0.55000000000000004">
      <c r="A145" s="212" t="s">
        <v>86</v>
      </c>
      <c r="B145" s="213" t="s">
        <v>209</v>
      </c>
      <c r="C145" s="213" t="s">
        <v>210</v>
      </c>
      <c r="D145" s="258" t="s">
        <v>237</v>
      </c>
      <c r="E145" s="215"/>
      <c r="F145" s="73">
        <v>690133</v>
      </c>
      <c r="G145" s="216"/>
      <c r="H145" s="217"/>
      <c r="I145" s="46">
        <v>800</v>
      </c>
      <c r="J145" s="32">
        <v>800</v>
      </c>
      <c r="K145" s="218"/>
      <c r="L145" s="218"/>
      <c r="M145" s="219"/>
      <c r="N145" s="220"/>
      <c r="O145" s="220"/>
      <c r="P145" s="221"/>
      <c r="Q145" s="222"/>
      <c r="R145" s="67"/>
      <c r="S145" s="229"/>
      <c r="T145" s="57"/>
      <c r="U145" s="58"/>
      <c r="V145" s="59"/>
      <c r="W145" s="39"/>
      <c r="X145" s="39"/>
      <c r="Y145" s="40"/>
      <c r="Z145" s="40"/>
      <c r="AA145" s="232"/>
      <c r="AB145" s="226"/>
      <c r="AC145" s="233"/>
      <c r="AD145" s="234"/>
    </row>
    <row r="146" spans="1:30" ht="32.25" thickBot="1" x14ac:dyDescent="0.55000000000000004">
      <c r="A146" s="212" t="s">
        <v>74</v>
      </c>
      <c r="B146" s="213" t="s">
        <v>209</v>
      </c>
      <c r="C146" s="213" t="s">
        <v>210</v>
      </c>
      <c r="D146" s="258" t="s">
        <v>237</v>
      </c>
      <c r="E146" s="215"/>
      <c r="F146" s="73">
        <v>690133</v>
      </c>
      <c r="G146" s="216"/>
      <c r="H146" s="217"/>
      <c r="I146" s="46">
        <v>800</v>
      </c>
      <c r="J146" s="32">
        <v>800</v>
      </c>
      <c r="K146" s="218"/>
      <c r="L146" s="218"/>
      <c r="M146" s="219"/>
      <c r="N146" s="220"/>
      <c r="O146" s="220"/>
      <c r="P146" s="221"/>
      <c r="Q146" s="230"/>
      <c r="R146" s="56"/>
      <c r="S146" s="231"/>
      <c r="T146" s="57"/>
      <c r="U146" s="58"/>
      <c r="V146" s="59"/>
      <c r="W146" s="39"/>
      <c r="X146" s="39"/>
      <c r="Y146" s="40"/>
      <c r="Z146" s="40"/>
      <c r="AA146" s="232"/>
      <c r="AB146" s="226"/>
      <c r="AC146" s="233"/>
      <c r="AD146" s="234"/>
    </row>
    <row r="147" spans="1:30" ht="32.25" thickBot="1" x14ac:dyDescent="0.55000000000000004">
      <c r="A147" s="212" t="s">
        <v>102</v>
      </c>
      <c r="B147" s="213" t="s">
        <v>209</v>
      </c>
      <c r="C147" s="213" t="s">
        <v>210</v>
      </c>
      <c r="D147" s="258" t="s">
        <v>211</v>
      </c>
      <c r="E147" s="215"/>
      <c r="F147" s="73">
        <v>690134</v>
      </c>
      <c r="G147" s="216"/>
      <c r="H147" s="217"/>
      <c r="I147" s="46">
        <v>800</v>
      </c>
      <c r="J147" s="32">
        <v>800</v>
      </c>
      <c r="K147" s="218"/>
      <c r="L147" s="218"/>
      <c r="M147" s="219"/>
      <c r="N147" s="220"/>
      <c r="O147" s="220"/>
      <c r="P147" s="221"/>
      <c r="Q147" s="222"/>
      <c r="R147" s="223"/>
      <c r="S147" s="224"/>
      <c r="T147" s="57"/>
      <c r="U147" s="59"/>
      <c r="V147" s="59"/>
      <c r="W147" s="39"/>
      <c r="X147" s="39"/>
      <c r="Y147" s="40"/>
      <c r="Z147" s="40"/>
      <c r="AA147" s="225"/>
      <c r="AB147" s="235"/>
      <c r="AC147" s="233"/>
      <c r="AD147" s="234"/>
    </row>
    <row r="148" spans="1:30" ht="24" thickBot="1" x14ac:dyDescent="0.45">
      <c r="A148" s="333" t="s">
        <v>150</v>
      </c>
      <c r="B148" s="83" t="s">
        <v>25</v>
      </c>
      <c r="C148" s="83" t="s">
        <v>25</v>
      </c>
      <c r="D148" s="84"/>
      <c r="E148" s="85"/>
      <c r="F148" s="84"/>
      <c r="G148" s="236">
        <f>SUM(G134:G134)</f>
        <v>0</v>
      </c>
      <c r="H148" s="236">
        <f>SUM(H134:H134)</f>
        <v>0</v>
      </c>
      <c r="I148" s="87"/>
      <c r="J148" s="87"/>
      <c r="K148" s="87"/>
      <c r="L148" s="88"/>
      <c r="M148" s="335"/>
      <c r="N148" s="336"/>
      <c r="O148" s="336"/>
      <c r="P148" s="337"/>
      <c r="Q148" s="237">
        <f t="shared" ref="Q148:AD148" si="12">SUM(Q138:Q147)</f>
        <v>7590</v>
      </c>
      <c r="R148" s="237">
        <f t="shared" si="12"/>
        <v>0</v>
      </c>
      <c r="S148" s="238">
        <f t="shared" si="12"/>
        <v>1026.1999999999998</v>
      </c>
      <c r="T148" s="238">
        <f t="shared" si="12"/>
        <v>0</v>
      </c>
      <c r="U148" s="237">
        <f t="shared" si="12"/>
        <v>75</v>
      </c>
      <c r="V148" s="237">
        <f t="shared" si="12"/>
        <v>0</v>
      </c>
      <c r="W148" s="238">
        <f t="shared" si="12"/>
        <v>661.01609426564914</v>
      </c>
      <c r="X148" s="238">
        <f t="shared" si="12"/>
        <v>0</v>
      </c>
      <c r="Y148" s="95">
        <f t="shared" si="12"/>
        <v>266.61</v>
      </c>
      <c r="Z148" s="95">
        <f t="shared" si="12"/>
        <v>0</v>
      </c>
      <c r="AA148" s="238">
        <f t="shared" si="12"/>
        <v>394.25</v>
      </c>
      <c r="AB148" s="238">
        <f t="shared" si="12"/>
        <v>0</v>
      </c>
      <c r="AC148" s="98">
        <f t="shared" si="12"/>
        <v>660.68000000000006</v>
      </c>
      <c r="AD148" s="98">
        <f t="shared" si="12"/>
        <v>0</v>
      </c>
    </row>
    <row r="149" spans="1:30" ht="27" thickBot="1" x14ac:dyDescent="0.45">
      <c r="A149" s="334"/>
      <c r="B149" s="83">
        <v>2</v>
      </c>
      <c r="C149" s="83">
        <v>2</v>
      </c>
      <c r="D149" s="84"/>
      <c r="E149" s="84"/>
      <c r="F149" s="84"/>
      <c r="G149" s="99">
        <v>0</v>
      </c>
      <c r="H149" s="100"/>
      <c r="I149" s="99"/>
      <c r="J149" s="100"/>
      <c r="K149" s="341"/>
      <c r="L149" s="342"/>
      <c r="M149" s="338"/>
      <c r="N149" s="339"/>
      <c r="O149" s="339"/>
      <c r="P149" s="340"/>
      <c r="Q149" s="343">
        <f>Q148+R148</f>
        <v>7590</v>
      </c>
      <c r="R149" s="344"/>
      <c r="S149" s="345">
        <f>S148+T148</f>
        <v>1026.1999999999998</v>
      </c>
      <c r="T149" s="346"/>
      <c r="U149" s="347">
        <f>U148+V148</f>
        <v>75</v>
      </c>
      <c r="V149" s="348"/>
      <c r="W149" s="327">
        <f>W148+X148</f>
        <v>661.01609426564914</v>
      </c>
      <c r="X149" s="328"/>
      <c r="Y149" s="329">
        <f>Y148+Z148</f>
        <v>266.61</v>
      </c>
      <c r="Z149" s="330"/>
      <c r="AA149" s="327">
        <f>AA148+AB148</f>
        <v>394.25</v>
      </c>
      <c r="AB149" s="328"/>
      <c r="AC149" s="331">
        <f>AC148+AD148</f>
        <v>660.68000000000006</v>
      </c>
      <c r="AD149" s="332"/>
    </row>
  </sheetData>
  <autoFilter ref="A5:AD112" xr:uid="{3D257094-AFCF-44D4-9CB6-CF8FC9C29795}"/>
  <mergeCells count="104">
    <mergeCell ref="W149:X149"/>
    <mergeCell ref="Y149:Z149"/>
    <mergeCell ref="AA149:AB149"/>
    <mergeCell ref="AC149:AD149"/>
    <mergeCell ref="A148:A149"/>
    <mergeCell ref="M148:P149"/>
    <mergeCell ref="K149:L149"/>
    <mergeCell ref="Q149:R149"/>
    <mergeCell ref="S149:T149"/>
    <mergeCell ref="U149:V149"/>
    <mergeCell ref="S136:T136"/>
    <mergeCell ref="U136:V136"/>
    <mergeCell ref="W136:X136"/>
    <mergeCell ref="AC136:AD136"/>
    <mergeCell ref="O135:P135"/>
    <mergeCell ref="Q135:R135"/>
    <mergeCell ref="S135:T135"/>
    <mergeCell ref="U135:V135"/>
    <mergeCell ref="W135:X135"/>
    <mergeCell ref="Y135:Z136"/>
    <mergeCell ref="U119:V119"/>
    <mergeCell ref="W119:X119"/>
    <mergeCell ref="Y119:Z120"/>
    <mergeCell ref="W133:X133"/>
    <mergeCell ref="Y133:Z133"/>
    <mergeCell ref="AA133:AB133"/>
    <mergeCell ref="AC133:AD133"/>
    <mergeCell ref="A135:A136"/>
    <mergeCell ref="B135:C136"/>
    <mergeCell ref="G135:H136"/>
    <mergeCell ref="I135:J136"/>
    <mergeCell ref="K135:L136"/>
    <mergeCell ref="M135:N135"/>
    <mergeCell ref="A132:A133"/>
    <mergeCell ref="M132:P133"/>
    <mergeCell ref="K133:L133"/>
    <mergeCell ref="Q133:R133"/>
    <mergeCell ref="S133:T133"/>
    <mergeCell ref="U133:V133"/>
    <mergeCell ref="AA135:AB136"/>
    <mergeCell ref="AC135:AD135"/>
    <mergeCell ref="M136:N136"/>
    <mergeCell ref="O136:P136"/>
    <mergeCell ref="Q136:R136"/>
    <mergeCell ref="A119:A120"/>
    <mergeCell ref="B119:C120"/>
    <mergeCell ref="G119:H120"/>
    <mergeCell ref="I119:J120"/>
    <mergeCell ref="K119:L120"/>
    <mergeCell ref="M119:N119"/>
    <mergeCell ref="E90:J90"/>
    <mergeCell ref="M112:Q112"/>
    <mergeCell ref="X112:AD112"/>
    <mergeCell ref="M113:Q113"/>
    <mergeCell ref="X113:AD113"/>
    <mergeCell ref="F114:G114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</mergeCells>
  <dataValidations count="1">
    <dataValidation type="list" allowBlank="1" showInputMessage="1" showErrorMessage="1" sqref="B10:C10 B54:C54" xr:uid="{52621482-6C94-4FBC-83BD-A10D0A9A1C66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3C2C-22B8-4A5E-9C5E-E8725F4ED174}">
  <sheetPr>
    <tabColor rgb="FF00B050"/>
  </sheetPr>
  <dimension ref="A1:AL149"/>
  <sheetViews>
    <sheetView zoomScale="78" zoomScaleNormal="78" zoomScaleSheetLayoutView="70" workbookViewId="0">
      <pane xSplit="4" ySplit="5" topLeftCell="E78" activePane="bottomRight" state="frozen"/>
      <selection activeCell="M107" sqref="M107"/>
      <selection pane="topRight" activeCell="M107" sqref="M107"/>
      <selection pane="bottomLeft" activeCell="M107" sqref="M107"/>
      <selection pane="bottomRight" activeCell="Y141" sqref="Y141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294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296</v>
      </c>
      <c r="E6" s="28">
        <v>69011230</v>
      </c>
      <c r="F6" s="29">
        <v>690126</v>
      </c>
      <c r="G6" s="30">
        <v>1010</v>
      </c>
      <c r="H6" s="31">
        <v>790</v>
      </c>
      <c r="I6" s="32">
        <v>750</v>
      </c>
      <c r="J6" s="32">
        <v>750</v>
      </c>
      <c r="K6" s="33">
        <f>G6*8/100</f>
        <v>80.8</v>
      </c>
      <c r="L6" s="34">
        <f>H6*8/100</f>
        <v>63.2</v>
      </c>
      <c r="M6" s="303">
        <v>998</v>
      </c>
      <c r="N6" s="303">
        <v>1983</v>
      </c>
      <c r="O6" s="303">
        <v>1983</v>
      </c>
      <c r="P6" s="303">
        <v>998</v>
      </c>
      <c r="Q6" s="35">
        <v>2000</v>
      </c>
      <c r="R6" s="35"/>
      <c r="S6" s="36">
        <v>182.9</v>
      </c>
      <c r="T6" s="36"/>
      <c r="U6" s="37">
        <v>20</v>
      </c>
      <c r="V6" s="38"/>
      <c r="W6" s="39">
        <f>S6*1000/39.37/Q6*44.5</f>
        <v>103.36614173228348</v>
      </c>
      <c r="X6" s="39"/>
      <c r="Y6" s="40">
        <v>105.06</v>
      </c>
      <c r="Z6" s="40"/>
      <c r="AA6" s="41"/>
      <c r="AB6" s="42"/>
      <c r="AC6" s="43">
        <v>106.74</v>
      </c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36</v>
      </c>
      <c r="E7" s="28">
        <v>69011217</v>
      </c>
      <c r="F7" s="29">
        <v>690126</v>
      </c>
      <c r="G7" s="45">
        <v>921</v>
      </c>
      <c r="H7" s="31">
        <v>823</v>
      </c>
      <c r="I7" s="46">
        <v>750</v>
      </c>
      <c r="J7" s="32">
        <v>750</v>
      </c>
      <c r="K7" s="33">
        <f t="shared" ref="K7:L38" si="0">G7*8/100</f>
        <v>73.680000000000007</v>
      </c>
      <c r="L7" s="47">
        <f t="shared" si="0"/>
        <v>65.84</v>
      </c>
      <c r="M7" s="303">
        <v>916</v>
      </c>
      <c r="N7" s="303">
        <v>1623</v>
      </c>
      <c r="O7" s="303">
        <v>1623</v>
      </c>
      <c r="P7" s="303">
        <v>553</v>
      </c>
      <c r="Q7" s="35">
        <v>1710</v>
      </c>
      <c r="R7" s="48"/>
      <c r="S7" s="36">
        <v>164.1</v>
      </c>
      <c r="T7" s="36"/>
      <c r="U7" s="37"/>
      <c r="V7" s="38"/>
      <c r="W7" s="39">
        <f>S7*1000/39.37/Q7*44.5</f>
        <v>108.46935728959178</v>
      </c>
      <c r="X7" s="39"/>
      <c r="Y7" s="40">
        <v>109.81</v>
      </c>
      <c r="Z7" s="40"/>
      <c r="AA7" s="41"/>
      <c r="AB7" s="42"/>
      <c r="AC7" s="43">
        <v>111.14</v>
      </c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69011211</v>
      </c>
      <c r="F8" s="29">
        <v>690111</v>
      </c>
      <c r="G8" s="45">
        <v>918</v>
      </c>
      <c r="H8" s="31">
        <v>916</v>
      </c>
      <c r="I8" s="46">
        <v>750</v>
      </c>
      <c r="J8" s="32">
        <v>750</v>
      </c>
      <c r="K8" s="33">
        <f t="shared" si="0"/>
        <v>73.44</v>
      </c>
      <c r="L8" s="47">
        <f t="shared" si="0"/>
        <v>73.28</v>
      </c>
      <c r="M8" s="303">
        <v>283</v>
      </c>
      <c r="N8" s="303">
        <v>679</v>
      </c>
      <c r="O8" s="303">
        <v>679</v>
      </c>
      <c r="P8" s="303">
        <v>1499</v>
      </c>
      <c r="Q8" s="35">
        <v>2500</v>
      </c>
      <c r="R8" s="48"/>
      <c r="S8" s="36">
        <v>167.9</v>
      </c>
      <c r="T8" s="36"/>
      <c r="U8" s="37">
        <v>25</v>
      </c>
      <c r="V8" s="38"/>
      <c r="W8" s="39">
        <f>S8*1000/39.37/Q8*38.5</f>
        <v>65.675895351790714</v>
      </c>
      <c r="X8" s="39"/>
      <c r="Y8" s="40">
        <v>65.8</v>
      </c>
      <c r="Z8" s="40"/>
      <c r="AA8" s="41"/>
      <c r="AB8" s="42"/>
      <c r="AC8" s="43">
        <v>65.91</v>
      </c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/>
      <c r="F9" s="29">
        <v>690109</v>
      </c>
      <c r="G9" s="45">
        <v>896</v>
      </c>
      <c r="H9" s="31">
        <v>1044</v>
      </c>
      <c r="I9" s="46">
        <v>110</v>
      </c>
      <c r="J9" s="32">
        <v>110</v>
      </c>
      <c r="K9" s="33">
        <f t="shared" si="0"/>
        <v>71.680000000000007</v>
      </c>
      <c r="L9" s="47">
        <f t="shared" si="0"/>
        <v>83.52</v>
      </c>
      <c r="M9" s="303">
        <v>1450</v>
      </c>
      <c r="N9" s="303">
        <v>1579</v>
      </c>
      <c r="O9" s="303">
        <v>1579</v>
      </c>
      <c r="P9" s="303">
        <v>1943</v>
      </c>
      <c r="Q9" s="35"/>
      <c r="R9" s="48"/>
      <c r="S9" s="36"/>
      <c r="T9" s="36"/>
      <c r="U9" s="37"/>
      <c r="V9" s="38"/>
      <c r="W9" s="39"/>
      <c r="X9" s="39"/>
      <c r="Y9" s="40"/>
      <c r="Z9" s="40"/>
      <c r="AA9" s="41"/>
      <c r="AB9" s="42"/>
      <c r="AC9" s="43"/>
      <c r="AD9" s="43"/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47</v>
      </c>
      <c r="E10" s="28"/>
      <c r="F10" s="29">
        <v>690119</v>
      </c>
      <c r="G10" s="51">
        <v>905</v>
      </c>
      <c r="H10" s="31">
        <v>900</v>
      </c>
      <c r="I10" s="46">
        <v>110</v>
      </c>
      <c r="J10" s="32">
        <v>110</v>
      </c>
      <c r="K10" s="33">
        <f t="shared" si="0"/>
        <v>72.400000000000006</v>
      </c>
      <c r="L10" s="47">
        <f t="shared" si="0"/>
        <v>72</v>
      </c>
      <c r="M10" s="303">
        <v>1000</v>
      </c>
      <c r="N10" s="303">
        <v>1000</v>
      </c>
      <c r="O10" s="303">
        <v>1000</v>
      </c>
      <c r="P10" s="303">
        <v>1495</v>
      </c>
      <c r="Q10" s="35"/>
      <c r="R10" s="48"/>
      <c r="S10" s="36"/>
      <c r="T10" s="36"/>
      <c r="U10" s="37"/>
      <c r="V10" s="38"/>
      <c r="W10" s="39"/>
      <c r="X10" s="39"/>
      <c r="Y10" s="40"/>
      <c r="Z10" s="40"/>
      <c r="AA10" s="41"/>
      <c r="AB10" s="42"/>
      <c r="AC10" s="43"/>
      <c r="AD10" s="43"/>
      <c r="AE10" s="260" t="s">
        <v>287</v>
      </c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36</v>
      </c>
      <c r="E11" s="28"/>
      <c r="F11" s="29">
        <v>690126</v>
      </c>
      <c r="G11" s="45">
        <v>458</v>
      </c>
      <c r="H11" s="31">
        <v>0</v>
      </c>
      <c r="I11" s="46">
        <v>800</v>
      </c>
      <c r="J11" s="32">
        <v>800</v>
      </c>
      <c r="K11" s="33">
        <f t="shared" si="0"/>
        <v>36.64</v>
      </c>
      <c r="L11" s="47">
        <f>H11*8/100</f>
        <v>0</v>
      </c>
      <c r="M11" s="304">
        <v>718</v>
      </c>
      <c r="N11" s="304">
        <v>886</v>
      </c>
      <c r="O11" s="304">
        <v>886</v>
      </c>
      <c r="P11" s="304">
        <v>1243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285</v>
      </c>
      <c r="E12" s="28"/>
      <c r="F12" s="29">
        <v>690143</v>
      </c>
      <c r="G12" s="45">
        <v>204</v>
      </c>
      <c r="H12" s="31">
        <v>0</v>
      </c>
      <c r="I12" s="46">
        <v>800</v>
      </c>
      <c r="J12" s="32">
        <v>800</v>
      </c>
      <c r="K12" s="33">
        <f t="shared" si="0"/>
        <v>16.32</v>
      </c>
      <c r="L12" s="47">
        <f t="shared" si="0"/>
        <v>0</v>
      </c>
      <c r="M12" s="303">
        <v>936</v>
      </c>
      <c r="N12" s="303">
        <v>1114</v>
      </c>
      <c r="O12" s="303">
        <v>1114</v>
      </c>
      <c r="P12" s="303">
        <v>1614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285</v>
      </c>
      <c r="E13" s="28">
        <v>69011214</v>
      </c>
      <c r="F13" s="29">
        <v>690143</v>
      </c>
      <c r="G13" s="45">
        <v>210</v>
      </c>
      <c r="H13" s="31">
        <v>0</v>
      </c>
      <c r="I13" s="46">
        <v>800</v>
      </c>
      <c r="J13" s="32">
        <v>800</v>
      </c>
      <c r="K13" s="33">
        <f t="shared" si="0"/>
        <v>16.8</v>
      </c>
      <c r="L13" s="47">
        <f t="shared" si="0"/>
        <v>0</v>
      </c>
      <c r="M13" s="303">
        <v>1919</v>
      </c>
      <c r="N13" s="303">
        <v>153</v>
      </c>
      <c r="O13" s="303">
        <v>153</v>
      </c>
      <c r="P13" s="303">
        <v>629</v>
      </c>
      <c r="Q13" s="35">
        <v>1927</v>
      </c>
      <c r="R13" s="48"/>
      <c r="S13" s="36">
        <v>147.5</v>
      </c>
      <c r="T13" s="36"/>
      <c r="U13" s="37"/>
      <c r="V13" s="38"/>
      <c r="W13" s="39">
        <f>S13*1000/39.37/Q13*35.5</f>
        <v>69.019728075782055</v>
      </c>
      <c r="X13" s="39"/>
      <c r="Y13" s="40"/>
      <c r="Z13" s="40"/>
      <c r="AA13" s="41">
        <v>68.680000000000007</v>
      </c>
      <c r="AB13" s="42"/>
      <c r="AC13" s="43">
        <v>68.34</v>
      </c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405</v>
      </c>
      <c r="H14" s="31">
        <v>634</v>
      </c>
      <c r="I14" s="46">
        <v>800</v>
      </c>
      <c r="J14" s="32">
        <v>800</v>
      </c>
      <c r="K14" s="33">
        <f t="shared" si="0"/>
        <v>32.4</v>
      </c>
      <c r="L14" s="47">
        <f t="shared" si="0"/>
        <v>50.72</v>
      </c>
      <c r="M14" s="303">
        <v>1417</v>
      </c>
      <c r="N14" s="303">
        <v>97</v>
      </c>
      <c r="O14" s="303">
        <v>97</v>
      </c>
      <c r="P14" s="303">
        <v>529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47</v>
      </c>
      <c r="E15" s="28"/>
      <c r="F15" s="29">
        <v>690119</v>
      </c>
      <c r="G15" s="55">
        <v>0</v>
      </c>
      <c r="H15" s="31">
        <v>0</v>
      </c>
      <c r="I15" s="46">
        <v>800</v>
      </c>
      <c r="J15" s="32">
        <v>800</v>
      </c>
      <c r="K15" s="33">
        <f t="shared" si="0"/>
        <v>0</v>
      </c>
      <c r="L15" s="47">
        <f t="shared" si="0"/>
        <v>0</v>
      </c>
      <c r="M15" s="303">
        <v>0</v>
      </c>
      <c r="N15" s="303">
        <v>243</v>
      </c>
      <c r="O15" s="303">
        <v>243</v>
      </c>
      <c r="P15" s="303">
        <v>479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/>
      <c r="F16" s="29">
        <v>690106</v>
      </c>
      <c r="G16" s="55">
        <v>1000</v>
      </c>
      <c r="H16" s="31">
        <v>432</v>
      </c>
      <c r="I16" s="46">
        <v>800</v>
      </c>
      <c r="J16" s="32">
        <v>800</v>
      </c>
      <c r="K16" s="33">
        <f t="shared" si="0"/>
        <v>80</v>
      </c>
      <c r="L16" s="47">
        <f t="shared" si="0"/>
        <v>34.56</v>
      </c>
      <c r="M16" s="303">
        <v>788</v>
      </c>
      <c r="N16" s="303">
        <v>1083</v>
      </c>
      <c r="O16" s="303">
        <v>1083</v>
      </c>
      <c r="P16" s="303">
        <v>1502</v>
      </c>
      <c r="Q16" s="35"/>
      <c r="R16" s="48"/>
      <c r="S16" s="36"/>
      <c r="T16" s="36"/>
      <c r="U16" s="37"/>
      <c r="V16" s="38"/>
      <c r="W16" s="39"/>
      <c r="X16" s="39"/>
      <c r="Y16" s="40"/>
      <c r="Z16" s="40"/>
      <c r="AA16" s="41"/>
      <c r="AB16" s="42"/>
      <c r="AC16" s="43"/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>
        <v>69011233</v>
      </c>
      <c r="F17" s="29">
        <v>690106</v>
      </c>
      <c r="G17" s="55">
        <v>945</v>
      </c>
      <c r="H17" s="31">
        <v>902</v>
      </c>
      <c r="I17" s="46">
        <v>800</v>
      </c>
      <c r="J17" s="32">
        <v>800</v>
      </c>
      <c r="K17" s="33">
        <f t="shared" si="0"/>
        <v>75.599999999999994</v>
      </c>
      <c r="L17" s="47">
        <f t="shared" si="0"/>
        <v>72.16</v>
      </c>
      <c r="M17" s="303">
        <v>919</v>
      </c>
      <c r="N17" s="303">
        <v>0</v>
      </c>
      <c r="O17" s="303">
        <v>0</v>
      </c>
      <c r="P17" s="303">
        <v>475</v>
      </c>
      <c r="Q17" s="35"/>
      <c r="R17" s="48">
        <v>919</v>
      </c>
      <c r="S17" s="36"/>
      <c r="T17" s="36">
        <v>70.5</v>
      </c>
      <c r="U17" s="37"/>
      <c r="V17" s="38"/>
      <c r="W17" s="39"/>
      <c r="X17" s="39">
        <f>T17*1000/39.37/R17*38.5</f>
        <v>75.018593998014993</v>
      </c>
      <c r="Y17" s="40"/>
      <c r="Z17" s="40">
        <v>76.05</v>
      </c>
      <c r="AA17" s="41"/>
      <c r="AB17" s="42"/>
      <c r="AC17" s="43"/>
      <c r="AD17" s="43">
        <v>77.069999999999993</v>
      </c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>
        <v>69011232</v>
      </c>
      <c r="F18" s="29">
        <v>690106</v>
      </c>
      <c r="G18" s="55">
        <v>915</v>
      </c>
      <c r="H18" s="31">
        <v>849</v>
      </c>
      <c r="I18" s="46">
        <v>800</v>
      </c>
      <c r="J18" s="32">
        <v>800</v>
      </c>
      <c r="K18" s="33">
        <f t="shared" si="0"/>
        <v>73.2</v>
      </c>
      <c r="L18" s="47">
        <f t="shared" si="0"/>
        <v>67.92</v>
      </c>
      <c r="M18" s="303">
        <v>1428</v>
      </c>
      <c r="N18" s="303">
        <v>0</v>
      </c>
      <c r="O18" s="303">
        <v>0</v>
      </c>
      <c r="P18" s="303">
        <v>458</v>
      </c>
      <c r="Q18" s="35"/>
      <c r="R18" s="48">
        <v>1420</v>
      </c>
      <c r="S18" s="36"/>
      <c r="T18" s="36">
        <v>110.9</v>
      </c>
      <c r="U18" s="37"/>
      <c r="V18" s="38"/>
      <c r="W18" s="39"/>
      <c r="X18" s="39">
        <f>T18*1000/39.37/R18*38.5</f>
        <v>76.372765421587189</v>
      </c>
      <c r="Y18" s="40"/>
      <c r="Z18" s="40">
        <v>76.489999999999995</v>
      </c>
      <c r="AA18" s="41"/>
      <c r="AB18" s="42"/>
      <c r="AC18" s="43"/>
      <c r="AD18" s="43">
        <v>76.61</v>
      </c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59</v>
      </c>
      <c r="E19" s="28">
        <v>69011218</v>
      </c>
      <c r="F19" s="29">
        <v>690112</v>
      </c>
      <c r="G19" s="45">
        <v>930</v>
      </c>
      <c r="H19" s="31">
        <v>954</v>
      </c>
      <c r="I19" s="46">
        <v>750</v>
      </c>
      <c r="J19" s="32">
        <v>750</v>
      </c>
      <c r="K19" s="33">
        <f t="shared" si="0"/>
        <v>74.400000000000006</v>
      </c>
      <c r="L19" s="47">
        <f t="shared" si="0"/>
        <v>76.319999999999993</v>
      </c>
      <c r="M19" s="303">
        <v>508</v>
      </c>
      <c r="N19" s="303">
        <v>1277</v>
      </c>
      <c r="O19" s="303">
        <v>1277</v>
      </c>
      <c r="P19" s="303">
        <v>287</v>
      </c>
      <c r="Q19" s="35">
        <v>2000</v>
      </c>
      <c r="R19" s="48"/>
      <c r="S19" s="36">
        <v>155</v>
      </c>
      <c r="T19" s="36"/>
      <c r="U19" s="37"/>
      <c r="V19" s="38"/>
      <c r="W19" s="39">
        <f>S19*1000/39.37/Q19*38.5</f>
        <v>75.787401574803155</v>
      </c>
      <c r="X19" s="39"/>
      <c r="Y19" s="40">
        <v>76.95</v>
      </c>
      <c r="Z19" s="40"/>
      <c r="AA19" s="41"/>
      <c r="AB19" s="42"/>
      <c r="AC19" s="43">
        <v>78.099999999999994</v>
      </c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47</v>
      </c>
      <c r="E20" s="28">
        <v>69011225</v>
      </c>
      <c r="F20" s="29">
        <v>690119</v>
      </c>
      <c r="G20" s="45">
        <v>800</v>
      </c>
      <c r="H20" s="31">
        <v>768</v>
      </c>
      <c r="I20" s="46">
        <v>750</v>
      </c>
      <c r="J20" s="32">
        <v>750</v>
      </c>
      <c r="K20" s="33">
        <f t="shared" si="0"/>
        <v>64</v>
      </c>
      <c r="L20" s="47">
        <f t="shared" si="0"/>
        <v>61.44</v>
      </c>
      <c r="M20" s="303">
        <v>790</v>
      </c>
      <c r="N20" s="303">
        <v>1640</v>
      </c>
      <c r="O20" s="303">
        <v>1640</v>
      </c>
      <c r="P20" s="303">
        <v>640</v>
      </c>
      <c r="Q20" s="35">
        <v>2500</v>
      </c>
      <c r="R20" s="48"/>
      <c r="S20" s="36">
        <v>209.7</v>
      </c>
      <c r="T20" s="36"/>
      <c r="U20" s="37">
        <v>25</v>
      </c>
      <c r="V20" s="38"/>
      <c r="W20" s="39">
        <f>S20*1000/39.37/Q20*38.5</f>
        <v>82.026416052832118</v>
      </c>
      <c r="X20" s="39"/>
      <c r="Y20" s="40">
        <v>82.32</v>
      </c>
      <c r="Z20" s="40"/>
      <c r="AA20" s="41"/>
      <c r="AB20" s="42"/>
      <c r="AC20" s="43">
        <v>82.61</v>
      </c>
      <c r="AD20" s="43"/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146</v>
      </c>
      <c r="E21" s="28">
        <v>69011210</v>
      </c>
      <c r="F21" s="29">
        <v>690119</v>
      </c>
      <c r="G21" s="45">
        <v>904</v>
      </c>
      <c r="H21" s="31">
        <v>910</v>
      </c>
      <c r="I21" s="46">
        <v>750</v>
      </c>
      <c r="J21" s="32">
        <v>750</v>
      </c>
      <c r="K21" s="33">
        <f t="shared" si="0"/>
        <v>72.319999999999993</v>
      </c>
      <c r="L21" s="47">
        <f t="shared" si="0"/>
        <v>72.8</v>
      </c>
      <c r="M21" s="303">
        <v>752</v>
      </c>
      <c r="N21" s="303">
        <v>1716</v>
      </c>
      <c r="O21" s="303">
        <v>1716</v>
      </c>
      <c r="P21" s="303">
        <v>846</v>
      </c>
      <c r="Q21" s="35">
        <v>2000</v>
      </c>
      <c r="R21" s="48"/>
      <c r="S21" s="36">
        <v>150.5</v>
      </c>
      <c r="T21" s="36"/>
      <c r="U21" s="37"/>
      <c r="V21" s="38"/>
      <c r="W21" s="39">
        <f>S21*1000/39.37/Q21*38.5</f>
        <v>73.587122174244357</v>
      </c>
      <c r="X21" s="39"/>
      <c r="Y21" s="40">
        <v>74.239999999999995</v>
      </c>
      <c r="Z21" s="40"/>
      <c r="AA21" s="41"/>
      <c r="AB21" s="42"/>
      <c r="AC21" s="43">
        <v>74.88</v>
      </c>
      <c r="AD21" s="43"/>
    </row>
    <row r="22" spans="1:35" ht="26.25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>
        <v>69011216</v>
      </c>
      <c r="F22" s="29">
        <v>690112</v>
      </c>
      <c r="G22" s="45">
        <v>1012</v>
      </c>
      <c r="H22" s="31">
        <v>1257</v>
      </c>
      <c r="I22" s="46">
        <v>750</v>
      </c>
      <c r="J22" s="32">
        <v>750</v>
      </c>
      <c r="K22" s="33">
        <f t="shared" si="0"/>
        <v>80.959999999999994</v>
      </c>
      <c r="L22" s="47">
        <f t="shared" si="0"/>
        <v>100.56</v>
      </c>
      <c r="M22" s="305">
        <v>866</v>
      </c>
      <c r="N22" s="303">
        <v>1119</v>
      </c>
      <c r="O22" s="303">
        <v>1119</v>
      </c>
      <c r="P22" s="305">
        <v>1783</v>
      </c>
      <c r="Q22" s="35">
        <v>1453</v>
      </c>
      <c r="R22" s="48"/>
      <c r="S22" s="36">
        <v>114.3</v>
      </c>
      <c r="T22" s="36"/>
      <c r="U22" s="37"/>
      <c r="V22" s="38"/>
      <c r="W22" s="39">
        <f>S22*1000/39.37/Q22*38.5</f>
        <v>76.926492462757807</v>
      </c>
      <c r="X22" s="39"/>
      <c r="Y22" s="40">
        <v>78.33</v>
      </c>
      <c r="Z22" s="40"/>
      <c r="AA22" s="41"/>
      <c r="AB22" s="42"/>
      <c r="AC22" s="43">
        <v>79.73</v>
      </c>
      <c r="AD22" s="43"/>
    </row>
    <row r="23" spans="1:35" ht="24" customHeight="1" x14ac:dyDescent="0.4">
      <c r="A23" s="249" t="s">
        <v>70</v>
      </c>
      <c r="B23" s="246" t="s">
        <v>42</v>
      </c>
      <c r="C23" s="253" t="s">
        <v>41</v>
      </c>
      <c r="D23" s="256" t="s">
        <v>57</v>
      </c>
      <c r="E23" s="28">
        <v>69011229</v>
      </c>
      <c r="F23" s="29">
        <v>690104</v>
      </c>
      <c r="G23" s="45">
        <v>601</v>
      </c>
      <c r="H23" s="31">
        <v>1035</v>
      </c>
      <c r="I23" s="46">
        <v>750</v>
      </c>
      <c r="J23" s="32">
        <v>750</v>
      </c>
      <c r="K23" s="33">
        <f t="shared" si="0"/>
        <v>48.08</v>
      </c>
      <c r="L23" s="47">
        <f t="shared" si="0"/>
        <v>82.8</v>
      </c>
      <c r="M23" s="303">
        <v>220</v>
      </c>
      <c r="N23" s="303">
        <v>294</v>
      </c>
      <c r="O23" s="303">
        <v>294</v>
      </c>
      <c r="P23" s="303">
        <v>883</v>
      </c>
      <c r="Q23" s="35">
        <v>2500</v>
      </c>
      <c r="R23" s="48"/>
      <c r="S23" s="36">
        <v>197.3</v>
      </c>
      <c r="T23" s="36"/>
      <c r="U23" s="37">
        <v>25</v>
      </c>
      <c r="V23" s="38"/>
      <c r="W23" s="39">
        <f>S23*1000/39.37/Q23*31.5</f>
        <v>63.144018288036584</v>
      </c>
      <c r="X23" s="39"/>
      <c r="Y23" s="40">
        <v>64.930000000000007</v>
      </c>
      <c r="Z23" s="40"/>
      <c r="AA23" s="41"/>
      <c r="AB23" s="42"/>
      <c r="AC23" s="43">
        <v>66.709999999999994</v>
      </c>
      <c r="AD23" s="43"/>
    </row>
    <row r="24" spans="1:35" ht="24" customHeight="1" x14ac:dyDescent="0.5">
      <c r="A24" s="249" t="s">
        <v>72</v>
      </c>
      <c r="B24" s="246" t="s">
        <v>42</v>
      </c>
      <c r="C24" s="253" t="s">
        <v>41</v>
      </c>
      <c r="D24" s="258" t="s">
        <v>237</v>
      </c>
      <c r="E24" s="28"/>
      <c r="F24" s="29">
        <v>690133</v>
      </c>
      <c r="G24" s="45">
        <v>722</v>
      </c>
      <c r="H24" s="31">
        <v>1025</v>
      </c>
      <c r="I24" s="46">
        <v>750</v>
      </c>
      <c r="J24" s="32">
        <v>750</v>
      </c>
      <c r="K24" s="33">
        <f t="shared" si="0"/>
        <v>57.76</v>
      </c>
      <c r="L24" s="47">
        <f t="shared" si="0"/>
        <v>82</v>
      </c>
      <c r="M24" s="303">
        <v>1441</v>
      </c>
      <c r="N24" s="303">
        <v>1500</v>
      </c>
      <c r="O24" s="303">
        <v>1500</v>
      </c>
      <c r="P24" s="303">
        <v>76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241</v>
      </c>
      <c r="E25" s="259"/>
      <c r="F25" s="29">
        <v>690126</v>
      </c>
      <c r="G25" s="45">
        <v>778</v>
      </c>
      <c r="H25" s="31">
        <v>1076</v>
      </c>
      <c r="I25" s="46">
        <v>750</v>
      </c>
      <c r="J25" s="32">
        <v>750</v>
      </c>
      <c r="K25" s="33">
        <f t="shared" si="0"/>
        <v>62.24</v>
      </c>
      <c r="L25" s="47">
        <f t="shared" si="0"/>
        <v>86.08</v>
      </c>
      <c r="M25" s="306">
        <v>1796</v>
      </c>
      <c r="N25" s="303">
        <v>0</v>
      </c>
      <c r="O25" s="303">
        <v>0</v>
      </c>
      <c r="P25" s="306">
        <v>401</v>
      </c>
      <c r="Q25" s="35"/>
      <c r="R25" s="48"/>
      <c r="S25" s="36"/>
      <c r="T25" s="36"/>
      <c r="U25" s="37"/>
      <c r="V25" s="38"/>
      <c r="W25" s="39"/>
      <c r="X25" s="39"/>
      <c r="Y25" s="40"/>
      <c r="Z25" s="40"/>
      <c r="AA25" s="41"/>
      <c r="AB25" s="42"/>
      <c r="AC25" s="239"/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47</v>
      </c>
      <c r="E26" s="28"/>
      <c r="F26" s="29">
        <v>690119</v>
      </c>
      <c r="G26" s="55">
        <v>1102</v>
      </c>
      <c r="H26" s="31">
        <v>811</v>
      </c>
      <c r="I26" s="46">
        <v>800</v>
      </c>
      <c r="J26" s="32">
        <v>800</v>
      </c>
      <c r="K26" s="33">
        <f t="shared" si="0"/>
        <v>88.16</v>
      </c>
      <c r="L26" s="47">
        <f t="shared" si="0"/>
        <v>64.88</v>
      </c>
      <c r="M26" s="303">
        <v>1062</v>
      </c>
      <c r="N26" s="303">
        <v>119</v>
      </c>
      <c r="O26" s="303">
        <v>119</v>
      </c>
      <c r="P26" s="303">
        <v>917</v>
      </c>
      <c r="Q26" s="35"/>
      <c r="R26" s="35"/>
      <c r="S26" s="36"/>
      <c r="T26" s="36"/>
      <c r="U26" s="37"/>
      <c r="V26" s="38"/>
      <c r="W26" s="39"/>
      <c r="X26" s="39"/>
      <c r="Y26" s="40"/>
      <c r="Z26" s="40"/>
      <c r="AA26" s="41"/>
      <c r="AB26" s="42"/>
      <c r="AC26" s="43"/>
      <c r="AD26" s="43"/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59</v>
      </c>
      <c r="E27" s="28">
        <v>69011231</v>
      </c>
      <c r="F27" s="29">
        <v>690112</v>
      </c>
      <c r="G27" s="55">
        <v>1300</v>
      </c>
      <c r="H27" s="31">
        <v>863</v>
      </c>
      <c r="I27" s="46">
        <v>800</v>
      </c>
      <c r="J27" s="32">
        <v>800</v>
      </c>
      <c r="K27" s="33">
        <f t="shared" si="0"/>
        <v>104</v>
      </c>
      <c r="L27" s="47">
        <f t="shared" si="0"/>
        <v>69.040000000000006</v>
      </c>
      <c r="M27" s="303">
        <v>1902</v>
      </c>
      <c r="N27" s="303">
        <v>354</v>
      </c>
      <c r="O27" s="303">
        <v>354</v>
      </c>
      <c r="P27" s="303">
        <v>1002</v>
      </c>
      <c r="Q27" s="35"/>
      <c r="R27" s="35">
        <v>1970</v>
      </c>
      <c r="S27" s="57"/>
      <c r="T27" s="57">
        <v>152.30000000000001</v>
      </c>
      <c r="U27" s="58"/>
      <c r="V27" s="59"/>
      <c r="W27" s="39"/>
      <c r="X27" s="39">
        <f>T27*1000/39.37/R27*38.5</f>
        <v>75.601252725348104</v>
      </c>
      <c r="Y27" s="40"/>
      <c r="Z27" s="40">
        <v>76.16</v>
      </c>
      <c r="AA27" s="41"/>
      <c r="AB27" s="42"/>
      <c r="AC27" s="43"/>
      <c r="AD27" s="43">
        <v>76.709999999999994</v>
      </c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61</v>
      </c>
      <c r="E28" s="259">
        <v>69011215</v>
      </c>
      <c r="F28" s="29">
        <v>690112</v>
      </c>
      <c r="G28" s="45">
        <v>1329</v>
      </c>
      <c r="H28" s="31">
        <v>886</v>
      </c>
      <c r="I28" s="46">
        <v>800</v>
      </c>
      <c r="J28" s="32">
        <v>800</v>
      </c>
      <c r="K28" s="33">
        <f t="shared" si="0"/>
        <v>106.32</v>
      </c>
      <c r="L28" s="47">
        <f t="shared" si="0"/>
        <v>70.88</v>
      </c>
      <c r="M28" s="303">
        <v>221</v>
      </c>
      <c r="N28" s="303">
        <v>573</v>
      </c>
      <c r="O28" s="303">
        <v>573</v>
      </c>
      <c r="P28" s="303">
        <v>1304</v>
      </c>
      <c r="Q28" s="35">
        <v>2000</v>
      </c>
      <c r="R28" s="48"/>
      <c r="S28" s="36">
        <v>157.6</v>
      </c>
      <c r="T28" s="36"/>
      <c r="U28" s="37"/>
      <c r="V28" s="38"/>
      <c r="W28" s="39">
        <f>S28*1000/39.37/Q28*38.5</f>
        <v>77.058674117348232</v>
      </c>
      <c r="X28" s="39"/>
      <c r="Y28" s="40">
        <v>77.97</v>
      </c>
      <c r="Z28" s="40"/>
      <c r="AA28" s="41"/>
      <c r="AB28" s="42"/>
      <c r="AC28" s="43">
        <v>78.87</v>
      </c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47</v>
      </c>
      <c r="E29" s="28">
        <v>69011221</v>
      </c>
      <c r="F29" s="29">
        <v>690119</v>
      </c>
      <c r="G29" s="45">
        <v>1239</v>
      </c>
      <c r="H29" s="31">
        <v>725</v>
      </c>
      <c r="I29" s="46">
        <v>800</v>
      </c>
      <c r="J29" s="32">
        <v>800</v>
      </c>
      <c r="K29" s="33">
        <f t="shared" si="0"/>
        <v>99.12</v>
      </c>
      <c r="L29" s="47">
        <f t="shared" si="0"/>
        <v>58</v>
      </c>
      <c r="M29" s="303">
        <v>324</v>
      </c>
      <c r="N29" s="303">
        <v>733</v>
      </c>
      <c r="O29" s="303">
        <v>733</v>
      </c>
      <c r="P29" s="303">
        <v>1176</v>
      </c>
      <c r="Q29" s="35">
        <v>602</v>
      </c>
      <c r="R29" s="48"/>
      <c r="S29" s="36">
        <v>51.8</v>
      </c>
      <c r="T29" s="36"/>
      <c r="U29" s="37"/>
      <c r="V29" s="38"/>
      <c r="W29" s="39">
        <f>S29*1000/39.37/Q29*38.5</f>
        <v>84.145052011034267</v>
      </c>
      <c r="X29" s="39"/>
      <c r="Y29" s="40">
        <v>84.69</v>
      </c>
      <c r="Z29" s="40"/>
      <c r="AA29" s="41"/>
      <c r="AB29" s="42"/>
      <c r="AC29" s="43">
        <v>85.22</v>
      </c>
      <c r="AD29" s="43"/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47</v>
      </c>
      <c r="E30" s="28">
        <v>69011220</v>
      </c>
      <c r="F30" s="29">
        <v>690108</v>
      </c>
      <c r="G30" s="45">
        <v>860</v>
      </c>
      <c r="H30" s="31">
        <v>633</v>
      </c>
      <c r="I30" s="46">
        <v>800</v>
      </c>
      <c r="J30" s="32">
        <v>800</v>
      </c>
      <c r="K30" s="33">
        <f t="shared" si="0"/>
        <v>68.8</v>
      </c>
      <c r="L30" s="47">
        <f t="shared" si="0"/>
        <v>50.64</v>
      </c>
      <c r="M30" s="303">
        <v>107</v>
      </c>
      <c r="N30" s="303">
        <v>565</v>
      </c>
      <c r="O30" s="303">
        <v>565</v>
      </c>
      <c r="P30" s="303">
        <v>742</v>
      </c>
      <c r="Q30" s="35">
        <v>2513</v>
      </c>
      <c r="R30" s="35"/>
      <c r="S30" s="36">
        <v>210.7</v>
      </c>
      <c r="T30" s="36"/>
      <c r="U30" s="37">
        <v>25</v>
      </c>
      <c r="V30" s="38"/>
      <c r="W30" s="39">
        <f>S30*1000/39.37/Q30*38.5</f>
        <v>81.991222478266693</v>
      </c>
      <c r="X30" s="39"/>
      <c r="Y30" s="40">
        <v>83.09</v>
      </c>
      <c r="Z30" s="40"/>
      <c r="AA30" s="41"/>
      <c r="AB30" s="42"/>
      <c r="AC30" s="43">
        <v>84.18</v>
      </c>
      <c r="AD30" s="43"/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03">
        <v>0</v>
      </c>
      <c r="N31" s="303">
        <v>0</v>
      </c>
      <c r="O31" s="303">
        <v>0</v>
      </c>
      <c r="P31" s="303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60</v>
      </c>
      <c r="H32" s="31">
        <v>0</v>
      </c>
      <c r="I32" s="46">
        <v>100</v>
      </c>
      <c r="J32" s="32">
        <v>100</v>
      </c>
      <c r="K32" s="33">
        <f t="shared" si="0"/>
        <v>4.8</v>
      </c>
      <c r="L32" s="47">
        <f t="shared" si="0"/>
        <v>0</v>
      </c>
      <c r="M32" s="303">
        <v>0</v>
      </c>
      <c r="N32" s="303">
        <v>0</v>
      </c>
      <c r="O32" s="303">
        <v>0</v>
      </c>
      <c r="P32" s="303">
        <v>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03">
        <v>0</v>
      </c>
      <c r="N33" s="303">
        <v>0</v>
      </c>
      <c r="O33" s="303">
        <v>0</v>
      </c>
      <c r="P33" s="303">
        <v>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/>
      <c r="F34" s="29">
        <v>690119</v>
      </c>
      <c r="G34" s="60">
        <v>680</v>
      </c>
      <c r="H34" s="31">
        <v>670</v>
      </c>
      <c r="I34" s="46">
        <v>110</v>
      </c>
      <c r="J34" s="32">
        <v>110</v>
      </c>
      <c r="K34" s="33">
        <f t="shared" si="0"/>
        <v>54.4</v>
      </c>
      <c r="L34" s="47">
        <f t="shared" si="0"/>
        <v>53.6</v>
      </c>
      <c r="M34" s="303">
        <v>1881</v>
      </c>
      <c r="N34" s="303">
        <v>2401</v>
      </c>
      <c r="O34" s="303">
        <v>2401</v>
      </c>
      <c r="P34" s="303">
        <v>370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895</v>
      </c>
      <c r="H35" s="31">
        <v>827</v>
      </c>
      <c r="I35" s="46">
        <v>110</v>
      </c>
      <c r="J35" s="32">
        <v>110</v>
      </c>
      <c r="K35" s="33">
        <f t="shared" si="0"/>
        <v>71.599999999999994</v>
      </c>
      <c r="L35" s="47">
        <f t="shared" si="0"/>
        <v>66.16</v>
      </c>
      <c r="M35" s="303">
        <v>460</v>
      </c>
      <c r="N35" s="303">
        <v>1046</v>
      </c>
      <c r="O35" s="303">
        <v>1046</v>
      </c>
      <c r="P35" s="303">
        <v>14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71</v>
      </c>
      <c r="E36" s="28"/>
      <c r="F36" s="29">
        <v>690106</v>
      </c>
      <c r="G36" s="45">
        <v>0</v>
      </c>
      <c r="H36" s="31">
        <v>0</v>
      </c>
      <c r="I36" s="46">
        <v>115</v>
      </c>
      <c r="J36" s="32">
        <v>115</v>
      </c>
      <c r="K36" s="33">
        <f t="shared" si="0"/>
        <v>0</v>
      </c>
      <c r="L36" s="47">
        <f t="shared" si="0"/>
        <v>0</v>
      </c>
      <c r="M36" s="303">
        <v>1724</v>
      </c>
      <c r="N36" s="303">
        <v>2407</v>
      </c>
      <c r="O36" s="303">
        <v>2407</v>
      </c>
      <c r="P36" s="303">
        <v>551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71</v>
      </c>
      <c r="E37" s="28"/>
      <c r="F37" s="29">
        <v>690106</v>
      </c>
      <c r="G37" s="45">
        <v>0</v>
      </c>
      <c r="H37" s="31">
        <v>0</v>
      </c>
      <c r="I37" s="46">
        <v>115</v>
      </c>
      <c r="J37" s="32">
        <v>115</v>
      </c>
      <c r="K37" s="33">
        <f t="shared" si="0"/>
        <v>0</v>
      </c>
      <c r="L37" s="47">
        <f t="shared" si="0"/>
        <v>0</v>
      </c>
      <c r="M37" s="303">
        <v>1148</v>
      </c>
      <c r="N37" s="303">
        <v>1814</v>
      </c>
      <c r="O37" s="303">
        <v>1814</v>
      </c>
      <c r="P37" s="303">
        <v>21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71</v>
      </c>
      <c r="E38" s="28"/>
      <c r="F38" s="29">
        <v>690106</v>
      </c>
      <c r="G38" s="45">
        <v>0</v>
      </c>
      <c r="H38" s="31">
        <v>0</v>
      </c>
      <c r="I38" s="46">
        <v>115</v>
      </c>
      <c r="J38" s="32">
        <v>115</v>
      </c>
      <c r="K38" s="33">
        <f t="shared" si="0"/>
        <v>0</v>
      </c>
      <c r="L38" s="47">
        <f t="shared" si="0"/>
        <v>0</v>
      </c>
      <c r="M38" s="303">
        <v>1217</v>
      </c>
      <c r="N38" s="303">
        <v>1983</v>
      </c>
      <c r="O38" s="303">
        <v>1983</v>
      </c>
      <c r="P38" s="303">
        <v>31</v>
      </c>
      <c r="Q38" s="35"/>
      <c r="R38" s="35"/>
      <c r="S38" s="67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>
        <v>69011202</v>
      </c>
      <c r="F39" s="29">
        <v>690107</v>
      </c>
      <c r="G39" s="45">
        <v>508</v>
      </c>
      <c r="H39" s="31">
        <v>595</v>
      </c>
      <c r="I39" s="63">
        <v>115</v>
      </c>
      <c r="J39" s="64">
        <v>115</v>
      </c>
      <c r="K39" s="65">
        <f t="shared" ref="K39:L55" si="1">G39*8/100</f>
        <v>40.64</v>
      </c>
      <c r="L39" s="68">
        <f t="shared" si="1"/>
        <v>47.6</v>
      </c>
      <c r="M39" s="303">
        <v>2620</v>
      </c>
      <c r="N39" s="303">
        <v>678</v>
      </c>
      <c r="O39" s="303">
        <v>678</v>
      </c>
      <c r="P39" s="303">
        <v>1400</v>
      </c>
      <c r="Q39" s="35">
        <v>2620</v>
      </c>
      <c r="R39" s="67"/>
      <c r="S39" s="36">
        <v>182.4</v>
      </c>
      <c r="T39" s="36"/>
      <c r="U39" s="37"/>
      <c r="V39" s="37"/>
      <c r="W39" s="39">
        <f>S39*1000/39.37/Q39*38.5</f>
        <v>68.079891884974614</v>
      </c>
      <c r="X39" s="39"/>
      <c r="Y39" s="40">
        <v>69.040000000000006</v>
      </c>
      <c r="Z39" s="40"/>
      <c r="AA39" s="41"/>
      <c r="AB39" s="42"/>
      <c r="AC39" s="43">
        <v>70</v>
      </c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43</v>
      </c>
      <c r="E40" s="28"/>
      <c r="F40" s="29">
        <v>690106</v>
      </c>
      <c r="G40" s="45">
        <v>673</v>
      </c>
      <c r="H40" s="31">
        <v>747</v>
      </c>
      <c r="I40" s="63">
        <v>115</v>
      </c>
      <c r="J40" s="64">
        <v>115</v>
      </c>
      <c r="K40" s="65">
        <f t="shared" si="1"/>
        <v>53.84</v>
      </c>
      <c r="L40" s="68">
        <f t="shared" si="1"/>
        <v>59.76</v>
      </c>
      <c r="M40" s="303">
        <v>278</v>
      </c>
      <c r="N40" s="303">
        <v>912</v>
      </c>
      <c r="O40" s="303">
        <v>912</v>
      </c>
      <c r="P40" s="303">
        <v>912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/>
      <c r="F41" s="29">
        <v>690119</v>
      </c>
      <c r="G41" s="45">
        <v>640</v>
      </c>
      <c r="H41" s="31">
        <v>751</v>
      </c>
      <c r="I41" s="46">
        <v>120</v>
      </c>
      <c r="J41" s="32">
        <v>120</v>
      </c>
      <c r="K41" s="33">
        <f t="shared" si="1"/>
        <v>51.2</v>
      </c>
      <c r="L41" s="47">
        <f t="shared" si="1"/>
        <v>60.08</v>
      </c>
      <c r="M41" s="303">
        <v>1729</v>
      </c>
      <c r="N41" s="303">
        <v>1729</v>
      </c>
      <c r="O41" s="303">
        <v>1729</v>
      </c>
      <c r="P41" s="303">
        <v>1729</v>
      </c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47</v>
      </c>
      <c r="E42" s="28"/>
      <c r="F42" s="29">
        <v>690119</v>
      </c>
      <c r="G42" s="45">
        <v>622</v>
      </c>
      <c r="H42" s="31">
        <v>745</v>
      </c>
      <c r="I42" s="46">
        <v>120</v>
      </c>
      <c r="J42" s="32">
        <v>120</v>
      </c>
      <c r="K42" s="33">
        <f t="shared" si="1"/>
        <v>49.76</v>
      </c>
      <c r="L42" s="47">
        <f t="shared" si="1"/>
        <v>59.6</v>
      </c>
      <c r="M42" s="303">
        <v>1259</v>
      </c>
      <c r="N42" s="303">
        <v>1259</v>
      </c>
      <c r="O42" s="303">
        <v>1259</v>
      </c>
      <c r="P42" s="303">
        <v>1259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47</v>
      </c>
      <c r="E43" s="28"/>
      <c r="F43" s="29">
        <v>690119</v>
      </c>
      <c r="G43" s="45">
        <v>552</v>
      </c>
      <c r="H43" s="31">
        <v>726</v>
      </c>
      <c r="I43" s="46">
        <v>120</v>
      </c>
      <c r="J43" s="32">
        <v>120</v>
      </c>
      <c r="K43" s="33">
        <f t="shared" si="1"/>
        <v>44.16</v>
      </c>
      <c r="L43" s="47">
        <f t="shared" si="1"/>
        <v>58.08</v>
      </c>
      <c r="M43" s="303">
        <v>671</v>
      </c>
      <c r="N43" s="303">
        <v>671</v>
      </c>
      <c r="O43" s="303">
        <v>671</v>
      </c>
      <c r="P43" s="303">
        <v>671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/>
      <c r="F44" s="29">
        <v>690128</v>
      </c>
      <c r="G44" s="69">
        <v>556</v>
      </c>
      <c r="H44" s="31">
        <v>0</v>
      </c>
      <c r="I44" s="46">
        <v>120</v>
      </c>
      <c r="J44" s="32">
        <v>120</v>
      </c>
      <c r="K44" s="33">
        <f t="shared" si="1"/>
        <v>44.48</v>
      </c>
      <c r="L44" s="47">
        <f t="shared" si="1"/>
        <v>0</v>
      </c>
      <c r="M44" s="303">
        <v>456</v>
      </c>
      <c r="N44" s="303">
        <v>456</v>
      </c>
      <c r="O44" s="303">
        <v>456</v>
      </c>
      <c r="P44" s="303">
        <v>456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47</v>
      </c>
      <c r="E45" s="28"/>
      <c r="F45" s="29">
        <v>690119</v>
      </c>
      <c r="G45" s="45">
        <v>409</v>
      </c>
      <c r="H45" s="31">
        <v>0</v>
      </c>
      <c r="I45" s="63">
        <v>120</v>
      </c>
      <c r="J45" s="64">
        <v>120</v>
      </c>
      <c r="K45" s="65">
        <f t="shared" si="1"/>
        <v>32.72</v>
      </c>
      <c r="L45" s="68">
        <f t="shared" si="1"/>
        <v>0</v>
      </c>
      <c r="M45" s="308">
        <v>716</v>
      </c>
      <c r="N45" s="308">
        <v>716</v>
      </c>
      <c r="O45" s="308">
        <v>716</v>
      </c>
      <c r="P45" s="308">
        <v>716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/>
      <c r="F46" s="29">
        <v>690128</v>
      </c>
      <c r="G46" s="45">
        <v>766</v>
      </c>
      <c r="H46" s="31">
        <v>709</v>
      </c>
      <c r="I46" s="46">
        <v>650</v>
      </c>
      <c r="J46" s="32">
        <v>650</v>
      </c>
      <c r="K46" s="33">
        <f t="shared" si="1"/>
        <v>61.28</v>
      </c>
      <c r="L46" s="47">
        <f t="shared" si="1"/>
        <v>56.72</v>
      </c>
      <c r="M46" s="305">
        <v>1265</v>
      </c>
      <c r="N46" s="305">
        <v>1265</v>
      </c>
      <c r="O46" s="305">
        <v>1265</v>
      </c>
      <c r="P46" s="305">
        <v>1265</v>
      </c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239"/>
      <c r="AD46" s="43"/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59"/>
      <c r="F47" s="29">
        <v>690128</v>
      </c>
      <c r="G47" s="45">
        <v>742</v>
      </c>
      <c r="H47" s="31">
        <v>705</v>
      </c>
      <c r="I47" s="63">
        <v>650</v>
      </c>
      <c r="J47" s="64">
        <v>650</v>
      </c>
      <c r="K47" s="65">
        <f t="shared" si="1"/>
        <v>59.36</v>
      </c>
      <c r="L47" s="68">
        <f t="shared" si="1"/>
        <v>56.4</v>
      </c>
      <c r="M47" s="303">
        <v>1062</v>
      </c>
      <c r="N47" s="303">
        <v>1062</v>
      </c>
      <c r="O47" s="303">
        <v>1062</v>
      </c>
      <c r="P47" s="303">
        <v>1062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/>
      <c r="F48" s="29">
        <v>690128</v>
      </c>
      <c r="G48" s="69">
        <v>732</v>
      </c>
      <c r="H48" s="31">
        <v>751</v>
      </c>
      <c r="I48" s="63">
        <v>650</v>
      </c>
      <c r="J48" s="64">
        <v>650</v>
      </c>
      <c r="K48" s="65">
        <f t="shared" si="1"/>
        <v>58.56</v>
      </c>
      <c r="L48" s="68">
        <f t="shared" si="1"/>
        <v>60.08</v>
      </c>
      <c r="M48" s="303">
        <v>845</v>
      </c>
      <c r="N48" s="303">
        <v>845</v>
      </c>
      <c r="O48" s="303">
        <v>845</v>
      </c>
      <c r="P48" s="303">
        <v>845</v>
      </c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239"/>
      <c r="AD48" s="43"/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47</v>
      </c>
      <c r="E49" s="28"/>
      <c r="F49" s="29">
        <v>690119</v>
      </c>
      <c r="G49" s="73">
        <v>755</v>
      </c>
      <c r="H49" s="31">
        <v>911</v>
      </c>
      <c r="I49" s="46">
        <v>650</v>
      </c>
      <c r="J49" s="32">
        <v>650</v>
      </c>
      <c r="K49" s="33">
        <f t="shared" si="1"/>
        <v>60.4</v>
      </c>
      <c r="L49" s="47">
        <f t="shared" si="1"/>
        <v>72.88</v>
      </c>
      <c r="M49" s="303">
        <v>1180</v>
      </c>
      <c r="N49" s="303">
        <v>1180</v>
      </c>
      <c r="O49" s="303">
        <v>1180</v>
      </c>
      <c r="P49" s="303">
        <v>1180</v>
      </c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47</v>
      </c>
      <c r="E50" s="28"/>
      <c r="F50" s="29">
        <v>690119</v>
      </c>
      <c r="G50" s="74">
        <v>938</v>
      </c>
      <c r="H50" s="31">
        <v>884</v>
      </c>
      <c r="I50" s="46">
        <v>650</v>
      </c>
      <c r="J50" s="32">
        <v>650</v>
      </c>
      <c r="K50" s="33">
        <f t="shared" si="1"/>
        <v>75.040000000000006</v>
      </c>
      <c r="L50" s="47">
        <f t="shared" si="1"/>
        <v>70.72</v>
      </c>
      <c r="M50" s="309">
        <v>1593</v>
      </c>
      <c r="N50" s="309">
        <v>1593</v>
      </c>
      <c r="O50" s="309">
        <v>1593</v>
      </c>
      <c r="P50" s="309">
        <v>1593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285</v>
      </c>
      <c r="E51" s="28">
        <v>69011213</v>
      </c>
      <c r="F51" s="29">
        <v>690143</v>
      </c>
      <c r="G51" s="45">
        <v>846</v>
      </c>
      <c r="H51" s="31">
        <v>901</v>
      </c>
      <c r="I51" s="46">
        <v>650</v>
      </c>
      <c r="J51" s="32">
        <v>650</v>
      </c>
      <c r="K51" s="33">
        <f t="shared" si="1"/>
        <v>67.680000000000007</v>
      </c>
      <c r="L51" s="47">
        <f t="shared" si="1"/>
        <v>72.08</v>
      </c>
      <c r="M51" s="310">
        <v>2058</v>
      </c>
      <c r="N51" s="303">
        <v>312</v>
      </c>
      <c r="O51" s="303">
        <v>312</v>
      </c>
      <c r="P51" s="310">
        <v>312</v>
      </c>
      <c r="Q51" s="35">
        <v>2059</v>
      </c>
      <c r="R51" s="48"/>
      <c r="S51" s="36">
        <v>155.69999999999999</v>
      </c>
      <c r="T51" s="36"/>
      <c r="U51" s="37">
        <v>20</v>
      </c>
      <c r="V51" s="38"/>
      <c r="W51" s="39">
        <f>S51*1000/39.37/Q51*35.5</f>
        <v>68.185998440962408</v>
      </c>
      <c r="X51" s="39"/>
      <c r="Y51" s="40">
        <v>68.58</v>
      </c>
      <c r="Z51" s="40"/>
      <c r="AA51" s="41"/>
      <c r="AB51" s="42"/>
      <c r="AC51" s="43">
        <v>68.97</v>
      </c>
      <c r="AD51" s="43"/>
    </row>
    <row r="52" spans="1:35" ht="24" customHeight="1" x14ac:dyDescent="0.4">
      <c r="A52" s="251" t="s">
        <v>110</v>
      </c>
      <c r="B52" s="246" t="s">
        <v>46</v>
      </c>
      <c r="C52" s="253" t="s">
        <v>45</v>
      </c>
      <c r="D52" s="256" t="s">
        <v>47</v>
      </c>
      <c r="E52" s="28"/>
      <c r="F52" s="29">
        <v>690119</v>
      </c>
      <c r="G52" s="45">
        <v>740</v>
      </c>
      <c r="H52" s="31">
        <v>1000</v>
      </c>
      <c r="I52" s="46">
        <v>125</v>
      </c>
      <c r="J52" s="32">
        <v>125</v>
      </c>
      <c r="K52" s="33">
        <f t="shared" si="1"/>
        <v>59.2</v>
      </c>
      <c r="L52" s="47">
        <f t="shared" si="1"/>
        <v>80</v>
      </c>
      <c r="M52" s="307">
        <v>2300</v>
      </c>
      <c r="N52" s="303">
        <v>0</v>
      </c>
      <c r="O52" s="303">
        <v>0</v>
      </c>
      <c r="P52" s="307">
        <v>485</v>
      </c>
      <c r="Q52" s="35"/>
      <c r="R52" s="48"/>
      <c r="S52" s="36"/>
      <c r="T52" s="36"/>
      <c r="U52" s="37"/>
      <c r="V52" s="38"/>
      <c r="W52" s="39"/>
      <c r="X52" s="39"/>
      <c r="Y52" s="40"/>
      <c r="Z52" s="40"/>
      <c r="AA52" s="41"/>
      <c r="AB52" s="42"/>
      <c r="AC52" s="43"/>
      <c r="AD52" s="43"/>
    </row>
    <row r="53" spans="1:35" ht="24" customHeight="1" x14ac:dyDescent="0.4">
      <c r="A53" s="251" t="s">
        <v>111</v>
      </c>
      <c r="B53" s="246" t="s">
        <v>46</v>
      </c>
      <c r="C53" s="253" t="s">
        <v>45</v>
      </c>
      <c r="D53" s="256" t="s">
        <v>285</v>
      </c>
      <c r="E53" s="28"/>
      <c r="F53" s="29">
        <v>690143</v>
      </c>
      <c r="G53" s="69">
        <v>920</v>
      </c>
      <c r="H53" s="31">
        <v>900</v>
      </c>
      <c r="I53" s="46">
        <v>125</v>
      </c>
      <c r="J53" s="32">
        <v>125</v>
      </c>
      <c r="K53" s="33">
        <f t="shared" si="1"/>
        <v>73.599999999999994</v>
      </c>
      <c r="L53" s="47">
        <f t="shared" si="1"/>
        <v>72</v>
      </c>
      <c r="M53" s="303">
        <v>1365</v>
      </c>
      <c r="N53" s="303">
        <v>1865</v>
      </c>
      <c r="O53" s="303">
        <v>1865</v>
      </c>
      <c r="P53" s="303">
        <v>2365</v>
      </c>
      <c r="Q53" s="35"/>
      <c r="R53" s="48"/>
      <c r="S53" s="36"/>
      <c r="T53" s="36"/>
      <c r="U53" s="37"/>
      <c r="V53" s="38"/>
      <c r="W53" s="39"/>
      <c r="X53" s="39"/>
      <c r="Y53" s="40"/>
      <c r="Z53" s="40"/>
      <c r="AA53" s="41"/>
      <c r="AB53" s="42"/>
      <c r="AC53" s="43"/>
      <c r="AD53" s="43"/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47</v>
      </c>
      <c r="E54" s="28"/>
      <c r="F54" s="29">
        <v>690106</v>
      </c>
      <c r="G54" s="69">
        <v>980</v>
      </c>
      <c r="H54" s="31">
        <v>900</v>
      </c>
      <c r="I54" s="63">
        <v>125</v>
      </c>
      <c r="J54" s="64">
        <v>125</v>
      </c>
      <c r="K54" s="65">
        <f t="shared" si="1"/>
        <v>78.400000000000006</v>
      </c>
      <c r="L54" s="68">
        <f t="shared" si="1"/>
        <v>72</v>
      </c>
      <c r="M54" s="303">
        <v>1050</v>
      </c>
      <c r="N54" s="303">
        <v>1260</v>
      </c>
      <c r="O54" s="303">
        <v>1260</v>
      </c>
      <c r="P54" s="303">
        <v>1800</v>
      </c>
      <c r="Q54" s="35"/>
      <c r="R54" s="48"/>
      <c r="S54" s="36"/>
      <c r="T54" s="36"/>
      <c r="U54" s="37"/>
      <c r="V54" s="38"/>
      <c r="W54" s="39"/>
      <c r="X54" s="39"/>
      <c r="Y54" s="40"/>
      <c r="Z54" s="40"/>
      <c r="AA54" s="41"/>
      <c r="AB54" s="42"/>
      <c r="AC54" s="43"/>
      <c r="AD54" s="43"/>
    </row>
    <row r="55" spans="1:35" ht="24" customHeight="1" x14ac:dyDescent="0.4">
      <c r="A55" s="251" t="s">
        <v>113</v>
      </c>
      <c r="B55" s="246" t="s">
        <v>46</v>
      </c>
      <c r="C55" s="253" t="s">
        <v>45</v>
      </c>
      <c r="D55" s="256" t="s">
        <v>47</v>
      </c>
      <c r="E55" s="28">
        <v>69011219</v>
      </c>
      <c r="F55" s="29">
        <v>690106</v>
      </c>
      <c r="G55" s="45">
        <v>870</v>
      </c>
      <c r="H55" s="31">
        <v>850</v>
      </c>
      <c r="I55" s="46">
        <v>125</v>
      </c>
      <c r="J55" s="32">
        <v>125</v>
      </c>
      <c r="K55" s="33">
        <f t="shared" si="1"/>
        <v>69.599999999999994</v>
      </c>
      <c r="L55" s="47">
        <f t="shared" si="1"/>
        <v>68</v>
      </c>
      <c r="M55" s="303">
        <v>100</v>
      </c>
      <c r="N55" s="303">
        <v>300</v>
      </c>
      <c r="O55" s="303">
        <v>300</v>
      </c>
      <c r="P55" s="303">
        <v>300</v>
      </c>
      <c r="Q55" s="35">
        <v>930</v>
      </c>
      <c r="R55" s="48"/>
      <c r="S55" s="36">
        <v>79</v>
      </c>
      <c r="T55" s="36"/>
      <c r="U55" s="37"/>
      <c r="V55" s="38"/>
      <c r="W55" s="39">
        <f>S55*1000/39.37/Q55*38.5</f>
        <v>83.069090869364544</v>
      </c>
      <c r="X55" s="39"/>
      <c r="Y55" s="40">
        <v>83.72</v>
      </c>
      <c r="Z55" s="40"/>
      <c r="AA55" s="41"/>
      <c r="AB55" s="42"/>
      <c r="AC55" s="43">
        <v>84.36</v>
      </c>
      <c r="AD55" s="43"/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/>
      <c r="F56" s="29">
        <v>690106</v>
      </c>
      <c r="G56" s="45">
        <v>893</v>
      </c>
      <c r="H56" s="31">
        <v>745</v>
      </c>
      <c r="I56" s="63">
        <v>115</v>
      </c>
      <c r="J56" s="64">
        <v>115</v>
      </c>
      <c r="K56" s="65">
        <v>0</v>
      </c>
      <c r="L56" s="68">
        <v>0</v>
      </c>
      <c r="M56" s="303">
        <v>304</v>
      </c>
      <c r="N56" s="303">
        <v>304</v>
      </c>
      <c r="O56" s="303">
        <v>304</v>
      </c>
      <c r="P56" s="303">
        <v>304</v>
      </c>
      <c r="Q56" s="35"/>
      <c r="R56" s="48"/>
      <c r="S56" s="36"/>
      <c r="T56" s="36"/>
      <c r="U56" s="37"/>
      <c r="V56" s="38"/>
      <c r="W56" s="39"/>
      <c r="X56" s="39"/>
      <c r="Y56" s="40"/>
      <c r="Z56" s="40"/>
      <c r="AA56" s="41"/>
      <c r="AB56" s="41"/>
      <c r="AC56" s="43"/>
      <c r="AD56" s="43"/>
    </row>
    <row r="57" spans="1:35" ht="24" customHeight="1" thickBot="1" x14ac:dyDescent="0.55000000000000004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857</v>
      </c>
      <c r="H57" s="31">
        <v>711</v>
      </c>
      <c r="I57" s="46">
        <v>115</v>
      </c>
      <c r="J57" s="32">
        <v>115</v>
      </c>
      <c r="K57" s="33">
        <f t="shared" ref="K57:L82" si="2">G57*8/100</f>
        <v>68.56</v>
      </c>
      <c r="L57" s="47">
        <f t="shared" si="2"/>
        <v>56.88</v>
      </c>
      <c r="M57" s="308">
        <v>243</v>
      </c>
      <c r="N57" s="303">
        <v>835</v>
      </c>
      <c r="O57" s="303">
        <v>835</v>
      </c>
      <c r="P57" s="308">
        <v>93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297</v>
      </c>
      <c r="E58" s="28">
        <v>69011212</v>
      </c>
      <c r="F58" s="29">
        <v>690107</v>
      </c>
      <c r="G58" s="45">
        <v>920</v>
      </c>
      <c r="H58" s="31">
        <v>915</v>
      </c>
      <c r="I58" s="46">
        <v>135</v>
      </c>
      <c r="J58" s="32">
        <v>135</v>
      </c>
      <c r="K58" s="33">
        <f t="shared" si="2"/>
        <v>73.599999999999994</v>
      </c>
      <c r="L58" s="47">
        <f t="shared" si="2"/>
        <v>73.2</v>
      </c>
      <c r="M58" s="305">
        <v>1963</v>
      </c>
      <c r="N58" s="303">
        <v>955</v>
      </c>
      <c r="O58" s="303">
        <v>955</v>
      </c>
      <c r="P58" s="305">
        <v>1882</v>
      </c>
      <c r="Q58" s="35">
        <v>2059</v>
      </c>
      <c r="R58" s="48"/>
      <c r="S58" s="36">
        <v>137.4</v>
      </c>
      <c r="T58" s="36"/>
      <c r="U58" s="37">
        <v>20</v>
      </c>
      <c r="V58" s="38"/>
      <c r="W58" s="39">
        <f>S58*1000/39.37/Q58*38.5</f>
        <v>65.256789085700561</v>
      </c>
      <c r="X58" s="39"/>
      <c r="Y58" s="40">
        <v>64.61</v>
      </c>
      <c r="Z58" s="40"/>
      <c r="AA58" s="41"/>
      <c r="AB58" s="41"/>
      <c r="AC58" s="43">
        <v>63.95</v>
      </c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71</v>
      </c>
      <c r="E59" s="28"/>
      <c r="F59" s="29">
        <v>690106</v>
      </c>
      <c r="G59" s="45">
        <v>1043</v>
      </c>
      <c r="H59" s="31">
        <v>944</v>
      </c>
      <c r="I59" s="46">
        <v>135</v>
      </c>
      <c r="J59" s="32">
        <v>135</v>
      </c>
      <c r="K59" s="33">
        <f t="shared" si="2"/>
        <v>83.44</v>
      </c>
      <c r="L59" s="47">
        <f t="shared" si="2"/>
        <v>75.52</v>
      </c>
      <c r="M59" s="303">
        <v>1700</v>
      </c>
      <c r="N59" s="303">
        <v>90</v>
      </c>
      <c r="O59" s="303">
        <v>90</v>
      </c>
      <c r="P59" s="303">
        <v>1003</v>
      </c>
      <c r="Q59" s="35"/>
      <c r="R59" s="48"/>
      <c r="S59" s="36"/>
      <c r="T59" s="36"/>
      <c r="U59" s="37"/>
      <c r="V59" s="38"/>
      <c r="W59" s="39"/>
      <c r="X59" s="39"/>
      <c r="Y59" s="40"/>
      <c r="Z59" s="40"/>
      <c r="AA59" s="41"/>
      <c r="AB59" s="42"/>
      <c r="AC59" s="43"/>
      <c r="AD59" s="43"/>
      <c r="AI59" s="75"/>
    </row>
    <row r="60" spans="1:35" ht="26.25" customHeight="1" x14ac:dyDescent="0.4">
      <c r="A60" s="251" t="s">
        <v>123</v>
      </c>
      <c r="B60" s="246" t="s">
        <v>121</v>
      </c>
      <c r="C60" s="253" t="s">
        <v>120</v>
      </c>
      <c r="D60" s="256" t="s">
        <v>71</v>
      </c>
      <c r="E60" s="259"/>
      <c r="F60" s="29">
        <v>690106</v>
      </c>
      <c r="G60" s="45">
        <v>1035</v>
      </c>
      <c r="H60" s="31">
        <v>887</v>
      </c>
      <c r="I60" s="46">
        <v>135</v>
      </c>
      <c r="J60" s="64">
        <v>135</v>
      </c>
      <c r="K60" s="65">
        <f t="shared" si="2"/>
        <v>82.8</v>
      </c>
      <c r="L60" s="68">
        <f t="shared" si="2"/>
        <v>70.959999999999994</v>
      </c>
      <c r="M60" s="303">
        <v>1650</v>
      </c>
      <c r="N60" s="303">
        <v>105</v>
      </c>
      <c r="O60" s="303">
        <v>105</v>
      </c>
      <c r="P60" s="303">
        <v>1057</v>
      </c>
      <c r="Q60" s="35"/>
      <c r="R60" s="48"/>
      <c r="S60" s="36"/>
      <c r="T60" s="36"/>
      <c r="U60" s="37"/>
      <c r="V60" s="38"/>
      <c r="W60" s="39"/>
      <c r="X60" s="39"/>
      <c r="Y60" s="40"/>
      <c r="Z60" s="40"/>
      <c r="AA60" s="41"/>
      <c r="AB60" s="42"/>
      <c r="AC60" s="43"/>
      <c r="AD60" s="43"/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47</v>
      </c>
      <c r="E61" s="28"/>
      <c r="F61" s="29">
        <v>690106</v>
      </c>
      <c r="G61" s="45">
        <v>1027</v>
      </c>
      <c r="H61" s="31">
        <v>833</v>
      </c>
      <c r="I61" s="46">
        <v>135</v>
      </c>
      <c r="J61" s="64">
        <v>135</v>
      </c>
      <c r="K61" s="65">
        <f t="shared" si="2"/>
        <v>82.16</v>
      </c>
      <c r="L61" s="68">
        <f t="shared" si="2"/>
        <v>66.64</v>
      </c>
      <c r="M61" s="303">
        <v>1535</v>
      </c>
      <c r="N61" s="303">
        <v>215</v>
      </c>
      <c r="O61" s="303">
        <v>215</v>
      </c>
      <c r="P61" s="303">
        <v>1182</v>
      </c>
      <c r="Q61" s="35"/>
      <c r="R61" s="48"/>
      <c r="S61" s="36"/>
      <c r="T61" s="36"/>
      <c r="U61" s="37"/>
      <c r="V61" s="38"/>
      <c r="W61" s="39"/>
      <c r="X61" s="39"/>
      <c r="Y61" s="40"/>
      <c r="Z61" s="40"/>
      <c r="AA61" s="41"/>
      <c r="AB61" s="42"/>
      <c r="AC61" s="43"/>
      <c r="AD61" s="43"/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94</v>
      </c>
      <c r="E62" s="28">
        <v>69011201</v>
      </c>
      <c r="F62" s="29">
        <v>690108</v>
      </c>
      <c r="G62" s="45">
        <v>495</v>
      </c>
      <c r="H62" s="31">
        <v>984</v>
      </c>
      <c r="I62" s="46">
        <v>135</v>
      </c>
      <c r="J62" s="32">
        <v>135</v>
      </c>
      <c r="K62" s="33">
        <f t="shared" si="2"/>
        <v>39.6</v>
      </c>
      <c r="L62" s="47">
        <f t="shared" si="2"/>
        <v>78.72</v>
      </c>
      <c r="M62" s="306">
        <v>240</v>
      </c>
      <c r="N62" s="303">
        <v>1360</v>
      </c>
      <c r="O62" s="303">
        <v>1360</v>
      </c>
      <c r="P62" s="306">
        <v>2276</v>
      </c>
      <c r="Q62" s="35">
        <v>2600</v>
      </c>
      <c r="R62" s="48"/>
      <c r="S62" s="36">
        <v>188.4</v>
      </c>
      <c r="T62" s="36"/>
      <c r="U62" s="37"/>
      <c r="V62" s="38"/>
      <c r="W62" s="39">
        <f>S62*1000/39.37/Q62*38.5</f>
        <v>70.860280182098833</v>
      </c>
      <c r="X62" s="39"/>
      <c r="Y62" s="40">
        <v>70.459999999999994</v>
      </c>
      <c r="Z62" s="40"/>
      <c r="AA62" s="41"/>
      <c r="AB62" s="42"/>
      <c r="AC62" s="43">
        <v>70.06</v>
      </c>
      <c r="AD62" s="43"/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47</v>
      </c>
      <c r="E63" s="28"/>
      <c r="F63" s="29">
        <v>690106</v>
      </c>
      <c r="G63" s="45">
        <v>1005</v>
      </c>
      <c r="H63" s="31">
        <v>755</v>
      </c>
      <c r="I63" s="46">
        <v>135</v>
      </c>
      <c r="J63" s="64">
        <v>135</v>
      </c>
      <c r="K63" s="65">
        <f t="shared" si="2"/>
        <v>80.400000000000006</v>
      </c>
      <c r="L63" s="68">
        <f t="shared" si="2"/>
        <v>60.4</v>
      </c>
      <c r="M63" s="303">
        <v>700</v>
      </c>
      <c r="N63" s="303">
        <v>300</v>
      </c>
      <c r="O63" s="303">
        <v>300</v>
      </c>
      <c r="P63" s="303">
        <v>1150</v>
      </c>
      <c r="Q63" s="35"/>
      <c r="R63" s="48"/>
      <c r="S63" s="36"/>
      <c r="T63" s="36"/>
      <c r="U63" s="37"/>
      <c r="V63" s="38"/>
      <c r="W63" s="39"/>
      <c r="X63" s="39"/>
      <c r="Y63" s="40"/>
      <c r="Z63" s="40"/>
      <c r="AA63" s="41"/>
      <c r="AB63" s="42"/>
      <c r="AC63" s="43"/>
      <c r="AD63" s="43"/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71</v>
      </c>
      <c r="E64" s="28"/>
      <c r="F64" s="29">
        <v>690106</v>
      </c>
      <c r="G64" s="45">
        <v>1195</v>
      </c>
      <c r="H64" s="31">
        <v>1000</v>
      </c>
      <c r="I64" s="46">
        <v>135</v>
      </c>
      <c r="J64" s="64">
        <v>135</v>
      </c>
      <c r="K64" s="65">
        <f t="shared" si="2"/>
        <v>95.6</v>
      </c>
      <c r="L64" s="76">
        <f t="shared" si="2"/>
        <v>80</v>
      </c>
      <c r="M64" s="303">
        <v>2000</v>
      </c>
      <c r="N64" s="303">
        <v>0</v>
      </c>
      <c r="O64" s="303">
        <v>0</v>
      </c>
      <c r="P64" s="303">
        <v>900</v>
      </c>
      <c r="Q64" s="35"/>
      <c r="R64" s="48"/>
      <c r="S64" s="36"/>
      <c r="T64" s="36"/>
      <c r="U64" s="37"/>
      <c r="V64" s="38"/>
      <c r="W64" s="39"/>
      <c r="X64" s="39"/>
      <c r="Y64" s="40"/>
      <c r="Z64" s="40"/>
      <c r="AA64" s="41"/>
      <c r="AB64" s="42"/>
      <c r="AC64" s="43"/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71</v>
      </c>
      <c r="E65" s="28"/>
      <c r="F65" s="29">
        <v>690106</v>
      </c>
      <c r="G65" s="69">
        <v>1050</v>
      </c>
      <c r="H65" s="31">
        <v>830</v>
      </c>
      <c r="I65" s="46">
        <v>135</v>
      </c>
      <c r="J65" s="32">
        <v>135</v>
      </c>
      <c r="K65" s="33">
        <f t="shared" si="2"/>
        <v>84</v>
      </c>
      <c r="L65" s="47">
        <f t="shared" si="2"/>
        <v>66.400000000000006</v>
      </c>
      <c r="M65" s="303">
        <v>1120</v>
      </c>
      <c r="N65" s="303">
        <v>1650</v>
      </c>
      <c r="O65" s="303">
        <v>1650</v>
      </c>
      <c r="P65" s="303">
        <v>2500</v>
      </c>
      <c r="Q65" s="35"/>
      <c r="R65" s="48"/>
      <c r="S65" s="36"/>
      <c r="T65" s="36"/>
      <c r="U65" s="37"/>
      <c r="V65" s="38"/>
      <c r="W65" s="39"/>
      <c r="X65" s="39"/>
      <c r="Y65" s="40"/>
      <c r="Z65" s="40"/>
      <c r="AA65" s="41"/>
      <c r="AB65" s="42"/>
      <c r="AC65" s="43"/>
      <c r="AD65" s="43"/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1130</v>
      </c>
      <c r="H66" s="31">
        <v>850</v>
      </c>
      <c r="I66" s="46">
        <v>135</v>
      </c>
      <c r="J66" s="32">
        <v>135</v>
      </c>
      <c r="K66" s="33">
        <f t="shared" si="2"/>
        <v>90.4</v>
      </c>
      <c r="L66" s="47">
        <f t="shared" si="2"/>
        <v>68</v>
      </c>
      <c r="M66" s="303">
        <v>400</v>
      </c>
      <c r="N66" s="303">
        <v>900</v>
      </c>
      <c r="O66" s="303">
        <v>900</v>
      </c>
      <c r="P66" s="303">
        <v>250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/>
      <c r="F67" s="29">
        <v>690128</v>
      </c>
      <c r="G67" s="45">
        <v>930</v>
      </c>
      <c r="H67" s="31">
        <v>700</v>
      </c>
      <c r="I67" s="46">
        <v>135</v>
      </c>
      <c r="J67" s="32">
        <v>135</v>
      </c>
      <c r="K67" s="33">
        <f t="shared" si="2"/>
        <v>74.400000000000006</v>
      </c>
      <c r="L67" s="47">
        <f t="shared" si="2"/>
        <v>56</v>
      </c>
      <c r="M67" s="303">
        <v>800</v>
      </c>
      <c r="N67" s="303">
        <v>800</v>
      </c>
      <c r="O67" s="303">
        <v>800</v>
      </c>
      <c r="P67" s="303">
        <v>800</v>
      </c>
      <c r="Q67" s="35"/>
      <c r="R67" s="48"/>
      <c r="S67" s="36"/>
      <c r="T67" s="36"/>
      <c r="U67" s="37"/>
      <c r="V67" s="38"/>
      <c r="W67" s="39"/>
      <c r="X67" s="39"/>
      <c r="Y67" s="40"/>
      <c r="Z67" s="40"/>
      <c r="AA67" s="41"/>
      <c r="AB67" s="235"/>
      <c r="AC67" s="239"/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47</v>
      </c>
      <c r="E68" s="28"/>
      <c r="F68" s="29">
        <v>690119</v>
      </c>
      <c r="G68" s="69">
        <v>898</v>
      </c>
      <c r="H68" s="31">
        <v>610</v>
      </c>
      <c r="I68" s="46">
        <v>130</v>
      </c>
      <c r="J68" s="32">
        <v>130</v>
      </c>
      <c r="K68" s="33">
        <f t="shared" si="2"/>
        <v>71.84</v>
      </c>
      <c r="L68" s="47">
        <f t="shared" si="2"/>
        <v>48.8</v>
      </c>
      <c r="M68" s="303">
        <v>695</v>
      </c>
      <c r="N68" s="303">
        <v>942</v>
      </c>
      <c r="O68" s="303">
        <v>942</v>
      </c>
      <c r="P68" s="303">
        <v>942</v>
      </c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47</v>
      </c>
      <c r="E69" s="28">
        <v>69011223</v>
      </c>
      <c r="F69" s="29">
        <v>690119</v>
      </c>
      <c r="G69" s="69">
        <v>768</v>
      </c>
      <c r="H69" s="31">
        <v>980</v>
      </c>
      <c r="I69" s="46">
        <v>780</v>
      </c>
      <c r="J69" s="32">
        <v>780</v>
      </c>
      <c r="K69" s="33">
        <f t="shared" si="2"/>
        <v>61.44</v>
      </c>
      <c r="L69" s="47">
        <f t="shared" si="2"/>
        <v>78.400000000000006</v>
      </c>
      <c r="M69" s="303">
        <v>854</v>
      </c>
      <c r="N69" s="303">
        <v>813</v>
      </c>
      <c r="O69" s="303">
        <v>813</v>
      </c>
      <c r="P69" s="303">
        <v>1895</v>
      </c>
      <c r="Q69" s="35">
        <v>840</v>
      </c>
      <c r="R69" s="48"/>
      <c r="S69" s="36">
        <v>68.8</v>
      </c>
      <c r="T69" s="36"/>
      <c r="U69" s="37"/>
      <c r="V69" s="38"/>
      <c r="W69" s="39">
        <f>S69*1000/39.37/Q69*38.5</f>
        <v>80.094826856320381</v>
      </c>
      <c r="X69" s="39"/>
      <c r="Y69" s="40">
        <v>80.91</v>
      </c>
      <c r="Z69" s="40"/>
      <c r="AA69" s="41"/>
      <c r="AB69" s="42"/>
      <c r="AC69" s="43">
        <v>81.73</v>
      </c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47</v>
      </c>
      <c r="E70" s="28">
        <v>69011224</v>
      </c>
      <c r="F70" s="29">
        <v>690119</v>
      </c>
      <c r="G70" s="45">
        <v>611</v>
      </c>
      <c r="H70" s="31">
        <v>760</v>
      </c>
      <c r="I70" s="46">
        <v>780</v>
      </c>
      <c r="J70" s="32">
        <v>780</v>
      </c>
      <c r="K70" s="33">
        <f t="shared" si="2"/>
        <v>48.88</v>
      </c>
      <c r="L70" s="47">
        <f t="shared" si="2"/>
        <v>60.8</v>
      </c>
      <c r="M70" s="308">
        <v>981</v>
      </c>
      <c r="N70" s="308">
        <v>185</v>
      </c>
      <c r="O70" s="308">
        <v>185</v>
      </c>
      <c r="P70" s="308">
        <v>1178</v>
      </c>
      <c r="Q70" s="35">
        <v>1145</v>
      </c>
      <c r="R70" s="48"/>
      <c r="S70" s="36">
        <v>94.3</v>
      </c>
      <c r="T70" s="36"/>
      <c r="U70" s="37">
        <v>10</v>
      </c>
      <c r="V70" s="38"/>
      <c r="W70" s="39">
        <f>S70*1000/39.37/Q70*38.5</f>
        <v>80.538126141754475</v>
      </c>
      <c r="X70" s="39"/>
      <c r="Y70" s="40">
        <v>80.77</v>
      </c>
      <c r="Z70" s="40"/>
      <c r="AA70" s="41"/>
      <c r="AB70" s="42"/>
      <c r="AC70" s="43">
        <v>81</v>
      </c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47</v>
      </c>
      <c r="E71" s="28">
        <v>69011222</v>
      </c>
      <c r="F71" s="29">
        <v>690106</v>
      </c>
      <c r="G71" s="45">
        <v>717</v>
      </c>
      <c r="H71" s="31">
        <v>960</v>
      </c>
      <c r="I71" s="46">
        <v>780</v>
      </c>
      <c r="J71" s="32">
        <v>780</v>
      </c>
      <c r="K71" s="33">
        <f t="shared" si="2"/>
        <v>57.36</v>
      </c>
      <c r="L71" s="47">
        <f t="shared" si="2"/>
        <v>76.8</v>
      </c>
      <c r="M71" s="305">
        <v>217</v>
      </c>
      <c r="N71" s="305">
        <v>295</v>
      </c>
      <c r="O71" s="305">
        <v>295</v>
      </c>
      <c r="P71" s="305">
        <v>1419</v>
      </c>
      <c r="Q71" s="35">
        <v>2500</v>
      </c>
      <c r="R71" s="48"/>
      <c r="S71" s="36">
        <v>209.8</v>
      </c>
      <c r="T71" s="36"/>
      <c r="U71" s="37">
        <v>25</v>
      </c>
      <c r="V71" s="38"/>
      <c r="W71" s="39">
        <f>S71*1000/39.37/Q71*38.5</f>
        <v>82.065532131064273</v>
      </c>
      <c r="X71" s="39"/>
      <c r="Y71" s="40">
        <v>82.1</v>
      </c>
      <c r="Z71" s="40"/>
      <c r="AA71" s="41"/>
      <c r="AB71" s="42"/>
      <c r="AC71" s="43">
        <v>82.12</v>
      </c>
      <c r="AD71" s="43"/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286</v>
      </c>
      <c r="E72" s="28"/>
      <c r="F72" s="29">
        <v>690104</v>
      </c>
      <c r="G72" s="77">
        <v>900</v>
      </c>
      <c r="H72" s="31">
        <v>970</v>
      </c>
      <c r="I72" s="63">
        <v>780</v>
      </c>
      <c r="J72" s="64">
        <v>780</v>
      </c>
      <c r="K72" s="65">
        <f t="shared" si="2"/>
        <v>72</v>
      </c>
      <c r="L72" s="47">
        <f t="shared" si="2"/>
        <v>77.599999999999994</v>
      </c>
      <c r="M72" s="303">
        <v>1416</v>
      </c>
      <c r="N72" s="303">
        <v>176</v>
      </c>
      <c r="O72" s="303">
        <v>176</v>
      </c>
      <c r="P72" s="303">
        <v>1351</v>
      </c>
      <c r="Q72" s="35"/>
      <c r="R72" s="48"/>
      <c r="S72" s="36"/>
      <c r="T72" s="36"/>
      <c r="U72" s="37"/>
      <c r="V72" s="38"/>
      <c r="W72" s="39"/>
      <c r="X72" s="39"/>
      <c r="Y72" s="40"/>
      <c r="Z72" s="40"/>
      <c r="AA72" s="41"/>
      <c r="AB72" s="42"/>
      <c r="AC72" s="43"/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43</v>
      </c>
      <c r="E73" s="28"/>
      <c r="F73" s="29">
        <v>690107</v>
      </c>
      <c r="G73" s="78">
        <v>752</v>
      </c>
      <c r="H73" s="31">
        <v>866</v>
      </c>
      <c r="I73" s="63">
        <v>780</v>
      </c>
      <c r="J73" s="64">
        <v>780</v>
      </c>
      <c r="K73" s="65">
        <f t="shared" si="2"/>
        <v>60.16</v>
      </c>
      <c r="L73" s="47">
        <f t="shared" si="2"/>
        <v>69.28</v>
      </c>
      <c r="M73" s="303">
        <v>2106</v>
      </c>
      <c r="N73" s="303">
        <v>2106</v>
      </c>
      <c r="O73" s="303">
        <v>2106</v>
      </c>
      <c r="P73" s="303">
        <v>2346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43</v>
      </c>
      <c r="E74" s="28"/>
      <c r="F74" s="29">
        <v>690107</v>
      </c>
      <c r="G74" s="79">
        <v>821</v>
      </c>
      <c r="H74" s="31">
        <v>870</v>
      </c>
      <c r="I74" s="63">
        <v>780</v>
      </c>
      <c r="J74" s="64">
        <v>780</v>
      </c>
      <c r="K74" s="65">
        <f t="shared" si="2"/>
        <v>65.680000000000007</v>
      </c>
      <c r="L74" s="68">
        <f t="shared" si="2"/>
        <v>69.599999999999994</v>
      </c>
      <c r="M74" s="303">
        <v>1190</v>
      </c>
      <c r="N74" s="303">
        <v>1190</v>
      </c>
      <c r="O74" s="303">
        <v>1190</v>
      </c>
      <c r="P74" s="303">
        <v>2125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146</v>
      </c>
      <c r="E75" s="28">
        <v>69011205</v>
      </c>
      <c r="F75" s="29">
        <v>690109</v>
      </c>
      <c r="G75" s="80">
        <v>1212</v>
      </c>
      <c r="H75" s="31">
        <v>1005</v>
      </c>
      <c r="I75" s="46">
        <v>800</v>
      </c>
      <c r="J75" s="32">
        <v>800</v>
      </c>
      <c r="K75" s="33">
        <f t="shared" si="2"/>
        <v>96.96</v>
      </c>
      <c r="L75" s="47">
        <f t="shared" si="2"/>
        <v>80.400000000000006</v>
      </c>
      <c r="M75" s="303">
        <v>619</v>
      </c>
      <c r="N75" s="303">
        <v>297</v>
      </c>
      <c r="O75" s="303">
        <v>297</v>
      </c>
      <c r="P75" s="303">
        <v>1048</v>
      </c>
      <c r="Q75" s="48">
        <v>1450</v>
      </c>
      <c r="R75" s="48"/>
      <c r="S75" s="36">
        <v>111.5</v>
      </c>
      <c r="T75" s="36"/>
      <c r="U75" s="37"/>
      <c r="V75" s="38"/>
      <c r="W75" s="39">
        <f>S75*1000/39.37/Q75*38.5</f>
        <v>75.19728832561114</v>
      </c>
      <c r="X75" s="39"/>
      <c r="Y75" s="40">
        <v>76.36</v>
      </c>
      <c r="Z75" s="40"/>
      <c r="AA75" s="41"/>
      <c r="AB75" s="42"/>
      <c r="AC75" s="43">
        <v>77.52</v>
      </c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146</v>
      </c>
      <c r="E76" s="28">
        <v>69011206</v>
      </c>
      <c r="F76" s="29">
        <v>690109</v>
      </c>
      <c r="G76" s="45">
        <v>1126</v>
      </c>
      <c r="H76" s="31">
        <v>1018</v>
      </c>
      <c r="I76" s="46">
        <v>800</v>
      </c>
      <c r="J76" s="32">
        <v>800</v>
      </c>
      <c r="K76" s="33">
        <f t="shared" si="2"/>
        <v>90.08</v>
      </c>
      <c r="L76" s="47">
        <f t="shared" si="2"/>
        <v>81.44</v>
      </c>
      <c r="M76" s="303">
        <v>1674</v>
      </c>
      <c r="N76" s="303">
        <v>619</v>
      </c>
      <c r="O76" s="303">
        <v>619</v>
      </c>
      <c r="P76" s="303">
        <v>1363</v>
      </c>
      <c r="Q76" s="35">
        <v>1674</v>
      </c>
      <c r="R76" s="48"/>
      <c r="S76" s="36">
        <v>127</v>
      </c>
      <c r="T76" s="36"/>
      <c r="U76" s="37"/>
      <c r="V76" s="38"/>
      <c r="W76" s="39">
        <f>S76*1000/39.37/Q76*38.5</f>
        <v>74.18969437699927</v>
      </c>
      <c r="X76" s="39"/>
      <c r="Y76" s="40">
        <v>74.14</v>
      </c>
      <c r="Z76" s="40"/>
      <c r="AA76" s="41"/>
      <c r="AB76" s="42"/>
      <c r="AC76" s="43">
        <v>74.08</v>
      </c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146</v>
      </c>
      <c r="E77" s="28">
        <v>69011204</v>
      </c>
      <c r="F77" s="29">
        <v>690109</v>
      </c>
      <c r="G77" s="45">
        <v>1051</v>
      </c>
      <c r="H77" s="31">
        <v>1008</v>
      </c>
      <c r="I77" s="46">
        <v>800</v>
      </c>
      <c r="J77" s="32">
        <v>800</v>
      </c>
      <c r="K77" s="33">
        <f t="shared" si="2"/>
        <v>84.08</v>
      </c>
      <c r="L77" s="47">
        <f t="shared" si="2"/>
        <v>80.64</v>
      </c>
      <c r="M77" s="303">
        <v>571</v>
      </c>
      <c r="N77" s="303">
        <v>1385</v>
      </c>
      <c r="O77" s="303">
        <v>1385</v>
      </c>
      <c r="P77" s="303">
        <v>160</v>
      </c>
      <c r="Q77" s="35">
        <v>2000</v>
      </c>
      <c r="R77" s="48"/>
      <c r="S77" s="36">
        <v>160.9</v>
      </c>
      <c r="T77" s="36"/>
      <c r="U77" s="37"/>
      <c r="V77" s="38"/>
      <c r="W77" s="39">
        <f>S77*1000/39.37/Q77*38.5</f>
        <v>78.672212344424693</v>
      </c>
      <c r="X77" s="39"/>
      <c r="Y77" s="40">
        <v>77.239999999999995</v>
      </c>
      <c r="Z77" s="40"/>
      <c r="AA77" s="41"/>
      <c r="AB77" s="42"/>
      <c r="AC77" s="43">
        <v>75.81</v>
      </c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295</v>
      </c>
      <c r="E78" s="28">
        <v>69011203</v>
      </c>
      <c r="F78" s="29">
        <v>690106</v>
      </c>
      <c r="G78" s="45">
        <v>933</v>
      </c>
      <c r="H78" s="31">
        <v>1005</v>
      </c>
      <c r="I78" s="46">
        <v>800</v>
      </c>
      <c r="J78" s="32">
        <v>800</v>
      </c>
      <c r="K78" s="33">
        <f t="shared" si="2"/>
        <v>74.64</v>
      </c>
      <c r="L78" s="47">
        <f t="shared" si="2"/>
        <v>80.400000000000006</v>
      </c>
      <c r="M78" s="303">
        <v>540</v>
      </c>
      <c r="N78" s="303">
        <v>1189</v>
      </c>
      <c r="O78" s="303">
        <v>1189</v>
      </c>
      <c r="P78" s="303">
        <v>1949</v>
      </c>
      <c r="Q78" s="35">
        <v>2000</v>
      </c>
      <c r="R78" s="48"/>
      <c r="S78" s="36">
        <v>152.4</v>
      </c>
      <c r="T78" s="36"/>
      <c r="U78" s="37"/>
      <c r="V78" s="38"/>
      <c r="W78" s="39">
        <f>S78*1000/39.37/Q78*39.5</f>
        <v>76.451612903225808</v>
      </c>
      <c r="X78" s="39"/>
      <c r="Y78" s="40">
        <v>77.180000000000007</v>
      </c>
      <c r="Z78" s="40"/>
      <c r="AA78" s="41"/>
      <c r="AB78" s="42"/>
      <c r="AC78" s="43">
        <v>77.900000000000006</v>
      </c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146</v>
      </c>
      <c r="E79" s="28">
        <v>69011209</v>
      </c>
      <c r="F79" s="29">
        <v>690109</v>
      </c>
      <c r="G79" s="45">
        <v>1002</v>
      </c>
      <c r="H79" s="31">
        <v>708</v>
      </c>
      <c r="I79" s="46">
        <v>800</v>
      </c>
      <c r="J79" s="32">
        <v>800</v>
      </c>
      <c r="K79" s="33"/>
      <c r="L79" s="47">
        <f t="shared" si="2"/>
        <v>56.64</v>
      </c>
      <c r="M79" s="303">
        <v>1593</v>
      </c>
      <c r="N79" s="303">
        <v>646</v>
      </c>
      <c r="O79" s="303">
        <v>646</v>
      </c>
      <c r="P79" s="303">
        <v>1598</v>
      </c>
      <c r="Q79" s="48">
        <v>1593</v>
      </c>
      <c r="R79" s="48"/>
      <c r="S79" s="36">
        <v>120.4</v>
      </c>
      <c r="T79" s="36"/>
      <c r="U79" s="37"/>
      <c r="V79" s="38"/>
      <c r="W79" s="39">
        <f>S79*1000/39.37/Q79*38.5</f>
        <v>73.910480526548</v>
      </c>
      <c r="X79" s="39"/>
      <c r="Y79" s="40">
        <v>74.430000000000007</v>
      </c>
      <c r="Z79" s="40"/>
      <c r="AA79" s="41"/>
      <c r="AB79" s="42"/>
      <c r="AC79" s="43">
        <v>74.94</v>
      </c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146</v>
      </c>
      <c r="E80" s="28">
        <v>69011208</v>
      </c>
      <c r="F80" s="29">
        <v>690109</v>
      </c>
      <c r="G80" s="45">
        <v>1210</v>
      </c>
      <c r="H80" s="31">
        <v>690</v>
      </c>
      <c r="I80" s="46">
        <v>800</v>
      </c>
      <c r="J80" s="32">
        <v>800</v>
      </c>
      <c r="K80" s="33">
        <f t="shared" si="2"/>
        <v>96.8</v>
      </c>
      <c r="L80" s="47">
        <f t="shared" si="2"/>
        <v>55.2</v>
      </c>
      <c r="M80" s="303">
        <v>1890</v>
      </c>
      <c r="N80" s="303">
        <v>597</v>
      </c>
      <c r="O80" s="303">
        <v>597</v>
      </c>
      <c r="P80" s="303">
        <v>1517</v>
      </c>
      <c r="Q80" s="35">
        <v>1890</v>
      </c>
      <c r="R80" s="48"/>
      <c r="S80" s="36">
        <v>142.5</v>
      </c>
      <c r="T80" s="36"/>
      <c r="U80" s="37"/>
      <c r="V80" s="38"/>
      <c r="W80" s="39">
        <f>S80*1000/39.37/Q80*38.5</f>
        <v>73.730703016961598</v>
      </c>
      <c r="X80" s="39"/>
      <c r="Y80" s="40">
        <v>74.05</v>
      </c>
      <c r="Z80" s="40"/>
      <c r="AA80" s="41"/>
      <c r="AB80" s="42"/>
      <c r="AC80" s="43">
        <v>74.36</v>
      </c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146</v>
      </c>
      <c r="E81" s="28"/>
      <c r="F81" s="29">
        <v>690109</v>
      </c>
      <c r="G81" s="45">
        <v>1190</v>
      </c>
      <c r="H81" s="31">
        <v>690</v>
      </c>
      <c r="I81" s="46">
        <v>800</v>
      </c>
      <c r="J81" s="32">
        <v>800</v>
      </c>
      <c r="K81" s="33">
        <f t="shared" si="2"/>
        <v>95.2</v>
      </c>
      <c r="L81" s="47">
        <f t="shared" si="2"/>
        <v>55.2</v>
      </c>
      <c r="M81" s="303">
        <v>1334</v>
      </c>
      <c r="N81" s="303">
        <v>1960</v>
      </c>
      <c r="O81" s="303">
        <v>1960</v>
      </c>
      <c r="P81" s="303">
        <v>900</v>
      </c>
      <c r="Q81" s="35"/>
      <c r="R81" s="48"/>
      <c r="S81" s="36"/>
      <c r="T81" s="36"/>
      <c r="U81" s="37"/>
      <c r="V81" s="38"/>
      <c r="W81" s="39"/>
      <c r="X81" s="39"/>
      <c r="Y81" s="40"/>
      <c r="Z81" s="40"/>
      <c r="AA81" s="41"/>
      <c r="AB81" s="42"/>
      <c r="AC81" s="43"/>
      <c r="AD81" s="43"/>
    </row>
    <row r="82" spans="1:34" ht="24" customHeight="1" x14ac:dyDescent="0.4">
      <c r="A82" s="249" t="s">
        <v>148</v>
      </c>
      <c r="B82" s="246" t="s">
        <v>116</v>
      </c>
      <c r="C82" s="253" t="s">
        <v>63</v>
      </c>
      <c r="D82" s="256" t="s">
        <v>146</v>
      </c>
      <c r="E82" s="28">
        <v>69011207</v>
      </c>
      <c r="F82" s="29">
        <v>690109</v>
      </c>
      <c r="G82" s="45">
        <v>1143</v>
      </c>
      <c r="H82" s="31">
        <v>690</v>
      </c>
      <c r="I82" s="46">
        <v>800</v>
      </c>
      <c r="J82" s="32">
        <v>800</v>
      </c>
      <c r="K82" s="33">
        <f t="shared" si="2"/>
        <v>91.44</v>
      </c>
      <c r="L82" s="47">
        <f t="shared" si="2"/>
        <v>55.2</v>
      </c>
      <c r="M82" s="303">
        <v>1867</v>
      </c>
      <c r="N82" s="303">
        <v>619</v>
      </c>
      <c r="O82" s="303">
        <v>619</v>
      </c>
      <c r="P82" s="303">
        <v>1559</v>
      </c>
      <c r="Q82" s="35">
        <v>1867</v>
      </c>
      <c r="R82" s="48"/>
      <c r="S82" s="36">
        <v>139.9</v>
      </c>
      <c r="T82" s="36"/>
      <c r="U82" s="37"/>
      <c r="V82" s="38"/>
      <c r="W82" s="39">
        <f>S82*1000/39.37/Q82*38.5</f>
        <v>73.277173870898366</v>
      </c>
      <c r="X82" s="39"/>
      <c r="Y82" s="40">
        <v>73.849999999999994</v>
      </c>
      <c r="Z82" s="40"/>
      <c r="AA82" s="41"/>
      <c r="AB82" s="42"/>
      <c r="AC82" s="43">
        <v>74.42</v>
      </c>
      <c r="AD82" s="43"/>
    </row>
    <row r="83" spans="1:34" ht="24" customHeight="1" x14ac:dyDescent="0.4">
      <c r="A83" s="251" t="s">
        <v>136</v>
      </c>
      <c r="B83" s="246" t="s">
        <v>64</v>
      </c>
      <c r="C83" s="253" t="s">
        <v>34</v>
      </c>
      <c r="D83" s="256" t="s">
        <v>272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3">G83*8/100</f>
        <v>0</v>
      </c>
      <c r="L83" s="47">
        <f t="shared" si="3"/>
        <v>0</v>
      </c>
      <c r="M83" s="303">
        <v>230</v>
      </c>
      <c r="N83" s="303">
        <v>230</v>
      </c>
      <c r="O83" s="303">
        <v>230</v>
      </c>
      <c r="P83" s="303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251" t="s">
        <v>132</v>
      </c>
      <c r="B84" s="246" t="s">
        <v>51</v>
      </c>
      <c r="C84" s="253" t="s">
        <v>233</v>
      </c>
      <c r="D84" s="256" t="s">
        <v>47</v>
      </c>
      <c r="E84" s="28"/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03">
        <v>34</v>
      </c>
      <c r="O84" s="303">
        <v>34</v>
      </c>
      <c r="P84" s="303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54"/>
      <c r="D85" s="256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4">G85*8/100</f>
        <v>0</v>
      </c>
      <c r="L85" s="47">
        <f t="shared" si="4"/>
        <v>0</v>
      </c>
      <c r="M85" s="311">
        <v>62</v>
      </c>
      <c r="N85" s="311">
        <v>62</v>
      </c>
      <c r="O85" s="311">
        <v>62</v>
      </c>
      <c r="P85" s="31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54"/>
      <c r="D86" s="257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4"/>
        <v>0</v>
      </c>
      <c r="L86" s="47">
        <f t="shared" si="4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60162</v>
      </c>
      <c r="H87" s="86">
        <f>SUM(H6:H82)</f>
        <v>54789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50932</v>
      </c>
      <c r="R87" s="89">
        <f>SUM(R6:R86)</f>
        <v>4309</v>
      </c>
      <c r="S87" s="90">
        <f>SUM(S6:S86)</f>
        <v>3979.7000000000007</v>
      </c>
      <c r="T87" s="91">
        <f>SUM(T6:T86)</f>
        <v>333.70000000000005</v>
      </c>
      <c r="U87" s="89">
        <f>SUM(U6:U86)</f>
        <v>195</v>
      </c>
      <c r="V87" s="89">
        <f>SUM(V6:V84)</f>
        <v>0</v>
      </c>
      <c r="W87" s="92">
        <f>SUM(W6:W86)</f>
        <v>2084.7772225656804</v>
      </c>
      <c r="X87" s="93">
        <f>SUM(X6:X86)</f>
        <v>226.99261214495027</v>
      </c>
      <c r="Y87" s="94">
        <f>SUM(Y6:Y86)</f>
        <v>2030.63</v>
      </c>
      <c r="Z87" s="95">
        <f>SUM(Z6:Z86)</f>
        <v>228.7</v>
      </c>
      <c r="AA87" s="96">
        <f>SUM(AA6:AA82)</f>
        <v>68.680000000000007</v>
      </c>
      <c r="AB87" s="97">
        <f>SUM(AB6:AB82)</f>
        <v>0</v>
      </c>
      <c r="AC87" s="98">
        <f>SUM(AC6:AC86)</f>
        <v>2113.6499999999996</v>
      </c>
      <c r="AD87" s="98">
        <f>SUM(AD6:AD86)</f>
        <v>230.39</v>
      </c>
    </row>
    <row r="88" spans="1:34" ht="24" customHeight="1" thickBot="1" x14ac:dyDescent="0.45">
      <c r="A88" s="334"/>
      <c r="B88" s="83">
        <v>55</v>
      </c>
      <c r="C88" s="83">
        <v>55</v>
      </c>
      <c r="D88" s="84"/>
      <c r="E88" s="84"/>
      <c r="F88" s="84"/>
      <c r="G88" s="341">
        <f>G87+H87</f>
        <v>114951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Q87+R87+Q133+Q149</f>
        <v>59776</v>
      </c>
      <c r="R88" s="342"/>
      <c r="S88" s="375">
        <f>S87+T87+S133+S149</f>
        <v>4931.8</v>
      </c>
      <c r="T88" s="376"/>
      <c r="U88" s="341">
        <f>U87+V87+U133+U149</f>
        <v>240</v>
      </c>
      <c r="V88" s="342"/>
      <c r="W88" s="375">
        <f>W87+X87+W133+W149</f>
        <v>2711.8146278347836</v>
      </c>
      <c r="X88" s="376"/>
      <c r="Y88" s="375">
        <f>Y87+Z87+Y133+Y149</f>
        <v>2661.08</v>
      </c>
      <c r="Z88" s="376"/>
      <c r="AA88" s="383">
        <f>AA87+AB87+AA133+AA149</f>
        <v>68.680000000000007</v>
      </c>
      <c r="AB88" s="384"/>
      <c r="AC88" s="375">
        <f>AC87+AD87+AC133+AC149</f>
        <v>2747.4699999999993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293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59776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195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60162</v>
      </c>
      <c r="O91" s="108" t="s">
        <v>158</v>
      </c>
      <c r="P91" s="108"/>
      <c r="Q91" s="108" t="s">
        <v>159</v>
      </c>
      <c r="R91" s="109"/>
      <c r="S91" s="120">
        <f>H87</f>
        <v>54789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195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1.2025650000000001</v>
      </c>
      <c r="F92" s="124"/>
      <c r="G92" s="108" t="s">
        <v>162</v>
      </c>
      <c r="H92" s="125"/>
      <c r="I92" s="125">
        <v>2059</v>
      </c>
      <c r="J92" s="117" t="s">
        <v>154</v>
      </c>
      <c r="K92" s="108"/>
      <c r="L92" s="108" t="s">
        <v>163</v>
      </c>
      <c r="M92" s="108"/>
      <c r="N92" s="126">
        <f>G87/B88</f>
        <v>1093.8545454545454</v>
      </c>
      <c r="O92" s="108" t="s">
        <v>158</v>
      </c>
      <c r="P92" s="108"/>
      <c r="Q92" s="108" t="s">
        <v>164</v>
      </c>
      <c r="S92" s="126">
        <f>H87/C88</f>
        <v>996.16363636363633</v>
      </c>
      <c r="T92" s="108"/>
      <c r="U92" s="108" t="s">
        <v>158</v>
      </c>
      <c r="W92" s="110"/>
      <c r="X92" s="108"/>
      <c r="Y92" s="127" t="s">
        <v>165</v>
      </c>
      <c r="AA92" s="122">
        <f>V87</f>
        <v>0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300</v>
      </c>
      <c r="F93" s="129"/>
      <c r="G93" s="108" t="s">
        <v>162</v>
      </c>
      <c r="H93" s="125"/>
      <c r="I93" s="125">
        <v>6309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>
        <v>2500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301</v>
      </c>
      <c r="F95" s="116"/>
      <c r="G95" s="108" t="s">
        <v>162</v>
      </c>
      <c r="H95" s="125"/>
      <c r="I95" s="125">
        <v>2000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>
        <v>3453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247</v>
      </c>
      <c r="F97" s="129"/>
      <c r="G97" s="108" t="s">
        <v>162</v>
      </c>
      <c r="H97" s="125"/>
      <c r="I97" s="125">
        <v>2500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55</v>
      </c>
      <c r="P97" s="108" t="s">
        <v>25</v>
      </c>
      <c r="Q97" s="108"/>
      <c r="R97" s="108"/>
      <c r="S97" s="130" t="s">
        <v>177</v>
      </c>
      <c r="T97" s="138">
        <f>C88</f>
        <v>55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11030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3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>
        <v>1710</v>
      </c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299</v>
      </c>
      <c r="F100" s="148"/>
      <c r="G100" s="108" t="s">
        <v>162</v>
      </c>
      <c r="H100" s="125"/>
      <c r="I100" s="125">
        <v>2000</v>
      </c>
      <c r="J100" s="117" t="s">
        <v>154</v>
      </c>
      <c r="K100" s="8"/>
      <c r="L100" s="149" t="s">
        <v>188</v>
      </c>
      <c r="M100" s="150" t="s">
        <v>277</v>
      </c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291</v>
      </c>
      <c r="F101" s="155"/>
      <c r="G101" s="108" t="s">
        <v>162</v>
      </c>
      <c r="H101" s="125"/>
      <c r="I101" s="125">
        <v>12474</v>
      </c>
      <c r="J101" s="117" t="s">
        <v>154</v>
      </c>
      <c r="K101" s="108"/>
      <c r="L101" s="149"/>
      <c r="M101" s="150" t="s">
        <v>261</v>
      </c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246</v>
      </c>
      <c r="F102" s="262"/>
      <c r="G102" s="108" t="s">
        <v>162</v>
      </c>
      <c r="H102" s="125"/>
      <c r="I102" s="125">
        <v>4535</v>
      </c>
      <c r="J102" s="117" t="s">
        <v>154</v>
      </c>
      <c r="K102" s="108"/>
      <c r="L102" s="149"/>
      <c r="M102" s="150" t="s">
        <v>278</v>
      </c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/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269</v>
      </c>
      <c r="F105" s="155"/>
      <c r="G105" s="108" t="s">
        <v>162</v>
      </c>
      <c r="H105" s="125"/>
      <c r="I105" s="125"/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>
        <v>5220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292</v>
      </c>
      <c r="F107" s="155"/>
      <c r="G107" s="108" t="s">
        <v>162</v>
      </c>
      <c r="H107" s="125"/>
      <c r="I107" s="125">
        <v>3986</v>
      </c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298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 t="s">
        <v>228</v>
      </c>
      <c r="AB108" s="149" t="s">
        <v>229</v>
      </c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 t="s">
        <v>228</v>
      </c>
      <c r="AB109" s="149" t="s">
        <v>230</v>
      </c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72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54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5">SUM(Q122:Q131)</f>
        <v>0</v>
      </c>
      <c r="R132" s="237">
        <f t="shared" si="5"/>
        <v>0</v>
      </c>
      <c r="S132" s="238">
        <f t="shared" si="5"/>
        <v>0</v>
      </c>
      <c r="T132" s="238">
        <f t="shared" si="5"/>
        <v>0</v>
      </c>
      <c r="U132" s="237">
        <f t="shared" si="5"/>
        <v>0</v>
      </c>
      <c r="V132" s="237">
        <f t="shared" si="5"/>
        <v>0</v>
      </c>
      <c r="W132" s="238">
        <f t="shared" si="5"/>
        <v>0</v>
      </c>
      <c r="X132" s="238">
        <f t="shared" si="5"/>
        <v>0</v>
      </c>
      <c r="Y132" s="95">
        <f t="shared" si="5"/>
        <v>0</v>
      </c>
      <c r="Z132" s="95">
        <f t="shared" si="5"/>
        <v>0</v>
      </c>
      <c r="AA132" s="238">
        <f t="shared" si="5"/>
        <v>0</v>
      </c>
      <c r="AB132" s="238">
        <f t="shared" si="5"/>
        <v>0</v>
      </c>
      <c r="AC132" s="98"/>
      <c r="AD132" s="98">
        <f t="shared" si="5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  <row r="134" spans="1:30" ht="18.75" thickBot="1" x14ac:dyDescent="0.45"/>
    <row r="135" spans="1:30" x14ac:dyDescent="0.4">
      <c r="A135" s="368" t="s">
        <v>1</v>
      </c>
      <c r="B135" s="349" t="s">
        <v>2</v>
      </c>
      <c r="C135" s="350"/>
      <c r="D135" s="5" t="s">
        <v>3</v>
      </c>
      <c r="E135" s="7"/>
      <c r="F135" s="7"/>
      <c r="G135" s="349" t="s">
        <v>4</v>
      </c>
      <c r="H135" s="350"/>
      <c r="I135" s="349" t="s">
        <v>5</v>
      </c>
      <c r="J135" s="350"/>
      <c r="K135" s="349" t="s">
        <v>6</v>
      </c>
      <c r="L135" s="350"/>
      <c r="M135" s="370" t="s">
        <v>7</v>
      </c>
      <c r="N135" s="371"/>
      <c r="O135" s="362" t="s">
        <v>7</v>
      </c>
      <c r="P135" s="363"/>
      <c r="Q135" s="364" t="s">
        <v>8</v>
      </c>
      <c r="R135" s="365"/>
      <c r="S135" s="349" t="s">
        <v>9</v>
      </c>
      <c r="T135" s="350"/>
      <c r="U135" s="366" t="s">
        <v>10</v>
      </c>
      <c r="V135" s="367"/>
      <c r="W135" s="349" t="s">
        <v>11</v>
      </c>
      <c r="X135" s="350"/>
      <c r="Y135" s="349" t="s">
        <v>12</v>
      </c>
      <c r="Z135" s="350"/>
      <c r="AA135" s="349" t="s">
        <v>13</v>
      </c>
      <c r="AB135" s="350"/>
      <c r="AC135" s="349" t="s">
        <v>14</v>
      </c>
      <c r="AD135" s="353"/>
    </row>
    <row r="136" spans="1:30" ht="21" x14ac:dyDescent="0.4">
      <c r="A136" s="369"/>
      <c r="B136" s="351"/>
      <c r="C136" s="352"/>
      <c r="D136" s="8" t="s">
        <v>15</v>
      </c>
      <c r="E136" s="205" t="s">
        <v>16</v>
      </c>
      <c r="F136" s="9" t="s">
        <v>17</v>
      </c>
      <c r="G136" s="351"/>
      <c r="H136" s="352"/>
      <c r="I136" s="351"/>
      <c r="J136" s="352"/>
      <c r="K136" s="351"/>
      <c r="L136" s="352"/>
      <c r="M136" s="354" t="s">
        <v>18</v>
      </c>
      <c r="N136" s="355"/>
      <c r="O136" s="356" t="s">
        <v>19</v>
      </c>
      <c r="P136" s="357"/>
      <c r="Q136" s="358" t="s">
        <v>20</v>
      </c>
      <c r="R136" s="359"/>
      <c r="S136" s="351" t="s">
        <v>21</v>
      </c>
      <c r="T136" s="352"/>
      <c r="U136" s="360" t="s">
        <v>22</v>
      </c>
      <c r="V136" s="359"/>
      <c r="W136" s="351" t="s">
        <v>23</v>
      </c>
      <c r="X136" s="352"/>
      <c r="Y136" s="351"/>
      <c r="Z136" s="352"/>
      <c r="AA136" s="351"/>
      <c r="AB136" s="352"/>
      <c r="AC136" s="351" t="s">
        <v>24</v>
      </c>
      <c r="AD136" s="361"/>
    </row>
    <row r="137" spans="1:30" ht="18.75" thickBot="1" x14ac:dyDescent="0.45">
      <c r="A137" s="10" t="s">
        <v>25</v>
      </c>
      <c r="B137" s="206" t="s">
        <v>207</v>
      </c>
      <c r="C137" s="12" t="s">
        <v>208</v>
      </c>
      <c r="D137" s="13" t="s">
        <v>28</v>
      </c>
      <c r="E137" s="207"/>
      <c r="F137" s="207"/>
      <c r="G137" s="12" t="s">
        <v>26</v>
      </c>
      <c r="H137" s="12" t="s">
        <v>27</v>
      </c>
      <c r="I137" s="11" t="s">
        <v>26</v>
      </c>
      <c r="J137" s="12" t="s">
        <v>27</v>
      </c>
      <c r="K137" s="11" t="s">
        <v>29</v>
      </c>
      <c r="L137" s="14" t="s">
        <v>30</v>
      </c>
      <c r="M137" s="208" t="s">
        <v>31</v>
      </c>
      <c r="N137" s="209" t="s">
        <v>32</v>
      </c>
      <c r="O137" s="210" t="s">
        <v>31</v>
      </c>
      <c r="P137" s="211" t="s">
        <v>32</v>
      </c>
      <c r="Q137" s="19" t="s">
        <v>26</v>
      </c>
      <c r="R137" s="12" t="s">
        <v>27</v>
      </c>
      <c r="S137" s="20" t="s">
        <v>26</v>
      </c>
      <c r="T137" s="12" t="s">
        <v>27</v>
      </c>
      <c r="U137" s="19" t="s">
        <v>26</v>
      </c>
      <c r="V137" s="12" t="s">
        <v>27</v>
      </c>
      <c r="W137" s="21" t="s">
        <v>26</v>
      </c>
      <c r="X137" s="12" t="s">
        <v>27</v>
      </c>
      <c r="Y137" s="22" t="s">
        <v>26</v>
      </c>
      <c r="Z137" s="23" t="s">
        <v>27</v>
      </c>
      <c r="AA137" s="19" t="s">
        <v>26</v>
      </c>
      <c r="AB137" s="12" t="s">
        <v>27</v>
      </c>
      <c r="AC137" s="11" t="s">
        <v>26</v>
      </c>
      <c r="AD137" s="24" t="s">
        <v>27</v>
      </c>
    </row>
    <row r="138" spans="1:30" ht="32.25" thickBot="1" x14ac:dyDescent="0.55000000000000004">
      <c r="A138" s="212" t="s">
        <v>130</v>
      </c>
      <c r="B138" s="213" t="s">
        <v>209</v>
      </c>
      <c r="C138" s="213" t="s">
        <v>210</v>
      </c>
      <c r="D138" s="258" t="s">
        <v>237</v>
      </c>
      <c r="E138" s="215">
        <v>69011227</v>
      </c>
      <c r="F138" s="73">
        <v>690133</v>
      </c>
      <c r="G138" s="216"/>
      <c r="H138" s="217"/>
      <c r="I138" s="46">
        <v>800</v>
      </c>
      <c r="J138" s="32">
        <v>800</v>
      </c>
      <c r="K138" s="218"/>
      <c r="L138" s="218"/>
      <c r="M138" s="219"/>
      <c r="N138" s="220"/>
      <c r="O138" s="220"/>
      <c r="P138" s="221"/>
      <c r="Q138" s="222">
        <v>1500</v>
      </c>
      <c r="R138" s="223"/>
      <c r="S138" s="224">
        <v>204.5</v>
      </c>
      <c r="T138" s="57"/>
      <c r="U138" s="59">
        <v>15</v>
      </c>
      <c r="V138" s="59"/>
      <c r="W138" s="39">
        <f>S138*1000/39.37/Q138*38.5</f>
        <v>133.32063330793329</v>
      </c>
      <c r="X138" s="39"/>
      <c r="Y138" s="40">
        <v>134.06</v>
      </c>
      <c r="Z138" s="40"/>
      <c r="AA138" s="225"/>
      <c r="AB138" s="226"/>
      <c r="AC138" s="227">
        <v>134.79</v>
      </c>
      <c r="AD138" s="228"/>
    </row>
    <row r="139" spans="1:30" ht="32.25" thickBot="1" x14ac:dyDescent="0.55000000000000004">
      <c r="A139" s="212" t="s">
        <v>72</v>
      </c>
      <c r="B139" s="213" t="s">
        <v>209</v>
      </c>
      <c r="C139" s="213" t="s">
        <v>210</v>
      </c>
      <c r="D139" s="258" t="s">
        <v>237</v>
      </c>
      <c r="E139" s="215"/>
      <c r="F139" s="73">
        <v>690133</v>
      </c>
      <c r="G139" s="216"/>
      <c r="H139" s="217"/>
      <c r="I139" s="46">
        <v>800</v>
      </c>
      <c r="J139" s="32">
        <v>800</v>
      </c>
      <c r="K139" s="218"/>
      <c r="L139" s="218"/>
      <c r="M139" s="219"/>
      <c r="N139" s="220"/>
      <c r="O139" s="220"/>
      <c r="P139" s="221"/>
      <c r="Q139" s="222"/>
      <c r="R139" s="67"/>
      <c r="S139" s="229"/>
      <c r="T139" s="57"/>
      <c r="U139" s="58"/>
      <c r="V139" s="59"/>
      <c r="W139" s="39"/>
      <c r="X139" s="39"/>
      <c r="Y139" s="40"/>
      <c r="Z139" s="40"/>
      <c r="AA139" s="225"/>
      <c r="AB139" s="226"/>
      <c r="AC139" s="227"/>
      <c r="AD139" s="228"/>
    </row>
    <row r="140" spans="1:30" ht="32.25" thickBot="1" x14ac:dyDescent="0.55000000000000004">
      <c r="A140" s="212" t="s">
        <v>117</v>
      </c>
      <c r="B140" s="213" t="s">
        <v>209</v>
      </c>
      <c r="C140" s="213" t="s">
        <v>210</v>
      </c>
      <c r="D140" s="258" t="s">
        <v>237</v>
      </c>
      <c r="E140" s="215">
        <v>69011228</v>
      </c>
      <c r="F140" s="73">
        <v>690133</v>
      </c>
      <c r="G140" s="216"/>
      <c r="H140" s="217"/>
      <c r="I140" s="46">
        <v>800</v>
      </c>
      <c r="J140" s="32">
        <v>800</v>
      </c>
      <c r="K140" s="218"/>
      <c r="L140" s="218"/>
      <c r="M140" s="219"/>
      <c r="N140" s="220"/>
      <c r="O140" s="220"/>
      <c r="P140" s="221"/>
      <c r="Q140" s="230">
        <v>1515</v>
      </c>
      <c r="R140" s="56"/>
      <c r="S140" s="231">
        <v>206.7</v>
      </c>
      <c r="T140" s="57"/>
      <c r="U140" s="58">
        <v>15</v>
      </c>
      <c r="V140" s="59"/>
      <c r="W140" s="39">
        <f>S140*1000/39.37/Q140*38.5</f>
        <v>133.42068268294952</v>
      </c>
      <c r="X140" s="39"/>
      <c r="Y140" s="40">
        <v>134.57</v>
      </c>
      <c r="Z140" s="40"/>
      <c r="AA140" s="232"/>
      <c r="AB140" s="226"/>
      <c r="AC140" s="233">
        <v>135.71</v>
      </c>
      <c r="AD140" s="234"/>
    </row>
    <row r="141" spans="1:30" ht="32.25" thickBot="1" x14ac:dyDescent="0.55000000000000004">
      <c r="A141" s="212" t="s">
        <v>86</v>
      </c>
      <c r="B141" s="213" t="s">
        <v>209</v>
      </c>
      <c r="C141" s="213" t="s">
        <v>210</v>
      </c>
      <c r="D141" s="258" t="s">
        <v>237</v>
      </c>
      <c r="E141" s="215">
        <v>69011226</v>
      </c>
      <c r="F141" s="73">
        <v>690133</v>
      </c>
      <c r="G141" s="216"/>
      <c r="H141" s="217"/>
      <c r="I141" s="46">
        <v>800</v>
      </c>
      <c r="J141" s="32">
        <v>800</v>
      </c>
      <c r="K141" s="218"/>
      <c r="L141" s="218"/>
      <c r="M141" s="219"/>
      <c r="N141" s="220"/>
      <c r="O141" s="220"/>
      <c r="P141" s="221"/>
      <c r="Q141" s="230">
        <v>1520</v>
      </c>
      <c r="R141" s="56"/>
      <c r="S141" s="231">
        <v>207.2</v>
      </c>
      <c r="T141" s="57"/>
      <c r="U141" s="58">
        <v>15</v>
      </c>
      <c r="V141" s="59"/>
      <c r="W141" s="39">
        <f>S141*1000/39.37/Q141*38.5</f>
        <v>133.30347713327006</v>
      </c>
      <c r="X141" s="39"/>
      <c r="Y141" s="40">
        <v>133.12</v>
      </c>
      <c r="Z141" s="40"/>
      <c r="AA141" s="232"/>
      <c r="AB141" s="226"/>
      <c r="AC141" s="233">
        <v>132.93</v>
      </c>
      <c r="AD141" s="234"/>
    </row>
    <row r="142" spans="1:30" ht="32.25" thickBot="1" x14ac:dyDescent="0.55000000000000004">
      <c r="A142" s="212" t="s">
        <v>38</v>
      </c>
      <c r="B142" s="213" t="s">
        <v>209</v>
      </c>
      <c r="C142" s="213" t="s">
        <v>210</v>
      </c>
      <c r="D142" s="258" t="s">
        <v>237</v>
      </c>
      <c r="E142" s="215"/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30"/>
      <c r="R142" s="56"/>
      <c r="S142" s="231"/>
      <c r="T142" s="57"/>
      <c r="U142" s="58"/>
      <c r="V142" s="59"/>
      <c r="W142" s="39"/>
      <c r="X142" s="39"/>
      <c r="Y142" s="40"/>
      <c r="Z142" s="40"/>
      <c r="AA142" s="232"/>
      <c r="AB142" s="226"/>
      <c r="AC142" s="233"/>
      <c r="AD142" s="234"/>
    </row>
    <row r="143" spans="1:30" ht="32.25" thickBot="1" x14ac:dyDescent="0.55000000000000004">
      <c r="A143" s="212" t="s">
        <v>40</v>
      </c>
      <c r="B143" s="213" t="s">
        <v>209</v>
      </c>
      <c r="C143" s="213" t="s">
        <v>210</v>
      </c>
      <c r="D143" s="258" t="s">
        <v>237</v>
      </c>
      <c r="E143" s="215"/>
      <c r="F143" s="73">
        <v>690133</v>
      </c>
      <c r="G143" s="216"/>
      <c r="H143" s="217"/>
      <c r="I143" s="46">
        <v>800</v>
      </c>
      <c r="J143" s="32">
        <v>800</v>
      </c>
      <c r="K143" s="218"/>
      <c r="L143" s="218"/>
      <c r="M143" s="219"/>
      <c r="N143" s="220"/>
      <c r="O143" s="220"/>
      <c r="P143" s="221"/>
      <c r="Q143" s="222"/>
      <c r="R143" s="67"/>
      <c r="S143" s="229"/>
      <c r="T143" s="57"/>
      <c r="U143" s="58"/>
      <c r="V143" s="59"/>
      <c r="W143" s="39"/>
      <c r="X143" s="39"/>
      <c r="Y143" s="40"/>
      <c r="Z143" s="40"/>
      <c r="AA143" s="225"/>
      <c r="AB143" s="226"/>
      <c r="AC143" s="227"/>
      <c r="AD143" s="228"/>
    </row>
    <row r="144" spans="1:30" ht="32.25" thickBot="1" x14ac:dyDescent="0.55000000000000004">
      <c r="A144" s="212" t="s">
        <v>125</v>
      </c>
      <c r="B144" s="213" t="s">
        <v>209</v>
      </c>
      <c r="C144" s="213" t="s">
        <v>210</v>
      </c>
      <c r="D144" s="258" t="s">
        <v>237</v>
      </c>
      <c r="E144" s="215"/>
      <c r="F144" s="73">
        <v>690133</v>
      </c>
      <c r="G144" s="216"/>
      <c r="H144" s="217"/>
      <c r="I144" s="46">
        <v>800</v>
      </c>
      <c r="J144" s="32">
        <v>800</v>
      </c>
      <c r="K144" s="218"/>
      <c r="L144" s="218"/>
      <c r="M144" s="219"/>
      <c r="N144" s="220"/>
      <c r="O144" s="220"/>
      <c r="P144" s="221"/>
      <c r="Q144" s="230"/>
      <c r="R144" s="56"/>
      <c r="S144" s="231"/>
      <c r="T144" s="57"/>
      <c r="U144" s="58"/>
      <c r="V144" s="59"/>
      <c r="W144" s="39"/>
      <c r="X144" s="39"/>
      <c r="Y144" s="40"/>
      <c r="Z144" s="40"/>
      <c r="AA144" s="232"/>
      <c r="AB144" s="226"/>
      <c r="AC144" s="233"/>
      <c r="AD144" s="234"/>
    </row>
    <row r="145" spans="1:30" ht="32.25" thickBot="1" x14ac:dyDescent="0.55000000000000004">
      <c r="A145" s="212" t="s">
        <v>86</v>
      </c>
      <c r="B145" s="213" t="s">
        <v>209</v>
      </c>
      <c r="C145" s="213" t="s">
        <v>210</v>
      </c>
      <c r="D145" s="258" t="s">
        <v>237</v>
      </c>
      <c r="E145" s="215"/>
      <c r="F145" s="73">
        <v>690133</v>
      </c>
      <c r="G145" s="216"/>
      <c r="H145" s="217"/>
      <c r="I145" s="46">
        <v>800</v>
      </c>
      <c r="J145" s="32">
        <v>800</v>
      </c>
      <c r="K145" s="218"/>
      <c r="L145" s="218"/>
      <c r="M145" s="219"/>
      <c r="N145" s="220"/>
      <c r="O145" s="220"/>
      <c r="P145" s="221"/>
      <c r="Q145" s="222"/>
      <c r="R145" s="67"/>
      <c r="S145" s="229"/>
      <c r="T145" s="57"/>
      <c r="U145" s="58"/>
      <c r="V145" s="59"/>
      <c r="W145" s="39"/>
      <c r="X145" s="39"/>
      <c r="Y145" s="40"/>
      <c r="Z145" s="40"/>
      <c r="AA145" s="232"/>
      <c r="AB145" s="226"/>
      <c r="AC145" s="233"/>
      <c r="AD145" s="234"/>
    </row>
    <row r="146" spans="1:30" ht="32.25" thickBot="1" x14ac:dyDescent="0.55000000000000004">
      <c r="A146" s="212" t="s">
        <v>74</v>
      </c>
      <c r="B146" s="213" t="s">
        <v>209</v>
      </c>
      <c r="C146" s="213" t="s">
        <v>210</v>
      </c>
      <c r="D146" s="258" t="s">
        <v>237</v>
      </c>
      <c r="E146" s="215"/>
      <c r="F146" s="73">
        <v>690133</v>
      </c>
      <c r="G146" s="216"/>
      <c r="H146" s="217"/>
      <c r="I146" s="46">
        <v>800</v>
      </c>
      <c r="J146" s="32">
        <v>800</v>
      </c>
      <c r="K146" s="218"/>
      <c r="L146" s="218"/>
      <c r="M146" s="219"/>
      <c r="N146" s="220"/>
      <c r="O146" s="220"/>
      <c r="P146" s="221"/>
      <c r="Q146" s="230"/>
      <c r="R146" s="56"/>
      <c r="S146" s="231"/>
      <c r="T146" s="57"/>
      <c r="U146" s="58"/>
      <c r="V146" s="59"/>
      <c r="W146" s="39"/>
      <c r="X146" s="39"/>
      <c r="Y146" s="40"/>
      <c r="Z146" s="40"/>
      <c r="AA146" s="232"/>
      <c r="AB146" s="226"/>
      <c r="AC146" s="233"/>
      <c r="AD146" s="234"/>
    </row>
    <row r="147" spans="1:30" ht="32.25" thickBot="1" x14ac:dyDescent="0.55000000000000004">
      <c r="A147" s="212" t="s">
        <v>102</v>
      </c>
      <c r="B147" s="213" t="s">
        <v>209</v>
      </c>
      <c r="C147" s="213" t="s">
        <v>210</v>
      </c>
      <c r="D147" s="258" t="s">
        <v>211</v>
      </c>
      <c r="E147" s="215"/>
      <c r="F147" s="73">
        <v>690134</v>
      </c>
      <c r="G147" s="216"/>
      <c r="H147" s="217"/>
      <c r="I147" s="46">
        <v>800</v>
      </c>
      <c r="J147" s="32">
        <v>800</v>
      </c>
      <c r="K147" s="218"/>
      <c r="L147" s="218"/>
      <c r="M147" s="219"/>
      <c r="N147" s="220"/>
      <c r="O147" s="220"/>
      <c r="P147" s="221"/>
      <c r="Q147" s="222"/>
      <c r="R147" s="223"/>
      <c r="S147" s="224"/>
      <c r="T147" s="57"/>
      <c r="U147" s="59"/>
      <c r="V147" s="59"/>
      <c r="W147" s="39"/>
      <c r="X147" s="39"/>
      <c r="Y147" s="40"/>
      <c r="Z147" s="40"/>
      <c r="AA147" s="225"/>
      <c r="AB147" s="235"/>
      <c r="AC147" s="233"/>
      <c r="AD147" s="234"/>
    </row>
    <row r="148" spans="1:30" ht="24" thickBot="1" x14ac:dyDescent="0.45">
      <c r="A148" s="333" t="s">
        <v>150</v>
      </c>
      <c r="B148" s="83" t="s">
        <v>25</v>
      </c>
      <c r="C148" s="83" t="s">
        <v>25</v>
      </c>
      <c r="D148" s="84"/>
      <c r="E148" s="85"/>
      <c r="F148" s="84"/>
      <c r="G148" s="236">
        <f>SUM(G134:G134)</f>
        <v>0</v>
      </c>
      <c r="H148" s="236">
        <f>SUM(H134:H134)</f>
        <v>0</v>
      </c>
      <c r="I148" s="87"/>
      <c r="J148" s="87"/>
      <c r="K148" s="87"/>
      <c r="L148" s="88"/>
      <c r="M148" s="335"/>
      <c r="N148" s="336"/>
      <c r="O148" s="336"/>
      <c r="P148" s="337"/>
      <c r="Q148" s="237">
        <f t="shared" ref="Q148:AD148" si="6">SUM(Q138:Q147)</f>
        <v>4535</v>
      </c>
      <c r="R148" s="237">
        <f t="shared" si="6"/>
        <v>0</v>
      </c>
      <c r="S148" s="238">
        <f t="shared" si="6"/>
        <v>618.4</v>
      </c>
      <c r="T148" s="238">
        <f t="shared" si="6"/>
        <v>0</v>
      </c>
      <c r="U148" s="237">
        <f t="shared" si="6"/>
        <v>45</v>
      </c>
      <c r="V148" s="237">
        <f t="shared" si="6"/>
        <v>0</v>
      </c>
      <c r="W148" s="238">
        <f t="shared" si="6"/>
        <v>400.04479312415287</v>
      </c>
      <c r="X148" s="238">
        <f t="shared" si="6"/>
        <v>0</v>
      </c>
      <c r="Y148" s="95">
        <f t="shared" si="6"/>
        <v>401.75</v>
      </c>
      <c r="Z148" s="95">
        <f t="shared" si="6"/>
        <v>0</v>
      </c>
      <c r="AA148" s="238">
        <f t="shared" si="6"/>
        <v>0</v>
      </c>
      <c r="AB148" s="238">
        <f t="shared" si="6"/>
        <v>0</v>
      </c>
      <c r="AC148" s="98">
        <f t="shared" si="6"/>
        <v>403.43</v>
      </c>
      <c r="AD148" s="98">
        <f t="shared" si="6"/>
        <v>0</v>
      </c>
    </row>
    <row r="149" spans="1:30" ht="27" thickBot="1" x14ac:dyDescent="0.45">
      <c r="A149" s="334"/>
      <c r="B149" s="83">
        <v>2</v>
      </c>
      <c r="C149" s="83">
        <v>2</v>
      </c>
      <c r="D149" s="84"/>
      <c r="E149" s="84"/>
      <c r="F149" s="84"/>
      <c r="G149" s="99">
        <v>0</v>
      </c>
      <c r="H149" s="100"/>
      <c r="I149" s="99"/>
      <c r="J149" s="100"/>
      <c r="K149" s="341"/>
      <c r="L149" s="342"/>
      <c r="M149" s="338"/>
      <c r="N149" s="339"/>
      <c r="O149" s="339"/>
      <c r="P149" s="340"/>
      <c r="Q149" s="343">
        <f>Q148+R148</f>
        <v>4535</v>
      </c>
      <c r="R149" s="344"/>
      <c r="S149" s="345">
        <f>S148+T148</f>
        <v>618.4</v>
      </c>
      <c r="T149" s="346"/>
      <c r="U149" s="347">
        <f>U148+V148</f>
        <v>45</v>
      </c>
      <c r="V149" s="348"/>
      <c r="W149" s="327">
        <f>W148+X148</f>
        <v>400.04479312415287</v>
      </c>
      <c r="X149" s="328"/>
      <c r="Y149" s="329">
        <f>Y148+Z148</f>
        <v>401.75</v>
      </c>
      <c r="Z149" s="330"/>
      <c r="AA149" s="327">
        <f>AA148+AB148</f>
        <v>0</v>
      </c>
      <c r="AB149" s="328"/>
      <c r="AC149" s="331">
        <f>AC148+AD148</f>
        <v>403.43</v>
      </c>
      <c r="AD149" s="332"/>
    </row>
  </sheetData>
  <autoFilter ref="A5:AD112" xr:uid="{3D257094-AFCF-44D4-9CB6-CF8FC9C29795}"/>
  <mergeCells count="104">
    <mergeCell ref="W149:X149"/>
    <mergeCell ref="Y149:Z149"/>
    <mergeCell ref="AA149:AB149"/>
    <mergeCell ref="AC149:AD149"/>
    <mergeCell ref="A148:A149"/>
    <mergeCell ref="M148:P149"/>
    <mergeCell ref="K149:L149"/>
    <mergeCell ref="Q149:R149"/>
    <mergeCell ref="S149:T149"/>
    <mergeCell ref="U149:V149"/>
    <mergeCell ref="S136:T136"/>
    <mergeCell ref="U136:V136"/>
    <mergeCell ref="W136:X136"/>
    <mergeCell ref="AC136:AD136"/>
    <mergeCell ref="O135:P135"/>
    <mergeCell ref="Q135:R135"/>
    <mergeCell ref="S135:T135"/>
    <mergeCell ref="U135:V135"/>
    <mergeCell ref="W135:X135"/>
    <mergeCell ref="Y135:Z136"/>
    <mergeCell ref="U119:V119"/>
    <mergeCell ref="W119:X119"/>
    <mergeCell ref="Y119:Z120"/>
    <mergeCell ref="W133:X133"/>
    <mergeCell ref="Y133:Z133"/>
    <mergeCell ref="AA133:AB133"/>
    <mergeCell ref="AC133:AD133"/>
    <mergeCell ref="A135:A136"/>
    <mergeCell ref="B135:C136"/>
    <mergeCell ref="G135:H136"/>
    <mergeCell ref="I135:J136"/>
    <mergeCell ref="K135:L136"/>
    <mergeCell ref="M135:N135"/>
    <mergeCell ref="A132:A133"/>
    <mergeCell ref="M132:P133"/>
    <mergeCell ref="K133:L133"/>
    <mergeCell ref="Q133:R133"/>
    <mergeCell ref="S133:T133"/>
    <mergeCell ref="U133:V133"/>
    <mergeCell ref="AA135:AB136"/>
    <mergeCell ref="AC135:AD135"/>
    <mergeCell ref="M136:N136"/>
    <mergeCell ref="O136:P136"/>
    <mergeCell ref="Q136:R136"/>
    <mergeCell ref="A119:A120"/>
    <mergeCell ref="B119:C120"/>
    <mergeCell ref="G119:H120"/>
    <mergeCell ref="I119:J120"/>
    <mergeCell ref="K119:L120"/>
    <mergeCell ref="M119:N119"/>
    <mergeCell ref="E90:J90"/>
    <mergeCell ref="M112:Q112"/>
    <mergeCell ref="X112:AD112"/>
    <mergeCell ref="M113:Q113"/>
    <mergeCell ref="X113:AD113"/>
    <mergeCell ref="F114:G114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</mergeCells>
  <dataValidations count="1">
    <dataValidation type="list" allowBlank="1" showInputMessage="1" showErrorMessage="1" sqref="B10:C10 B54:C54" xr:uid="{A71103B7-6318-44E4-8F0B-B9AD53DDE6D8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CC28-8BBD-4B95-A39E-6B9395D1426F}">
  <sheetPr>
    <tabColor rgb="FF00B050"/>
  </sheetPr>
  <dimension ref="A1:AL149"/>
  <sheetViews>
    <sheetView zoomScale="78" zoomScaleNormal="78" zoomScaleSheetLayoutView="70" workbookViewId="0">
      <pane xSplit="4" ySplit="5" topLeftCell="E74" activePane="bottomRight" state="frozen"/>
      <selection activeCell="M107" sqref="M107"/>
      <selection pane="topRight" activeCell="M107" sqref="M107"/>
      <selection pane="bottomLeft" activeCell="M107" sqref="M107"/>
      <selection pane="bottomRight" activeCell="Y76" sqref="Y76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283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241</v>
      </c>
      <c r="E6" s="28"/>
      <c r="F6" s="29">
        <v>690126</v>
      </c>
      <c r="G6" s="30">
        <v>720</v>
      </c>
      <c r="H6" s="31">
        <v>1022</v>
      </c>
      <c r="I6" s="32">
        <v>750</v>
      </c>
      <c r="J6" s="32">
        <v>750</v>
      </c>
      <c r="K6" s="33">
        <f>G6*8/100</f>
        <v>57.6</v>
      </c>
      <c r="L6" s="34">
        <f>H6*8/100</f>
        <v>81.760000000000005</v>
      </c>
      <c r="M6" s="303">
        <v>1256</v>
      </c>
      <c r="N6" s="303">
        <v>1976</v>
      </c>
      <c r="O6" s="303">
        <v>1976</v>
      </c>
      <c r="P6" s="303">
        <v>998</v>
      </c>
      <c r="Q6" s="35"/>
      <c r="R6" s="35"/>
      <c r="S6" s="36"/>
      <c r="T6" s="36"/>
      <c r="U6" s="37"/>
      <c r="V6" s="38"/>
      <c r="W6" s="39"/>
      <c r="X6" s="39"/>
      <c r="Y6" s="40"/>
      <c r="Z6" s="40"/>
      <c r="AA6" s="41"/>
      <c r="AB6" s="42"/>
      <c r="AC6" s="43"/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241</v>
      </c>
      <c r="E7" s="28"/>
      <c r="F7" s="29">
        <v>690126</v>
      </c>
      <c r="G7" s="45">
        <v>634</v>
      </c>
      <c r="H7" s="31">
        <v>800</v>
      </c>
      <c r="I7" s="46">
        <v>750</v>
      </c>
      <c r="J7" s="32">
        <v>750</v>
      </c>
      <c r="K7" s="33">
        <f t="shared" ref="K7:L38" si="0">G7*8/100</f>
        <v>50.72</v>
      </c>
      <c r="L7" s="47">
        <f t="shared" si="0"/>
        <v>64</v>
      </c>
      <c r="M7" s="303">
        <v>1229</v>
      </c>
      <c r="N7" s="303">
        <v>116</v>
      </c>
      <c r="O7" s="303">
        <v>116</v>
      </c>
      <c r="P7" s="303">
        <v>916</v>
      </c>
      <c r="Q7" s="35"/>
      <c r="R7" s="48"/>
      <c r="S7" s="36"/>
      <c r="T7" s="36"/>
      <c r="U7" s="37"/>
      <c r="V7" s="38"/>
      <c r="W7" s="39"/>
      <c r="X7" s="39"/>
      <c r="Y7" s="40"/>
      <c r="Z7" s="40"/>
      <c r="AA7" s="41"/>
      <c r="AB7" s="42"/>
      <c r="AC7" s="43"/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/>
      <c r="F8" s="29">
        <v>690111</v>
      </c>
      <c r="G8" s="45">
        <v>753</v>
      </c>
      <c r="H8" s="31">
        <v>859</v>
      </c>
      <c r="I8" s="46">
        <v>750</v>
      </c>
      <c r="J8" s="32">
        <v>750</v>
      </c>
      <c r="K8" s="33">
        <f t="shared" si="0"/>
        <v>60.24</v>
      </c>
      <c r="L8" s="47">
        <f t="shared" si="0"/>
        <v>68.72</v>
      </c>
      <c r="M8" s="303">
        <v>1171</v>
      </c>
      <c r="N8" s="304">
        <v>1924</v>
      </c>
      <c r="O8" s="303">
        <v>1924</v>
      </c>
      <c r="P8" s="303">
        <v>283</v>
      </c>
      <c r="Q8" s="35"/>
      <c r="R8" s="48"/>
      <c r="S8" s="36"/>
      <c r="T8" s="36"/>
      <c r="U8" s="37"/>
      <c r="V8" s="38"/>
      <c r="W8" s="39"/>
      <c r="X8" s="39"/>
      <c r="Y8" s="40"/>
      <c r="Z8" s="40"/>
      <c r="AA8" s="41"/>
      <c r="AB8" s="42"/>
      <c r="AC8" s="43"/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>
        <v>69011014</v>
      </c>
      <c r="F9" s="29">
        <v>690109</v>
      </c>
      <c r="G9" s="45">
        <v>426</v>
      </c>
      <c r="H9" s="31">
        <v>964</v>
      </c>
      <c r="I9" s="46">
        <v>110</v>
      </c>
      <c r="J9" s="32">
        <v>110</v>
      </c>
      <c r="K9" s="33">
        <f t="shared" si="0"/>
        <v>34.08</v>
      </c>
      <c r="L9" s="47">
        <f t="shared" si="0"/>
        <v>77.12</v>
      </c>
      <c r="M9" s="303">
        <v>60</v>
      </c>
      <c r="N9" s="303">
        <v>486</v>
      </c>
      <c r="O9" s="303">
        <v>486</v>
      </c>
      <c r="P9" s="303">
        <v>1450</v>
      </c>
      <c r="Q9" s="35">
        <v>2535</v>
      </c>
      <c r="R9" s="48"/>
      <c r="S9" s="36">
        <v>215.2</v>
      </c>
      <c r="T9" s="36"/>
      <c r="U9" s="37">
        <v>25</v>
      </c>
      <c r="V9" s="38"/>
      <c r="W9" s="39">
        <f>S9*1000/39.37/Q9*38.5</f>
        <v>83.015582204734443</v>
      </c>
      <c r="X9" s="39"/>
      <c r="Y9" s="40">
        <f t="shared" ref="Y9:Z10" si="1">(AC9+W9)/2</f>
        <v>83.83779110236722</v>
      </c>
      <c r="Z9" s="40"/>
      <c r="AA9" s="41"/>
      <c r="AB9" s="42"/>
      <c r="AC9" s="43">
        <v>84.66</v>
      </c>
      <c r="AD9" s="43"/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47</v>
      </c>
      <c r="E10" s="28">
        <v>69011027</v>
      </c>
      <c r="F10" s="29">
        <v>690119</v>
      </c>
      <c r="G10" s="51">
        <v>750</v>
      </c>
      <c r="H10" s="31">
        <v>775</v>
      </c>
      <c r="I10" s="46">
        <v>110</v>
      </c>
      <c r="J10" s="32">
        <v>110</v>
      </c>
      <c r="K10" s="33">
        <f t="shared" si="0"/>
        <v>60</v>
      </c>
      <c r="L10" s="47">
        <f t="shared" si="0"/>
        <v>62</v>
      </c>
      <c r="M10" s="303">
        <v>1295</v>
      </c>
      <c r="N10" s="303">
        <v>225</v>
      </c>
      <c r="O10" s="303">
        <v>225</v>
      </c>
      <c r="P10" s="303">
        <v>1000</v>
      </c>
      <c r="Q10" s="35"/>
      <c r="R10" s="48">
        <v>1820</v>
      </c>
      <c r="S10" s="36"/>
      <c r="T10" s="36">
        <v>151.30000000000001</v>
      </c>
      <c r="U10" s="37"/>
      <c r="V10" s="38">
        <v>20</v>
      </c>
      <c r="W10" s="39"/>
      <c r="X10" s="39">
        <f>T10*1000/39.37/R10*38.5</f>
        <v>81.294816435786728</v>
      </c>
      <c r="Y10" s="40"/>
      <c r="Z10" s="40">
        <f t="shared" si="1"/>
        <v>83.137408217893366</v>
      </c>
      <c r="AA10" s="41"/>
      <c r="AB10" s="42"/>
      <c r="AC10" s="43"/>
      <c r="AD10" s="43">
        <v>84.98</v>
      </c>
      <c r="AE10" s="260" t="s">
        <v>287</v>
      </c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36</v>
      </c>
      <c r="E11" s="28"/>
      <c r="F11" s="29">
        <v>690126</v>
      </c>
      <c r="G11" s="45">
        <v>303</v>
      </c>
      <c r="H11" s="31">
        <v>205</v>
      </c>
      <c r="I11" s="46">
        <v>800</v>
      </c>
      <c r="J11" s="32">
        <v>800</v>
      </c>
      <c r="K11" s="33">
        <f t="shared" si="0"/>
        <v>24.24</v>
      </c>
      <c r="L11" s="47">
        <f>H11*8/100</f>
        <v>16.399999999999999</v>
      </c>
      <c r="M11" s="304">
        <v>210</v>
      </c>
      <c r="N11" s="303">
        <v>513</v>
      </c>
      <c r="O11" s="304">
        <v>513</v>
      </c>
      <c r="P11" s="304">
        <v>718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52</v>
      </c>
      <c r="E12" s="28"/>
      <c r="F12" s="29">
        <v>690113</v>
      </c>
      <c r="G12" s="45">
        <v>296</v>
      </c>
      <c r="H12" s="31">
        <v>277</v>
      </c>
      <c r="I12" s="46">
        <v>800</v>
      </c>
      <c r="J12" s="32">
        <v>800</v>
      </c>
      <c r="K12" s="33">
        <f t="shared" si="0"/>
        <v>23.68</v>
      </c>
      <c r="L12" s="47">
        <f t="shared" si="0"/>
        <v>22.16</v>
      </c>
      <c r="M12" s="303">
        <v>363</v>
      </c>
      <c r="N12" s="303">
        <v>659</v>
      </c>
      <c r="O12" s="303">
        <v>659</v>
      </c>
      <c r="P12" s="303">
        <v>936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52</v>
      </c>
      <c r="E13" s="28"/>
      <c r="F13" s="29">
        <v>690113</v>
      </c>
      <c r="G13" s="45">
        <v>300</v>
      </c>
      <c r="H13" s="31">
        <v>146</v>
      </c>
      <c r="I13" s="46">
        <v>800</v>
      </c>
      <c r="J13" s="32">
        <v>800</v>
      </c>
      <c r="K13" s="33">
        <f t="shared" si="0"/>
        <v>24</v>
      </c>
      <c r="L13" s="47">
        <f t="shared" si="0"/>
        <v>11.68</v>
      </c>
      <c r="M13" s="303">
        <v>1473</v>
      </c>
      <c r="N13" s="303">
        <v>1773</v>
      </c>
      <c r="O13" s="303">
        <v>1773</v>
      </c>
      <c r="P13" s="303">
        <v>1919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406</v>
      </c>
      <c r="H14" s="31">
        <v>167</v>
      </c>
      <c r="I14" s="46">
        <v>800</v>
      </c>
      <c r="J14" s="32">
        <v>800</v>
      </c>
      <c r="K14" s="33">
        <f t="shared" si="0"/>
        <v>32.479999999999997</v>
      </c>
      <c r="L14" s="47">
        <f t="shared" si="0"/>
        <v>13.36</v>
      </c>
      <c r="M14" s="303">
        <v>844</v>
      </c>
      <c r="N14" s="303">
        <v>1250</v>
      </c>
      <c r="O14" s="303">
        <v>1250</v>
      </c>
      <c r="P14" s="303">
        <v>1417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47</v>
      </c>
      <c r="E15" s="28"/>
      <c r="F15" s="29">
        <v>690119</v>
      </c>
      <c r="G15" s="55">
        <v>0</v>
      </c>
      <c r="H15" s="31">
        <v>0</v>
      </c>
      <c r="I15" s="46">
        <v>800</v>
      </c>
      <c r="J15" s="32">
        <v>800</v>
      </c>
      <c r="K15" s="33">
        <f t="shared" si="0"/>
        <v>0</v>
      </c>
      <c r="L15" s="47">
        <f t="shared" si="0"/>
        <v>0</v>
      </c>
      <c r="M15" s="303">
        <v>0</v>
      </c>
      <c r="N15" s="303">
        <v>0</v>
      </c>
      <c r="O15" s="303">
        <v>0</v>
      </c>
      <c r="P15" s="303">
        <v>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/>
      <c r="F16" s="29">
        <v>690106</v>
      </c>
      <c r="G16" s="55">
        <v>0</v>
      </c>
      <c r="H16" s="31">
        <v>0</v>
      </c>
      <c r="I16" s="46">
        <v>800</v>
      </c>
      <c r="J16" s="32">
        <v>800</v>
      </c>
      <c r="K16" s="33">
        <f t="shared" si="0"/>
        <v>0</v>
      </c>
      <c r="L16" s="47">
        <f t="shared" si="0"/>
        <v>0</v>
      </c>
      <c r="M16" s="303">
        <v>788</v>
      </c>
      <c r="N16" s="303">
        <v>788</v>
      </c>
      <c r="O16" s="303">
        <v>788</v>
      </c>
      <c r="P16" s="303">
        <v>788</v>
      </c>
      <c r="Q16" s="35"/>
      <c r="R16" s="48"/>
      <c r="S16" s="36"/>
      <c r="T16" s="36"/>
      <c r="U16" s="37"/>
      <c r="V16" s="38"/>
      <c r="W16" s="39"/>
      <c r="X16" s="39"/>
      <c r="Y16" s="40"/>
      <c r="Z16" s="40"/>
      <c r="AA16" s="41"/>
      <c r="AB16" s="42"/>
      <c r="AC16" s="43"/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/>
      <c r="F17" s="29">
        <v>690106</v>
      </c>
      <c r="G17" s="55">
        <v>0</v>
      </c>
      <c r="H17" s="31">
        <v>0</v>
      </c>
      <c r="I17" s="46">
        <v>800</v>
      </c>
      <c r="J17" s="32">
        <v>800</v>
      </c>
      <c r="K17" s="33">
        <f t="shared" si="0"/>
        <v>0</v>
      </c>
      <c r="L17" s="47">
        <f t="shared" si="0"/>
        <v>0</v>
      </c>
      <c r="M17" s="303">
        <v>919</v>
      </c>
      <c r="N17" s="303">
        <v>919</v>
      </c>
      <c r="O17" s="303">
        <v>919</v>
      </c>
      <c r="P17" s="303">
        <v>919</v>
      </c>
      <c r="Q17" s="35"/>
      <c r="R17" s="48"/>
      <c r="S17" s="36"/>
      <c r="T17" s="36"/>
      <c r="U17" s="37"/>
      <c r="V17" s="38"/>
      <c r="W17" s="39"/>
      <c r="X17" s="39"/>
      <c r="Y17" s="40"/>
      <c r="Z17" s="40"/>
      <c r="AA17" s="41"/>
      <c r="AB17" s="42"/>
      <c r="AC17" s="43"/>
      <c r="AD17" s="43"/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/>
      <c r="F18" s="29">
        <v>690106</v>
      </c>
      <c r="G18" s="55">
        <v>0</v>
      </c>
      <c r="H18" s="31">
        <v>0</v>
      </c>
      <c r="I18" s="46">
        <v>800</v>
      </c>
      <c r="J18" s="32">
        <v>800</v>
      </c>
      <c r="K18" s="33">
        <f t="shared" si="0"/>
        <v>0</v>
      </c>
      <c r="L18" s="47">
        <f t="shared" si="0"/>
        <v>0</v>
      </c>
      <c r="M18" s="303">
        <v>1428</v>
      </c>
      <c r="N18" s="303">
        <v>1428</v>
      </c>
      <c r="O18" s="303">
        <v>1428</v>
      </c>
      <c r="P18" s="303">
        <v>1428</v>
      </c>
      <c r="Q18" s="35"/>
      <c r="R18" s="48"/>
      <c r="S18" s="36"/>
      <c r="T18" s="36"/>
      <c r="U18" s="37"/>
      <c r="V18" s="38"/>
      <c r="W18" s="39"/>
      <c r="X18" s="39"/>
      <c r="Y18" s="40"/>
      <c r="Z18" s="40"/>
      <c r="AA18" s="41"/>
      <c r="AB18" s="42"/>
      <c r="AC18" s="43"/>
      <c r="AD18" s="43"/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61</v>
      </c>
      <c r="E19" s="28"/>
      <c r="F19" s="29">
        <v>690112</v>
      </c>
      <c r="G19" s="45">
        <v>570</v>
      </c>
      <c r="H19" s="31">
        <v>832</v>
      </c>
      <c r="I19" s="46">
        <v>750</v>
      </c>
      <c r="J19" s="32">
        <v>750</v>
      </c>
      <c r="K19" s="33">
        <f t="shared" si="0"/>
        <v>45.6</v>
      </c>
      <c r="L19" s="47">
        <f t="shared" si="0"/>
        <v>66.56</v>
      </c>
      <c r="M19" s="303">
        <v>1106</v>
      </c>
      <c r="N19" s="303">
        <v>1676</v>
      </c>
      <c r="O19" s="303">
        <v>1676</v>
      </c>
      <c r="P19" s="303">
        <v>508</v>
      </c>
      <c r="Q19" s="35"/>
      <c r="R19" s="48"/>
      <c r="S19" s="36"/>
      <c r="T19" s="36"/>
      <c r="U19" s="37"/>
      <c r="V19" s="38"/>
      <c r="W19" s="39"/>
      <c r="X19" s="39"/>
      <c r="Y19" s="40"/>
      <c r="Z19" s="40"/>
      <c r="AA19" s="41"/>
      <c r="AB19" s="42"/>
      <c r="AC19" s="43"/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47</v>
      </c>
      <c r="E20" s="28"/>
      <c r="F20" s="29">
        <v>690119</v>
      </c>
      <c r="G20" s="45">
        <v>542</v>
      </c>
      <c r="H20" s="31">
        <v>790</v>
      </c>
      <c r="I20" s="46">
        <v>750</v>
      </c>
      <c r="J20" s="32">
        <v>750</v>
      </c>
      <c r="K20" s="33">
        <f t="shared" si="0"/>
        <v>43.36</v>
      </c>
      <c r="L20" s="47">
        <f t="shared" si="0"/>
        <v>63.2</v>
      </c>
      <c r="M20" s="303">
        <v>1958</v>
      </c>
      <c r="N20" s="303">
        <v>0</v>
      </c>
      <c r="O20" s="303">
        <v>0</v>
      </c>
      <c r="P20" s="303">
        <v>790</v>
      </c>
      <c r="Q20" s="35"/>
      <c r="R20" s="48"/>
      <c r="S20" s="36"/>
      <c r="T20" s="36"/>
      <c r="U20" s="37"/>
      <c r="V20" s="38"/>
      <c r="W20" s="39"/>
      <c r="X20" s="39"/>
      <c r="Y20" s="40"/>
      <c r="Z20" s="40"/>
      <c r="AA20" s="41"/>
      <c r="AB20" s="42"/>
      <c r="AC20" s="43"/>
      <c r="AD20" s="43"/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140</v>
      </c>
      <c r="E21" s="28"/>
      <c r="F21" s="29">
        <v>690119</v>
      </c>
      <c r="G21" s="45">
        <v>751</v>
      </c>
      <c r="H21" s="31">
        <v>920</v>
      </c>
      <c r="I21" s="46">
        <v>750</v>
      </c>
      <c r="J21" s="32">
        <v>750</v>
      </c>
      <c r="K21" s="33">
        <f t="shared" si="0"/>
        <v>60.08</v>
      </c>
      <c r="L21" s="47">
        <f t="shared" si="0"/>
        <v>73.599999999999994</v>
      </c>
      <c r="M21" s="303">
        <v>1081</v>
      </c>
      <c r="N21" s="303">
        <v>1832</v>
      </c>
      <c r="O21" s="303">
        <v>1832</v>
      </c>
      <c r="P21" s="303">
        <v>752</v>
      </c>
      <c r="Q21" s="35"/>
      <c r="R21" s="48"/>
      <c r="S21" s="36"/>
      <c r="T21" s="36"/>
      <c r="U21" s="37"/>
      <c r="V21" s="38"/>
      <c r="W21" s="39"/>
      <c r="X21" s="39"/>
      <c r="Y21" s="40"/>
      <c r="Z21" s="40"/>
      <c r="AA21" s="41"/>
      <c r="AB21" s="42"/>
      <c r="AC21" s="43"/>
      <c r="AD21" s="43"/>
    </row>
    <row r="22" spans="1:35" ht="26.25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>
        <v>69011011</v>
      </c>
      <c r="F22" s="29">
        <v>690112</v>
      </c>
      <c r="G22" s="45">
        <v>833</v>
      </c>
      <c r="H22" s="31">
        <v>866</v>
      </c>
      <c r="I22" s="46">
        <v>750</v>
      </c>
      <c r="J22" s="32">
        <v>750</v>
      </c>
      <c r="K22" s="33">
        <f t="shared" si="0"/>
        <v>66.64</v>
      </c>
      <c r="L22" s="47">
        <f t="shared" si="0"/>
        <v>69.28</v>
      </c>
      <c r="M22" s="305">
        <v>620</v>
      </c>
      <c r="N22" s="303">
        <v>1453</v>
      </c>
      <c r="O22" s="303">
        <v>1453</v>
      </c>
      <c r="P22" s="305">
        <v>866</v>
      </c>
      <c r="Q22" s="35">
        <v>2000</v>
      </c>
      <c r="R22" s="48"/>
      <c r="S22" s="36">
        <v>158.4</v>
      </c>
      <c r="T22" s="36"/>
      <c r="U22" s="37"/>
      <c r="V22" s="38"/>
      <c r="W22" s="39">
        <f>S22*1000/39.37/Q22*38.5</f>
        <v>77.44983489966981</v>
      </c>
      <c r="X22" s="39"/>
      <c r="Y22" s="40">
        <f t="shared" ref="Y22" si="2">(AC22+W22)/2</f>
        <v>77.60991744983491</v>
      </c>
      <c r="Z22" s="40"/>
      <c r="AA22" s="41"/>
      <c r="AB22" s="42"/>
      <c r="AC22" s="43">
        <v>77.77</v>
      </c>
      <c r="AD22" s="43"/>
    </row>
    <row r="23" spans="1:35" ht="24" customHeight="1" x14ac:dyDescent="0.4">
      <c r="A23" s="249" t="s">
        <v>70</v>
      </c>
      <c r="B23" s="246" t="s">
        <v>42</v>
      </c>
      <c r="C23" s="253" t="s">
        <v>41</v>
      </c>
      <c r="D23" s="256" t="s">
        <v>57</v>
      </c>
      <c r="E23" s="28"/>
      <c r="F23" s="29">
        <v>690104</v>
      </c>
      <c r="G23" s="45">
        <v>710</v>
      </c>
      <c r="H23" s="31">
        <v>815</v>
      </c>
      <c r="I23" s="46">
        <v>750</v>
      </c>
      <c r="J23" s="32">
        <v>750</v>
      </c>
      <c r="K23" s="33">
        <f t="shared" si="0"/>
        <v>56.8</v>
      </c>
      <c r="L23" s="47">
        <f t="shared" si="0"/>
        <v>65.2</v>
      </c>
      <c r="M23" s="303">
        <v>1195</v>
      </c>
      <c r="N23" s="303">
        <v>1905</v>
      </c>
      <c r="O23" s="303">
        <v>1905</v>
      </c>
      <c r="P23" s="303">
        <v>220</v>
      </c>
      <c r="Q23" s="35"/>
      <c r="R23" s="48"/>
      <c r="S23" s="36"/>
      <c r="T23" s="36"/>
      <c r="U23" s="37"/>
      <c r="V23" s="38"/>
      <c r="W23" s="39"/>
      <c r="X23" s="39"/>
      <c r="Y23" s="40"/>
      <c r="Z23" s="40"/>
      <c r="AA23" s="41"/>
      <c r="AB23" s="42"/>
      <c r="AC23" s="43"/>
      <c r="AD23" s="43"/>
    </row>
    <row r="24" spans="1:35" ht="24" customHeight="1" x14ac:dyDescent="0.5">
      <c r="A24" s="249" t="s">
        <v>72</v>
      </c>
      <c r="B24" s="246" t="s">
        <v>42</v>
      </c>
      <c r="C24" s="253" t="s">
        <v>41</v>
      </c>
      <c r="D24" s="258" t="s">
        <v>237</v>
      </c>
      <c r="E24" s="28"/>
      <c r="F24" s="29">
        <v>690133</v>
      </c>
      <c r="G24" s="45">
        <v>639</v>
      </c>
      <c r="H24" s="31">
        <v>573</v>
      </c>
      <c r="I24" s="46">
        <v>750</v>
      </c>
      <c r="J24" s="32">
        <v>750</v>
      </c>
      <c r="K24" s="33">
        <f t="shared" si="0"/>
        <v>51.12</v>
      </c>
      <c r="L24" s="47">
        <f t="shared" si="0"/>
        <v>45.84</v>
      </c>
      <c r="M24" s="303">
        <v>229</v>
      </c>
      <c r="N24" s="303">
        <v>868</v>
      </c>
      <c r="O24" s="303">
        <v>868</v>
      </c>
      <c r="P24" s="303">
        <v>1441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241</v>
      </c>
      <c r="E25" s="259"/>
      <c r="F25" s="29">
        <v>690126</v>
      </c>
      <c r="G25" s="45">
        <v>531</v>
      </c>
      <c r="H25" s="31">
        <v>596</v>
      </c>
      <c r="I25" s="46">
        <v>750</v>
      </c>
      <c r="J25" s="32">
        <v>750</v>
      </c>
      <c r="K25" s="33">
        <f t="shared" si="0"/>
        <v>42.48</v>
      </c>
      <c r="L25" s="47">
        <f t="shared" si="0"/>
        <v>47.68</v>
      </c>
      <c r="M25" s="306">
        <v>669</v>
      </c>
      <c r="N25" s="303">
        <v>1200</v>
      </c>
      <c r="O25" s="303">
        <v>1200</v>
      </c>
      <c r="P25" s="306">
        <v>1796</v>
      </c>
      <c r="Q25" s="35"/>
      <c r="R25" s="48"/>
      <c r="S25" s="36"/>
      <c r="T25" s="36"/>
      <c r="U25" s="37"/>
      <c r="V25" s="38"/>
      <c r="W25" s="39"/>
      <c r="X25" s="39"/>
      <c r="Y25" s="40"/>
      <c r="Z25" s="40"/>
      <c r="AA25" s="41"/>
      <c r="AB25" s="42"/>
      <c r="AC25" s="239"/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47</v>
      </c>
      <c r="E26" s="28"/>
      <c r="F26" s="29">
        <v>690119</v>
      </c>
      <c r="G26" s="55">
        <v>0</v>
      </c>
      <c r="H26" s="31">
        <v>0</v>
      </c>
      <c r="I26" s="46">
        <v>800</v>
      </c>
      <c r="J26" s="32">
        <v>800</v>
      </c>
      <c r="K26" s="33">
        <f t="shared" si="0"/>
        <v>0</v>
      </c>
      <c r="L26" s="47">
        <f t="shared" si="0"/>
        <v>0</v>
      </c>
      <c r="M26" s="307">
        <v>1062</v>
      </c>
      <c r="N26" s="303">
        <v>1062</v>
      </c>
      <c r="O26" s="303">
        <v>1062</v>
      </c>
      <c r="P26" s="303">
        <v>1062</v>
      </c>
      <c r="Q26" s="35"/>
      <c r="R26" s="35"/>
      <c r="S26" s="36"/>
      <c r="T26" s="36"/>
      <c r="U26" s="37"/>
      <c r="V26" s="38"/>
      <c r="W26" s="39"/>
      <c r="X26" s="39"/>
      <c r="Y26" s="40"/>
      <c r="Z26" s="40"/>
      <c r="AA26" s="41"/>
      <c r="AB26" s="42"/>
      <c r="AC26" s="43"/>
      <c r="AD26" s="43"/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61</v>
      </c>
      <c r="E27" s="28"/>
      <c r="F27" s="29">
        <v>690112</v>
      </c>
      <c r="G27" s="55">
        <v>720</v>
      </c>
      <c r="H27" s="31">
        <v>0</v>
      </c>
      <c r="I27" s="46">
        <v>800</v>
      </c>
      <c r="J27" s="32">
        <v>800</v>
      </c>
      <c r="K27" s="33">
        <f t="shared" si="0"/>
        <v>57.6</v>
      </c>
      <c r="L27" s="47">
        <f t="shared" si="0"/>
        <v>0</v>
      </c>
      <c r="M27" s="303">
        <v>1182</v>
      </c>
      <c r="N27" s="303">
        <v>1902</v>
      </c>
      <c r="O27" s="303">
        <v>1902</v>
      </c>
      <c r="P27" s="303">
        <v>1902</v>
      </c>
      <c r="Q27" s="35"/>
      <c r="R27" s="56"/>
      <c r="S27" s="57"/>
      <c r="T27" s="57"/>
      <c r="U27" s="58"/>
      <c r="V27" s="59"/>
      <c r="W27" s="39"/>
      <c r="X27" s="39"/>
      <c r="Y27" s="40"/>
      <c r="Z27" s="40"/>
      <c r="AA27" s="41"/>
      <c r="AB27" s="42"/>
      <c r="AC27" s="43"/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61</v>
      </c>
      <c r="E28" s="259"/>
      <c r="F28" s="29">
        <v>690112</v>
      </c>
      <c r="G28" s="45">
        <v>745</v>
      </c>
      <c r="H28" s="31">
        <v>0</v>
      </c>
      <c r="I28" s="46">
        <v>800</v>
      </c>
      <c r="J28" s="32">
        <v>800</v>
      </c>
      <c r="K28" s="33">
        <f t="shared" si="0"/>
        <v>59.6</v>
      </c>
      <c r="L28" s="47">
        <f t="shared" si="0"/>
        <v>0</v>
      </c>
      <c r="M28" s="303">
        <v>1476</v>
      </c>
      <c r="N28" s="303">
        <v>221</v>
      </c>
      <c r="O28" s="303">
        <v>221</v>
      </c>
      <c r="P28" s="303">
        <v>221</v>
      </c>
      <c r="Q28" s="35"/>
      <c r="R28" s="48"/>
      <c r="S28" s="36"/>
      <c r="T28" s="36"/>
      <c r="U28" s="37"/>
      <c r="V28" s="38"/>
      <c r="W28" s="39"/>
      <c r="X28" s="39"/>
      <c r="Y28" s="40"/>
      <c r="Z28" s="40"/>
      <c r="AA28" s="41"/>
      <c r="AB28" s="42"/>
      <c r="AC28" s="43"/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47</v>
      </c>
      <c r="E29" s="28"/>
      <c r="F29" s="29">
        <v>690119</v>
      </c>
      <c r="G29" s="45">
        <v>460</v>
      </c>
      <c r="H29" s="31">
        <v>0</v>
      </c>
      <c r="I29" s="46">
        <v>800</v>
      </c>
      <c r="J29" s="32">
        <v>800</v>
      </c>
      <c r="K29" s="33">
        <f t="shared" si="0"/>
        <v>36.799999999999997</v>
      </c>
      <c r="L29" s="47">
        <f t="shared" si="0"/>
        <v>0</v>
      </c>
      <c r="M29" s="303">
        <v>466</v>
      </c>
      <c r="N29" s="303">
        <v>324</v>
      </c>
      <c r="O29" s="303">
        <v>324</v>
      </c>
      <c r="P29" s="303">
        <v>324</v>
      </c>
      <c r="Q29" s="35"/>
      <c r="R29" s="48"/>
      <c r="S29" s="36"/>
      <c r="T29" s="36"/>
      <c r="U29" s="37"/>
      <c r="V29" s="38"/>
      <c r="W29" s="39"/>
      <c r="X29" s="39"/>
      <c r="Y29" s="40"/>
      <c r="Z29" s="40"/>
      <c r="AA29" s="41"/>
      <c r="AB29" s="42"/>
      <c r="AC29" s="43"/>
      <c r="AD29" s="43"/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43</v>
      </c>
      <c r="E30" s="28"/>
      <c r="F30" s="29">
        <v>690108</v>
      </c>
      <c r="G30" s="45">
        <v>312</v>
      </c>
      <c r="H30" s="31">
        <v>0</v>
      </c>
      <c r="I30" s="46">
        <v>800</v>
      </c>
      <c r="J30" s="32">
        <v>800</v>
      </c>
      <c r="K30" s="33">
        <f t="shared" si="0"/>
        <v>24.96</v>
      </c>
      <c r="L30" s="47">
        <f t="shared" si="0"/>
        <v>0</v>
      </c>
      <c r="M30" s="303">
        <v>2295</v>
      </c>
      <c r="N30" s="303">
        <v>107</v>
      </c>
      <c r="O30" s="303">
        <v>107</v>
      </c>
      <c r="P30" s="303">
        <v>107</v>
      </c>
      <c r="Q30" s="35"/>
      <c r="R30" s="35"/>
      <c r="S30" s="36"/>
      <c r="T30" s="36"/>
      <c r="U30" s="37"/>
      <c r="V30" s="38"/>
      <c r="W30" s="39"/>
      <c r="X30" s="39"/>
      <c r="Y30" s="40"/>
      <c r="Z30" s="40"/>
      <c r="AA30" s="41"/>
      <c r="AB30" s="42"/>
      <c r="AC30" s="43"/>
      <c r="AD30" s="43"/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03">
        <v>0</v>
      </c>
      <c r="N31" s="303">
        <v>0</v>
      </c>
      <c r="O31" s="303">
        <v>0</v>
      </c>
      <c r="P31" s="303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03">
        <v>0</v>
      </c>
      <c r="N32" s="303">
        <v>0</v>
      </c>
      <c r="O32" s="303">
        <v>0</v>
      </c>
      <c r="P32" s="303">
        <v>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03">
        <v>0</v>
      </c>
      <c r="N33" s="303">
        <v>0</v>
      </c>
      <c r="O33" s="303">
        <v>0</v>
      </c>
      <c r="P33" s="303">
        <v>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/>
      <c r="F34" s="29">
        <v>690119</v>
      </c>
      <c r="G34" s="60">
        <v>652</v>
      </c>
      <c r="H34" s="31">
        <v>636</v>
      </c>
      <c r="I34" s="46">
        <v>110</v>
      </c>
      <c r="J34" s="32">
        <v>110</v>
      </c>
      <c r="K34" s="33">
        <f t="shared" si="0"/>
        <v>52.16</v>
      </c>
      <c r="L34" s="47">
        <f t="shared" si="0"/>
        <v>50.88</v>
      </c>
      <c r="M34" s="303">
        <v>593</v>
      </c>
      <c r="N34" s="303">
        <v>1245</v>
      </c>
      <c r="O34" s="303">
        <v>1245</v>
      </c>
      <c r="P34" s="303">
        <v>1881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860</v>
      </c>
      <c r="H35" s="31">
        <v>814</v>
      </c>
      <c r="I35" s="46">
        <v>110</v>
      </c>
      <c r="J35" s="32">
        <v>110</v>
      </c>
      <c r="K35" s="33">
        <f t="shared" si="0"/>
        <v>68.8</v>
      </c>
      <c r="L35" s="47">
        <f t="shared" si="0"/>
        <v>65.12</v>
      </c>
      <c r="M35" s="303">
        <v>336</v>
      </c>
      <c r="N35" s="303">
        <v>1196</v>
      </c>
      <c r="O35" s="303">
        <v>1196</v>
      </c>
      <c r="P35" s="303">
        <v>460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71</v>
      </c>
      <c r="E36" s="28"/>
      <c r="F36" s="29">
        <v>690106</v>
      </c>
      <c r="G36" s="45">
        <v>801</v>
      </c>
      <c r="H36" s="31">
        <v>623</v>
      </c>
      <c r="I36" s="46">
        <v>115</v>
      </c>
      <c r="J36" s="32">
        <v>115</v>
      </c>
      <c r="K36" s="33">
        <f t="shared" si="0"/>
        <v>64.08</v>
      </c>
      <c r="L36" s="47">
        <f t="shared" si="0"/>
        <v>49.84</v>
      </c>
      <c r="M36" s="303">
        <v>300</v>
      </c>
      <c r="N36" s="303">
        <v>1101</v>
      </c>
      <c r="O36" s="303">
        <v>1101</v>
      </c>
      <c r="P36" s="303">
        <v>1724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71</v>
      </c>
      <c r="E37" s="28"/>
      <c r="F37" s="29">
        <v>690106</v>
      </c>
      <c r="G37" s="45">
        <v>623</v>
      </c>
      <c r="H37" s="31">
        <v>525</v>
      </c>
      <c r="I37" s="46">
        <v>115</v>
      </c>
      <c r="J37" s="32">
        <v>115</v>
      </c>
      <c r="K37" s="33">
        <f t="shared" si="0"/>
        <v>49.84</v>
      </c>
      <c r="L37" s="47">
        <f t="shared" si="0"/>
        <v>42</v>
      </c>
      <c r="M37" s="303">
        <v>0</v>
      </c>
      <c r="N37" s="303">
        <v>623</v>
      </c>
      <c r="O37" s="303">
        <v>623</v>
      </c>
      <c r="P37" s="303">
        <v>1148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71</v>
      </c>
      <c r="E38" s="28"/>
      <c r="F38" s="29">
        <v>690106</v>
      </c>
      <c r="G38" s="45">
        <v>630</v>
      </c>
      <c r="H38" s="31">
        <v>587</v>
      </c>
      <c r="I38" s="46">
        <v>115</v>
      </c>
      <c r="J38" s="32">
        <v>115</v>
      </c>
      <c r="K38" s="33">
        <f t="shared" si="0"/>
        <v>50.4</v>
      </c>
      <c r="L38" s="47">
        <f t="shared" si="0"/>
        <v>46.96</v>
      </c>
      <c r="M38" s="303">
        <v>0</v>
      </c>
      <c r="N38" s="303">
        <v>630</v>
      </c>
      <c r="O38" s="303">
        <v>630</v>
      </c>
      <c r="P38" s="303">
        <v>1217</v>
      </c>
      <c r="Q38" s="35"/>
      <c r="R38" s="35"/>
      <c r="S38" s="67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/>
      <c r="F39" s="29">
        <v>690107</v>
      </c>
      <c r="G39" s="45">
        <v>760</v>
      </c>
      <c r="H39" s="31">
        <v>533</v>
      </c>
      <c r="I39" s="63">
        <v>115</v>
      </c>
      <c r="J39" s="64">
        <v>115</v>
      </c>
      <c r="K39" s="65">
        <f t="shared" ref="K39:L55" si="3">G39*8/100</f>
        <v>60.8</v>
      </c>
      <c r="L39" s="68">
        <f t="shared" si="3"/>
        <v>42.64</v>
      </c>
      <c r="M39" s="303">
        <v>1327</v>
      </c>
      <c r="N39" s="303">
        <v>2087</v>
      </c>
      <c r="O39" s="303">
        <v>2087</v>
      </c>
      <c r="P39" s="303">
        <v>2620</v>
      </c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43</v>
      </c>
      <c r="E40" s="28">
        <v>69011030</v>
      </c>
      <c r="F40" s="29">
        <v>690106</v>
      </c>
      <c r="G40" s="45">
        <v>748</v>
      </c>
      <c r="H40" s="31">
        <v>0</v>
      </c>
      <c r="I40" s="63">
        <v>115</v>
      </c>
      <c r="J40" s="64">
        <v>115</v>
      </c>
      <c r="K40" s="65">
        <f t="shared" si="3"/>
        <v>59.84</v>
      </c>
      <c r="L40" s="68">
        <f t="shared" si="3"/>
        <v>0</v>
      </c>
      <c r="M40" s="303">
        <v>1366</v>
      </c>
      <c r="N40" s="303">
        <v>278</v>
      </c>
      <c r="O40" s="303">
        <v>278</v>
      </c>
      <c r="P40" s="303">
        <v>278</v>
      </c>
      <c r="Q40" s="35"/>
      <c r="R40" s="67">
        <v>1836</v>
      </c>
      <c r="S40" s="36"/>
      <c r="T40" s="36">
        <v>148.1</v>
      </c>
      <c r="U40" s="37"/>
      <c r="V40" s="37">
        <v>15</v>
      </c>
      <c r="W40" s="39"/>
      <c r="X40" s="39">
        <f>T40*1000/39.37/R40*38.5</f>
        <v>78.8819605961652</v>
      </c>
      <c r="Y40" s="40"/>
      <c r="Z40" s="40">
        <f t="shared" ref="Z40" si="4">(AD40+X40)/2</f>
        <v>79.455980298082608</v>
      </c>
      <c r="AA40" s="41"/>
      <c r="AB40" s="42"/>
      <c r="AC40" s="43"/>
      <c r="AD40" s="43">
        <v>80.03</v>
      </c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/>
      <c r="F41" s="29">
        <v>690119</v>
      </c>
      <c r="G41" s="45">
        <v>794</v>
      </c>
      <c r="H41" s="31">
        <v>0</v>
      </c>
      <c r="I41" s="46">
        <v>120</v>
      </c>
      <c r="J41" s="32">
        <v>120</v>
      </c>
      <c r="K41" s="33">
        <f t="shared" si="3"/>
        <v>63.52</v>
      </c>
      <c r="L41" s="47">
        <f t="shared" si="3"/>
        <v>0</v>
      </c>
      <c r="M41" s="303">
        <v>935</v>
      </c>
      <c r="N41" s="303">
        <v>1729</v>
      </c>
      <c r="O41" s="303">
        <v>1729</v>
      </c>
      <c r="P41" s="303">
        <v>1729</v>
      </c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47</v>
      </c>
      <c r="E42" s="28"/>
      <c r="F42" s="29">
        <v>690119</v>
      </c>
      <c r="G42" s="45">
        <v>0</v>
      </c>
      <c r="H42" s="31">
        <v>0</v>
      </c>
      <c r="I42" s="46">
        <v>120</v>
      </c>
      <c r="J42" s="32">
        <v>120</v>
      </c>
      <c r="K42" s="33">
        <f t="shared" si="3"/>
        <v>0</v>
      </c>
      <c r="L42" s="47">
        <f t="shared" si="3"/>
        <v>0</v>
      </c>
      <c r="M42" s="303">
        <v>1259</v>
      </c>
      <c r="N42" s="308">
        <v>1259</v>
      </c>
      <c r="O42" s="303">
        <v>1259</v>
      </c>
      <c r="P42" s="303">
        <v>1259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47</v>
      </c>
      <c r="E43" s="28"/>
      <c r="F43" s="29">
        <v>690119</v>
      </c>
      <c r="G43" s="45">
        <v>0</v>
      </c>
      <c r="H43" s="31">
        <v>0</v>
      </c>
      <c r="I43" s="46">
        <v>120</v>
      </c>
      <c r="J43" s="32">
        <v>120</v>
      </c>
      <c r="K43" s="33">
        <f t="shared" si="3"/>
        <v>0</v>
      </c>
      <c r="L43" s="47">
        <f t="shared" si="3"/>
        <v>0</v>
      </c>
      <c r="M43" s="303">
        <v>671</v>
      </c>
      <c r="N43" s="303">
        <v>671</v>
      </c>
      <c r="O43" s="303">
        <v>671</v>
      </c>
      <c r="P43" s="303">
        <v>671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/>
      <c r="F44" s="29">
        <v>690128</v>
      </c>
      <c r="G44" s="69">
        <v>0</v>
      </c>
      <c r="H44" s="31">
        <v>0</v>
      </c>
      <c r="I44" s="46">
        <v>120</v>
      </c>
      <c r="J44" s="32">
        <v>120</v>
      </c>
      <c r="K44" s="33">
        <f t="shared" si="3"/>
        <v>0</v>
      </c>
      <c r="L44" s="47">
        <f t="shared" si="3"/>
        <v>0</v>
      </c>
      <c r="M44" s="303">
        <v>456</v>
      </c>
      <c r="N44" s="303">
        <v>456</v>
      </c>
      <c r="O44" s="303">
        <v>456</v>
      </c>
      <c r="P44" s="303">
        <v>456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47</v>
      </c>
      <c r="E45" s="28"/>
      <c r="F45" s="29">
        <v>690119</v>
      </c>
      <c r="G45" s="45">
        <v>0</v>
      </c>
      <c r="H45" s="31">
        <v>0</v>
      </c>
      <c r="I45" s="63">
        <v>120</v>
      </c>
      <c r="J45" s="64">
        <v>120</v>
      </c>
      <c r="K45" s="65">
        <f t="shared" si="3"/>
        <v>0</v>
      </c>
      <c r="L45" s="68">
        <f t="shared" si="3"/>
        <v>0</v>
      </c>
      <c r="M45" s="308">
        <v>716</v>
      </c>
      <c r="N45" s="303">
        <v>716</v>
      </c>
      <c r="O45" s="308">
        <v>716</v>
      </c>
      <c r="P45" s="308">
        <v>716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>
        <v>69011015</v>
      </c>
      <c r="F46" s="29">
        <v>690128</v>
      </c>
      <c r="G46" s="45">
        <v>507</v>
      </c>
      <c r="H46" s="31">
        <v>726</v>
      </c>
      <c r="I46" s="46">
        <v>650</v>
      </c>
      <c r="J46" s="32">
        <v>650</v>
      </c>
      <c r="K46" s="33">
        <f t="shared" si="3"/>
        <v>40.56</v>
      </c>
      <c r="L46" s="47">
        <f t="shared" si="3"/>
        <v>58.08</v>
      </c>
      <c r="M46" s="305">
        <v>32</v>
      </c>
      <c r="N46" s="303">
        <v>539</v>
      </c>
      <c r="O46" s="303">
        <v>539</v>
      </c>
      <c r="P46" s="305">
        <v>1265</v>
      </c>
      <c r="Q46" s="35">
        <v>1500</v>
      </c>
      <c r="R46" s="48"/>
      <c r="S46" s="36">
        <v>170.9</v>
      </c>
      <c r="T46" s="36"/>
      <c r="U46" s="37">
        <v>15</v>
      </c>
      <c r="V46" s="38"/>
      <c r="W46" s="39">
        <f>S46*1000/39.37/Q46*42.5</f>
        <v>122.99127931589197</v>
      </c>
      <c r="X46" s="39"/>
      <c r="Y46" s="40">
        <f t="shared" ref="Y46:Z49" si="5">(AC46+W46)/2</f>
        <v>123.81063965794598</v>
      </c>
      <c r="Z46" s="40"/>
      <c r="AA46" s="41"/>
      <c r="AB46" s="42"/>
      <c r="AC46" s="239">
        <v>124.63</v>
      </c>
      <c r="AD46" s="43"/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59">
        <v>69011019</v>
      </c>
      <c r="F47" s="29">
        <v>690128</v>
      </c>
      <c r="G47" s="45">
        <v>454</v>
      </c>
      <c r="H47" s="31">
        <v>758</v>
      </c>
      <c r="I47" s="63">
        <v>650</v>
      </c>
      <c r="J47" s="64">
        <v>650</v>
      </c>
      <c r="K47" s="65">
        <f t="shared" si="3"/>
        <v>36.32</v>
      </c>
      <c r="L47" s="68">
        <f t="shared" si="3"/>
        <v>60.64</v>
      </c>
      <c r="M47" s="303">
        <v>1387</v>
      </c>
      <c r="N47" s="303">
        <v>304</v>
      </c>
      <c r="O47" s="303">
        <v>304</v>
      </c>
      <c r="P47" s="303">
        <v>1062</v>
      </c>
      <c r="Q47" s="35">
        <v>1537</v>
      </c>
      <c r="R47" s="48"/>
      <c r="S47" s="36">
        <v>175</v>
      </c>
      <c r="T47" s="36"/>
      <c r="U47" s="37">
        <v>15</v>
      </c>
      <c r="V47" s="38"/>
      <c r="W47" s="39">
        <f>S47*1000/39.37/Q47*42.5</f>
        <v>122.91013521519562</v>
      </c>
      <c r="X47" s="39"/>
      <c r="Y47" s="40">
        <f t="shared" si="5"/>
        <v>123.78006760759781</v>
      </c>
      <c r="Z47" s="40"/>
      <c r="AA47" s="41"/>
      <c r="AB47" s="42"/>
      <c r="AC47" s="239">
        <v>124.65</v>
      </c>
      <c r="AD47" s="43"/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>
        <v>69011032</v>
      </c>
      <c r="F48" s="29">
        <v>690128</v>
      </c>
      <c r="G48" s="69">
        <v>436</v>
      </c>
      <c r="H48" s="31">
        <v>686</v>
      </c>
      <c r="I48" s="63">
        <v>650</v>
      </c>
      <c r="J48" s="64">
        <v>650</v>
      </c>
      <c r="K48" s="65">
        <f t="shared" si="3"/>
        <v>34.880000000000003</v>
      </c>
      <c r="L48" s="68">
        <f t="shared" si="3"/>
        <v>54.88</v>
      </c>
      <c r="M48" s="303">
        <v>1223</v>
      </c>
      <c r="N48" s="303">
        <v>159</v>
      </c>
      <c r="O48" s="303">
        <v>159</v>
      </c>
      <c r="P48" s="303">
        <v>845</v>
      </c>
      <c r="Q48" s="35"/>
      <c r="R48" s="48">
        <v>1500</v>
      </c>
      <c r="S48" s="36"/>
      <c r="T48" s="36">
        <v>168.3</v>
      </c>
      <c r="U48" s="37"/>
      <c r="V48" s="38">
        <v>15</v>
      </c>
      <c r="W48" s="39"/>
      <c r="X48" s="39">
        <f>T48*1000/39.37/R48*42.5</f>
        <v>121.12014224028449</v>
      </c>
      <c r="Y48" s="40"/>
      <c r="Z48" s="40">
        <f t="shared" si="5"/>
        <v>121.58007112014225</v>
      </c>
      <c r="AA48" s="41"/>
      <c r="AB48" s="42"/>
      <c r="AC48" s="239"/>
      <c r="AD48" s="43">
        <v>122.04</v>
      </c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47</v>
      </c>
      <c r="E49" s="28">
        <v>69011025</v>
      </c>
      <c r="F49" s="29">
        <v>690119</v>
      </c>
      <c r="G49" s="73">
        <v>495</v>
      </c>
      <c r="H49" s="31">
        <v>932</v>
      </c>
      <c r="I49" s="46">
        <v>650</v>
      </c>
      <c r="J49" s="32">
        <v>650</v>
      </c>
      <c r="K49" s="33">
        <f t="shared" si="3"/>
        <v>39.6</v>
      </c>
      <c r="L49" s="47">
        <f t="shared" si="3"/>
        <v>74.56</v>
      </c>
      <c r="M49" s="303">
        <v>2193</v>
      </c>
      <c r="N49" s="303">
        <v>248</v>
      </c>
      <c r="O49" s="303">
        <v>248</v>
      </c>
      <c r="P49" s="303">
        <v>1180</v>
      </c>
      <c r="Q49" s="35"/>
      <c r="R49" s="48">
        <v>2440</v>
      </c>
      <c r="S49" s="36"/>
      <c r="T49" s="36">
        <v>201.4</v>
      </c>
      <c r="U49" s="37"/>
      <c r="V49" s="38">
        <v>25</v>
      </c>
      <c r="W49" s="39"/>
      <c r="X49" s="39">
        <f>T49*1000/39.37/R49*38.5</f>
        <v>80.716989302831081</v>
      </c>
      <c r="Y49" s="40"/>
      <c r="Z49" s="40">
        <f t="shared" si="5"/>
        <v>80.398494651415547</v>
      </c>
      <c r="AA49" s="41"/>
      <c r="AB49" s="42"/>
      <c r="AC49" s="43"/>
      <c r="AD49" s="43">
        <v>80.08</v>
      </c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47</v>
      </c>
      <c r="E50" s="28"/>
      <c r="F50" s="29">
        <v>690119</v>
      </c>
      <c r="G50" s="74">
        <v>601</v>
      </c>
      <c r="H50" s="31">
        <v>0</v>
      </c>
      <c r="I50" s="46">
        <v>650</v>
      </c>
      <c r="J50" s="32">
        <v>650</v>
      </c>
      <c r="K50" s="33">
        <f t="shared" si="3"/>
        <v>48.08</v>
      </c>
      <c r="L50" s="47">
        <f t="shared" si="3"/>
        <v>0</v>
      </c>
      <c r="M50" s="309">
        <v>992</v>
      </c>
      <c r="N50" s="303">
        <v>1593</v>
      </c>
      <c r="O50" s="303">
        <v>1593</v>
      </c>
      <c r="P50" s="309">
        <v>1593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52</v>
      </c>
      <c r="E51" s="259"/>
      <c r="F51" s="29">
        <v>690113</v>
      </c>
      <c r="G51" s="45">
        <v>402</v>
      </c>
      <c r="H51" s="31">
        <v>0</v>
      </c>
      <c r="I51" s="46">
        <v>650</v>
      </c>
      <c r="J51" s="32">
        <v>650</v>
      </c>
      <c r="K51" s="33">
        <f t="shared" si="3"/>
        <v>32.159999999999997</v>
      </c>
      <c r="L51" s="47">
        <f t="shared" si="3"/>
        <v>0</v>
      </c>
      <c r="M51" s="310">
        <v>1656</v>
      </c>
      <c r="N51" s="303">
        <v>2058</v>
      </c>
      <c r="O51" s="303">
        <v>2058</v>
      </c>
      <c r="P51" s="310">
        <v>2058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" customHeight="1" x14ac:dyDescent="0.4">
      <c r="A52" s="251" t="s">
        <v>110</v>
      </c>
      <c r="B52" s="246" t="s">
        <v>46</v>
      </c>
      <c r="C52" s="253" t="s">
        <v>45</v>
      </c>
      <c r="D52" s="256" t="s">
        <v>47</v>
      </c>
      <c r="E52" s="28"/>
      <c r="F52" s="29">
        <v>690119</v>
      </c>
      <c r="G52" s="45">
        <v>720</v>
      </c>
      <c r="H52" s="31">
        <v>700</v>
      </c>
      <c r="I52" s="46">
        <v>125</v>
      </c>
      <c r="J52" s="32">
        <v>125</v>
      </c>
      <c r="K52" s="33">
        <f t="shared" si="3"/>
        <v>57.6</v>
      </c>
      <c r="L52" s="47">
        <f t="shared" si="3"/>
        <v>56</v>
      </c>
      <c r="M52" s="307">
        <v>880</v>
      </c>
      <c r="N52" s="303">
        <v>1600</v>
      </c>
      <c r="O52" s="303">
        <v>1600</v>
      </c>
      <c r="P52" s="307">
        <v>2300</v>
      </c>
      <c r="Q52" s="35"/>
      <c r="R52" s="48"/>
      <c r="S52" s="36"/>
      <c r="T52" s="36"/>
      <c r="U52" s="37"/>
      <c r="V52" s="38"/>
      <c r="W52" s="39"/>
      <c r="X52" s="39"/>
      <c r="Y52" s="40"/>
      <c r="Z52" s="40"/>
      <c r="AA52" s="41"/>
      <c r="AB52" s="42"/>
      <c r="AC52" s="43"/>
      <c r="AD52" s="43"/>
    </row>
    <row r="53" spans="1:35" ht="24" customHeight="1" x14ac:dyDescent="0.4">
      <c r="A53" s="251" t="s">
        <v>111</v>
      </c>
      <c r="B53" s="246" t="s">
        <v>46</v>
      </c>
      <c r="C53" s="253" t="s">
        <v>45</v>
      </c>
      <c r="D53" s="256" t="s">
        <v>285</v>
      </c>
      <c r="E53" s="28">
        <v>69011016</v>
      </c>
      <c r="F53" s="29">
        <v>690113</v>
      </c>
      <c r="G53" s="69">
        <v>865</v>
      </c>
      <c r="H53" s="31">
        <v>500</v>
      </c>
      <c r="I53" s="46">
        <v>125</v>
      </c>
      <c r="J53" s="32">
        <v>125</v>
      </c>
      <c r="K53" s="33">
        <f t="shared" si="3"/>
        <v>69.2</v>
      </c>
      <c r="L53" s="47">
        <f t="shared" si="3"/>
        <v>40</v>
      </c>
      <c r="M53" s="303">
        <v>0</v>
      </c>
      <c r="N53" s="303">
        <v>865</v>
      </c>
      <c r="O53" s="303">
        <v>865</v>
      </c>
      <c r="P53" s="303">
        <v>1365</v>
      </c>
      <c r="Q53" s="35">
        <v>2500</v>
      </c>
      <c r="R53" s="48"/>
      <c r="S53" s="36">
        <v>185.4</v>
      </c>
      <c r="T53" s="36"/>
      <c r="U53" s="37">
        <v>25</v>
      </c>
      <c r="V53" s="38"/>
      <c r="W53" s="39">
        <f>S53*1000/39.37/Q53*35.5</f>
        <v>66.870205740411492</v>
      </c>
      <c r="X53" s="39"/>
      <c r="Y53" s="40">
        <f t="shared" ref="Y53:Z56" si="6">(AC53+W53)/2</f>
        <v>68.350102870205745</v>
      </c>
      <c r="Z53" s="40"/>
      <c r="AA53" s="41"/>
      <c r="AB53" s="42"/>
      <c r="AC53" s="43">
        <v>69.83</v>
      </c>
      <c r="AD53" s="43"/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47</v>
      </c>
      <c r="E54" s="28">
        <v>69011028</v>
      </c>
      <c r="F54" s="29">
        <v>690106</v>
      </c>
      <c r="G54" s="69">
        <v>885</v>
      </c>
      <c r="H54" s="31">
        <v>715</v>
      </c>
      <c r="I54" s="63">
        <v>125</v>
      </c>
      <c r="J54" s="64">
        <v>125</v>
      </c>
      <c r="K54" s="65">
        <f t="shared" si="3"/>
        <v>70.8</v>
      </c>
      <c r="L54" s="68">
        <f t="shared" si="3"/>
        <v>57.2</v>
      </c>
      <c r="M54" s="303">
        <v>1420</v>
      </c>
      <c r="N54" s="303">
        <v>335</v>
      </c>
      <c r="O54" s="303">
        <v>335</v>
      </c>
      <c r="P54" s="303">
        <v>1050</v>
      </c>
      <c r="Q54" s="35"/>
      <c r="R54" s="48">
        <v>1970</v>
      </c>
      <c r="S54" s="36"/>
      <c r="T54" s="36">
        <v>163.80000000000001</v>
      </c>
      <c r="U54" s="37"/>
      <c r="V54" s="38">
        <v>20</v>
      </c>
      <c r="W54" s="39"/>
      <c r="X54" s="39">
        <f>T54*1000/39.37/R54*38.5</f>
        <v>81.309817441969912</v>
      </c>
      <c r="Y54" s="40"/>
      <c r="Z54" s="40">
        <f t="shared" si="6"/>
        <v>83.409908720984959</v>
      </c>
      <c r="AA54" s="41"/>
      <c r="AB54" s="42"/>
      <c r="AC54" s="43"/>
      <c r="AD54" s="43">
        <v>85.51</v>
      </c>
    </row>
    <row r="55" spans="1:35" ht="24" customHeight="1" x14ac:dyDescent="0.4">
      <c r="A55" s="251" t="s">
        <v>113</v>
      </c>
      <c r="B55" s="246" t="s">
        <v>46</v>
      </c>
      <c r="C55" s="253" t="s">
        <v>45</v>
      </c>
      <c r="D55" s="256" t="s">
        <v>47</v>
      </c>
      <c r="E55" s="28">
        <v>69011029</v>
      </c>
      <c r="F55" s="29">
        <v>690106</v>
      </c>
      <c r="G55" s="45">
        <v>780</v>
      </c>
      <c r="H55" s="31">
        <v>760</v>
      </c>
      <c r="I55" s="46">
        <v>125</v>
      </c>
      <c r="J55" s="32">
        <v>125</v>
      </c>
      <c r="K55" s="33">
        <f t="shared" si="3"/>
        <v>62.4</v>
      </c>
      <c r="L55" s="47">
        <f t="shared" si="3"/>
        <v>60.8</v>
      </c>
      <c r="M55" s="303">
        <v>1125</v>
      </c>
      <c r="N55" s="303">
        <v>270</v>
      </c>
      <c r="O55" s="303">
        <v>270</v>
      </c>
      <c r="P55" s="303">
        <v>100</v>
      </c>
      <c r="Q55" s="35"/>
      <c r="R55" s="48">
        <v>1635</v>
      </c>
      <c r="S55" s="36"/>
      <c r="T55" s="36">
        <v>136.69999999999999</v>
      </c>
      <c r="U55" s="37"/>
      <c r="V55" s="38">
        <v>15</v>
      </c>
      <c r="W55" s="39"/>
      <c r="X55" s="39">
        <f>T55*1000/39.37/R55*38.5</f>
        <v>81.760976977611449</v>
      </c>
      <c r="Y55" s="40"/>
      <c r="Z55" s="40">
        <f t="shared" si="6"/>
        <v>83.055488488805722</v>
      </c>
      <c r="AA55" s="41"/>
      <c r="AB55" s="42"/>
      <c r="AC55" s="43"/>
      <c r="AD55" s="43">
        <v>84.35</v>
      </c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>
        <v>69011031</v>
      </c>
      <c r="F56" s="29">
        <v>690106</v>
      </c>
      <c r="G56" s="45">
        <v>800</v>
      </c>
      <c r="H56" s="31">
        <v>0</v>
      </c>
      <c r="I56" s="63">
        <v>115</v>
      </c>
      <c r="J56" s="64">
        <v>115</v>
      </c>
      <c r="K56" s="65">
        <v>0</v>
      </c>
      <c r="L56" s="68">
        <v>0</v>
      </c>
      <c r="M56" s="303">
        <v>1631</v>
      </c>
      <c r="N56" s="303">
        <v>304</v>
      </c>
      <c r="O56" s="303">
        <v>304</v>
      </c>
      <c r="P56" s="303">
        <v>304</v>
      </c>
      <c r="Q56" s="35"/>
      <c r="R56" s="48">
        <v>2127</v>
      </c>
      <c r="S56" s="36"/>
      <c r="T56" s="36">
        <v>176.6</v>
      </c>
      <c r="U56" s="37"/>
      <c r="V56" s="38">
        <v>20</v>
      </c>
      <c r="W56" s="39"/>
      <c r="X56" s="39">
        <f>T56*1000/39.37/R56*38.5</f>
        <v>81.192987961904464</v>
      </c>
      <c r="Y56" s="40"/>
      <c r="Z56" s="40">
        <f t="shared" si="6"/>
        <v>83.071493980952226</v>
      </c>
      <c r="AA56" s="41"/>
      <c r="AB56" s="41"/>
      <c r="AC56" s="43"/>
      <c r="AD56" s="43">
        <v>84.95</v>
      </c>
    </row>
    <row r="57" spans="1:35" ht="24" customHeight="1" thickBot="1" x14ac:dyDescent="0.55000000000000004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752</v>
      </c>
      <c r="H57" s="31">
        <v>412</v>
      </c>
      <c r="I57" s="46">
        <v>115</v>
      </c>
      <c r="J57" s="32">
        <v>115</v>
      </c>
      <c r="K57" s="33">
        <f t="shared" ref="K57:L82" si="7">G57*8/100</f>
        <v>60.16</v>
      </c>
      <c r="L57" s="47">
        <f t="shared" si="7"/>
        <v>32.96</v>
      </c>
      <c r="M57" s="308">
        <v>594</v>
      </c>
      <c r="N57" s="303">
        <v>1346</v>
      </c>
      <c r="O57" s="303">
        <v>1346</v>
      </c>
      <c r="P57" s="308">
        <v>243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>
        <v>69011005</v>
      </c>
      <c r="F58" s="29">
        <v>690107</v>
      </c>
      <c r="G58" s="45">
        <v>928</v>
      </c>
      <c r="H58" s="31">
        <v>1113</v>
      </c>
      <c r="I58" s="46">
        <v>135</v>
      </c>
      <c r="J58" s="32">
        <v>135</v>
      </c>
      <c r="K58" s="33">
        <f t="shared" si="7"/>
        <v>74.239999999999995</v>
      </c>
      <c r="L58" s="47">
        <f t="shared" si="7"/>
        <v>89.04</v>
      </c>
      <c r="M58" s="305">
        <v>1560</v>
      </c>
      <c r="N58" s="303">
        <v>850</v>
      </c>
      <c r="O58" s="303">
        <v>850</v>
      </c>
      <c r="P58" s="305">
        <v>1963</v>
      </c>
      <c r="Q58" s="35">
        <v>1580</v>
      </c>
      <c r="R58" s="48"/>
      <c r="S58" s="36">
        <v>108.7</v>
      </c>
      <c r="T58" s="36"/>
      <c r="U58" s="37">
        <v>15</v>
      </c>
      <c r="V58" s="38"/>
      <c r="W58" s="39">
        <f>S58*1000/39.37/Q58*38.5</f>
        <v>67.277178858155182</v>
      </c>
      <c r="X58" s="39"/>
      <c r="Y58" s="40">
        <f t="shared" ref="Y58:Z61" si="8">(AC58+W58)/2</f>
        <v>67.083589429077591</v>
      </c>
      <c r="Z58" s="40"/>
      <c r="AA58" s="41"/>
      <c r="AB58" s="41"/>
      <c r="AC58" s="43">
        <v>66.89</v>
      </c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71</v>
      </c>
      <c r="E59" s="28">
        <v>69011023</v>
      </c>
      <c r="F59" s="29">
        <v>690106</v>
      </c>
      <c r="G59" s="45">
        <v>1036</v>
      </c>
      <c r="H59" s="31">
        <v>1117</v>
      </c>
      <c r="I59" s="46">
        <v>135</v>
      </c>
      <c r="J59" s="32">
        <v>135</v>
      </c>
      <c r="K59" s="33">
        <f t="shared" si="7"/>
        <v>82.88</v>
      </c>
      <c r="L59" s="47">
        <f t="shared" si="7"/>
        <v>89.36</v>
      </c>
      <c r="M59" s="303">
        <v>2317</v>
      </c>
      <c r="N59" s="303">
        <v>583</v>
      </c>
      <c r="O59" s="303">
        <v>583</v>
      </c>
      <c r="P59" s="303">
        <v>1700</v>
      </c>
      <c r="Q59" s="35"/>
      <c r="R59" s="48">
        <v>2650</v>
      </c>
      <c r="S59" s="36"/>
      <c r="T59" s="36">
        <v>184.1</v>
      </c>
      <c r="U59" s="37"/>
      <c r="V59" s="38">
        <v>25</v>
      </c>
      <c r="W59" s="39"/>
      <c r="X59" s="39">
        <f>T59*1000/39.37/R59*31.5</f>
        <v>55.584416829211015</v>
      </c>
      <c r="Y59" s="40"/>
      <c r="Z59" s="40">
        <f t="shared" si="8"/>
        <v>58.017208414605506</v>
      </c>
      <c r="AA59" s="41"/>
      <c r="AB59" s="42"/>
      <c r="AC59" s="43"/>
      <c r="AD59" s="43">
        <v>60.45</v>
      </c>
      <c r="AI59" s="75"/>
    </row>
    <row r="60" spans="1:35" ht="26.25" customHeight="1" x14ac:dyDescent="0.4">
      <c r="A60" s="251" t="s">
        <v>123</v>
      </c>
      <c r="B60" s="246" t="s">
        <v>121</v>
      </c>
      <c r="C60" s="253" t="s">
        <v>120</v>
      </c>
      <c r="D60" s="256" t="s">
        <v>71</v>
      </c>
      <c r="E60" s="259">
        <v>69011022</v>
      </c>
      <c r="F60" s="29">
        <v>690106</v>
      </c>
      <c r="G60" s="45">
        <v>1025</v>
      </c>
      <c r="H60" s="31">
        <v>1024</v>
      </c>
      <c r="I60" s="46">
        <v>135</v>
      </c>
      <c r="J60" s="64">
        <v>135</v>
      </c>
      <c r="K60" s="65">
        <f t="shared" si="7"/>
        <v>82</v>
      </c>
      <c r="L60" s="68">
        <f t="shared" si="7"/>
        <v>81.92</v>
      </c>
      <c r="M60" s="303">
        <v>2293</v>
      </c>
      <c r="N60" s="303">
        <v>626</v>
      </c>
      <c r="O60" s="303">
        <v>626</v>
      </c>
      <c r="P60" s="303">
        <v>1650</v>
      </c>
      <c r="Q60" s="35"/>
      <c r="R60" s="48">
        <v>2692</v>
      </c>
      <c r="S60" s="36"/>
      <c r="T60" s="36">
        <v>188.1</v>
      </c>
      <c r="U60" s="37"/>
      <c r="V60" s="38">
        <v>25</v>
      </c>
      <c r="W60" s="39"/>
      <c r="X60" s="39">
        <f>T60*1000/39.37/R60*31.5</f>
        <v>55.906059063232533</v>
      </c>
      <c r="Y60" s="40"/>
      <c r="Z60" s="40">
        <f t="shared" si="8"/>
        <v>57.80802953161627</v>
      </c>
      <c r="AA60" s="41"/>
      <c r="AB60" s="42"/>
      <c r="AC60" s="43"/>
      <c r="AD60" s="43">
        <v>59.71</v>
      </c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47</v>
      </c>
      <c r="E61" s="28">
        <v>69011021</v>
      </c>
      <c r="F61" s="29">
        <v>690106</v>
      </c>
      <c r="G61" s="45">
        <v>903</v>
      </c>
      <c r="H61" s="31">
        <v>970</v>
      </c>
      <c r="I61" s="46">
        <v>135</v>
      </c>
      <c r="J61" s="64">
        <v>135</v>
      </c>
      <c r="K61" s="65">
        <f t="shared" si="7"/>
        <v>72.239999999999995</v>
      </c>
      <c r="L61" s="68">
        <f t="shared" si="7"/>
        <v>77.599999999999994</v>
      </c>
      <c r="M61" s="303">
        <v>2252</v>
      </c>
      <c r="N61" s="303">
        <v>565</v>
      </c>
      <c r="O61" s="303">
        <v>565</v>
      </c>
      <c r="P61" s="303">
        <v>1535</v>
      </c>
      <c r="Q61" s="35">
        <v>2590</v>
      </c>
      <c r="R61" s="48"/>
      <c r="S61" s="36">
        <v>217.7</v>
      </c>
      <c r="T61" s="36"/>
      <c r="U61" s="37">
        <v>25</v>
      </c>
      <c r="V61" s="38"/>
      <c r="W61" s="39">
        <f>S61*1000/39.37/Q61*38.5</f>
        <v>82.196623852707162</v>
      </c>
      <c r="X61" s="39"/>
      <c r="Y61" s="40">
        <f t="shared" si="8"/>
        <v>83.448311926353583</v>
      </c>
      <c r="Z61" s="40"/>
      <c r="AA61" s="41"/>
      <c r="AB61" s="42"/>
      <c r="AC61" s="43">
        <v>84.7</v>
      </c>
      <c r="AD61" s="43"/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94</v>
      </c>
      <c r="E62" s="28"/>
      <c r="F62" s="29">
        <v>690108</v>
      </c>
      <c r="G62" s="45">
        <v>974</v>
      </c>
      <c r="H62" s="31">
        <v>1022</v>
      </c>
      <c r="I62" s="46">
        <v>135</v>
      </c>
      <c r="J62" s="32">
        <v>135</v>
      </c>
      <c r="K62" s="33">
        <f t="shared" si="7"/>
        <v>77.92</v>
      </c>
      <c r="L62" s="47">
        <f t="shared" si="7"/>
        <v>81.760000000000005</v>
      </c>
      <c r="M62" s="306">
        <v>804</v>
      </c>
      <c r="N62" s="303">
        <v>1778</v>
      </c>
      <c r="O62" s="303">
        <v>1778</v>
      </c>
      <c r="P62" s="306">
        <v>240</v>
      </c>
      <c r="Q62" s="35"/>
      <c r="R62" s="48"/>
      <c r="S62" s="36"/>
      <c r="T62" s="36"/>
      <c r="U62" s="37"/>
      <c r="V62" s="38"/>
      <c r="W62" s="39"/>
      <c r="X62" s="39"/>
      <c r="Y62" s="40"/>
      <c r="Z62" s="40"/>
      <c r="AA62" s="41"/>
      <c r="AB62" s="42"/>
      <c r="AC62" s="43"/>
      <c r="AD62" s="43"/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47</v>
      </c>
      <c r="E63" s="28">
        <v>69011026</v>
      </c>
      <c r="F63" s="29">
        <v>690106</v>
      </c>
      <c r="G63" s="45">
        <v>720</v>
      </c>
      <c r="H63" s="31">
        <v>500</v>
      </c>
      <c r="I63" s="46">
        <v>135</v>
      </c>
      <c r="J63" s="64">
        <v>135</v>
      </c>
      <c r="K63" s="65">
        <f t="shared" si="7"/>
        <v>57.6</v>
      </c>
      <c r="L63" s="68">
        <f t="shared" si="7"/>
        <v>40</v>
      </c>
      <c r="M63" s="303">
        <v>1465</v>
      </c>
      <c r="N63" s="303">
        <v>200</v>
      </c>
      <c r="O63" s="303">
        <v>200</v>
      </c>
      <c r="P63" s="303">
        <v>700</v>
      </c>
      <c r="Q63" s="35"/>
      <c r="R63" s="48">
        <v>1985</v>
      </c>
      <c r="S63" s="36"/>
      <c r="T63" s="36">
        <v>168.4</v>
      </c>
      <c r="U63" s="37"/>
      <c r="V63" s="38">
        <v>20</v>
      </c>
      <c r="W63" s="39"/>
      <c r="X63" s="39">
        <f>T63*1000/39.37/R63*38.5</f>
        <v>82.96155635132429</v>
      </c>
      <c r="Y63" s="40"/>
      <c r="Z63" s="40">
        <f t="shared" ref="Y63:Z64" si="9">(AD63+X63)/2</f>
        <v>84.27577817566214</v>
      </c>
      <c r="AA63" s="41"/>
      <c r="AB63" s="42"/>
      <c r="AC63" s="43"/>
      <c r="AD63" s="43">
        <v>85.59</v>
      </c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71</v>
      </c>
      <c r="E64" s="28">
        <v>69011012</v>
      </c>
      <c r="F64" s="29">
        <v>690106</v>
      </c>
      <c r="G64" s="45">
        <v>900</v>
      </c>
      <c r="H64" s="31">
        <v>720</v>
      </c>
      <c r="I64" s="46">
        <v>135</v>
      </c>
      <c r="J64" s="64">
        <v>135</v>
      </c>
      <c r="K64" s="65">
        <f t="shared" si="7"/>
        <v>72</v>
      </c>
      <c r="L64" s="76">
        <f t="shared" si="7"/>
        <v>57.6</v>
      </c>
      <c r="M64" s="303">
        <v>380</v>
      </c>
      <c r="N64" s="303">
        <v>1280</v>
      </c>
      <c r="O64" s="303">
        <v>1280</v>
      </c>
      <c r="P64" s="303">
        <v>2000</v>
      </c>
      <c r="Q64" s="35">
        <v>2770</v>
      </c>
      <c r="R64" s="48"/>
      <c r="S64" s="36">
        <v>192.5</v>
      </c>
      <c r="T64" s="36"/>
      <c r="U64" s="37">
        <v>25</v>
      </c>
      <c r="V64" s="38"/>
      <c r="W64" s="39">
        <f>S64*1000/39.37/Q64*31.5</f>
        <v>55.602728533976929</v>
      </c>
      <c r="X64" s="39"/>
      <c r="Y64" s="40">
        <f t="shared" si="9"/>
        <v>56.496364266988465</v>
      </c>
      <c r="Z64" s="40"/>
      <c r="AA64" s="41"/>
      <c r="AB64" s="42"/>
      <c r="AC64" s="43">
        <v>57.39</v>
      </c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71</v>
      </c>
      <c r="E65" s="28">
        <v>69011024</v>
      </c>
      <c r="F65" s="29">
        <v>690106</v>
      </c>
      <c r="G65" s="69">
        <v>725</v>
      </c>
      <c r="H65" s="31">
        <v>720</v>
      </c>
      <c r="I65" s="46">
        <v>135</v>
      </c>
      <c r="J65" s="32">
        <v>135</v>
      </c>
      <c r="K65" s="33">
        <f t="shared" si="7"/>
        <v>58</v>
      </c>
      <c r="L65" s="47">
        <f t="shared" si="7"/>
        <v>57.6</v>
      </c>
      <c r="M65" s="303">
        <v>2330</v>
      </c>
      <c r="N65" s="303">
        <v>400</v>
      </c>
      <c r="O65" s="303">
        <v>400</v>
      </c>
      <c r="P65" s="303">
        <v>1120</v>
      </c>
      <c r="Q65" s="35"/>
      <c r="R65" s="48">
        <v>2655</v>
      </c>
      <c r="S65" s="36"/>
      <c r="T65" s="36">
        <v>185.4</v>
      </c>
      <c r="U65" s="37"/>
      <c r="V65" s="38">
        <v>25</v>
      </c>
      <c r="W65" s="39"/>
      <c r="X65" s="39">
        <f>T65*1000/39.37/R65*31.5</f>
        <v>55.871501573511622</v>
      </c>
      <c r="Y65" s="40"/>
      <c r="Z65" s="40">
        <f t="shared" ref="Z65" si="10">(AD65+X65)/2</f>
        <v>57.15575078675581</v>
      </c>
      <c r="AA65" s="41"/>
      <c r="AB65" s="42"/>
      <c r="AC65" s="43"/>
      <c r="AD65" s="43">
        <v>58.44</v>
      </c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770</v>
      </c>
      <c r="H66" s="31">
        <v>780</v>
      </c>
      <c r="I66" s="46">
        <v>135</v>
      </c>
      <c r="J66" s="32">
        <v>135</v>
      </c>
      <c r="K66" s="33">
        <f t="shared" si="7"/>
        <v>61.6</v>
      </c>
      <c r="L66" s="47">
        <f t="shared" si="7"/>
        <v>62.4</v>
      </c>
      <c r="M66" s="303">
        <v>400</v>
      </c>
      <c r="N66" s="303">
        <v>1170</v>
      </c>
      <c r="O66" s="303">
        <v>1170</v>
      </c>
      <c r="P66" s="303">
        <v>400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thickBot="1" x14ac:dyDescent="0.45">
      <c r="A67" s="251" t="s">
        <v>131</v>
      </c>
      <c r="B67" s="246" t="s">
        <v>232</v>
      </c>
      <c r="C67" s="253" t="s">
        <v>127</v>
      </c>
      <c r="D67" s="256" t="s">
        <v>104</v>
      </c>
      <c r="E67" s="28">
        <v>69011018</v>
      </c>
      <c r="F67" s="29">
        <v>690128</v>
      </c>
      <c r="G67" s="45">
        <v>700</v>
      </c>
      <c r="H67" s="31">
        <v>230</v>
      </c>
      <c r="I67" s="46">
        <v>135</v>
      </c>
      <c r="J67" s="32">
        <v>135</v>
      </c>
      <c r="K67" s="33">
        <f t="shared" si="7"/>
        <v>56</v>
      </c>
      <c r="L67" s="47">
        <f t="shared" si="7"/>
        <v>18.399999999999999</v>
      </c>
      <c r="M67" s="303">
        <v>1370</v>
      </c>
      <c r="N67" s="308">
        <v>570</v>
      </c>
      <c r="O67" s="303">
        <v>570</v>
      </c>
      <c r="P67" s="303">
        <v>800</v>
      </c>
      <c r="Q67" s="35">
        <v>1630</v>
      </c>
      <c r="R67" s="48"/>
      <c r="S67" s="36">
        <v>181.9</v>
      </c>
      <c r="T67" s="36"/>
      <c r="U67" s="37"/>
      <c r="V67" s="38"/>
      <c r="W67" s="39">
        <f>S67*1000/39.37/Q67*42.5</f>
        <v>120.46714277477636</v>
      </c>
      <c r="X67" s="39"/>
      <c r="Y67" s="40">
        <f t="shared" ref="Y67" si="11">(AC67+W67)/2</f>
        <v>122.02357138738819</v>
      </c>
      <c r="Z67" s="40"/>
      <c r="AA67" s="41"/>
      <c r="AB67" s="235"/>
      <c r="AC67" s="239">
        <v>123.58</v>
      </c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47</v>
      </c>
      <c r="E68" s="28"/>
      <c r="F68" s="29">
        <v>690119</v>
      </c>
      <c r="G68" s="69">
        <v>413</v>
      </c>
      <c r="H68" s="31">
        <v>282</v>
      </c>
      <c r="I68" s="46">
        <v>130</v>
      </c>
      <c r="J68" s="32">
        <v>130</v>
      </c>
      <c r="K68" s="33">
        <f t="shared" si="7"/>
        <v>33.04</v>
      </c>
      <c r="L68" s="47">
        <f t="shared" si="7"/>
        <v>22.56</v>
      </c>
      <c r="M68" s="303">
        <v>0</v>
      </c>
      <c r="N68" s="305">
        <v>413</v>
      </c>
      <c r="O68" s="303">
        <v>413</v>
      </c>
      <c r="P68" s="303">
        <v>695</v>
      </c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47</v>
      </c>
      <c r="E69" s="28">
        <v>69011013</v>
      </c>
      <c r="F69" s="29">
        <v>690119</v>
      </c>
      <c r="G69" s="69">
        <v>413</v>
      </c>
      <c r="H69" s="31">
        <v>441</v>
      </c>
      <c r="I69" s="46">
        <v>780</v>
      </c>
      <c r="J69" s="32">
        <v>780</v>
      </c>
      <c r="K69" s="33">
        <f t="shared" si="7"/>
        <v>33.04</v>
      </c>
      <c r="L69" s="47">
        <f t="shared" si="7"/>
        <v>35.28</v>
      </c>
      <c r="M69" s="303">
        <v>1671</v>
      </c>
      <c r="N69" s="303">
        <v>413</v>
      </c>
      <c r="O69" s="303">
        <v>413</v>
      </c>
      <c r="P69" s="303">
        <v>854</v>
      </c>
      <c r="Q69" s="35">
        <v>1660</v>
      </c>
      <c r="R69" s="48"/>
      <c r="S69" s="36">
        <v>136.5</v>
      </c>
      <c r="T69" s="36"/>
      <c r="U69" s="37">
        <v>15</v>
      </c>
      <c r="V69" s="38"/>
      <c r="W69" s="39">
        <f>S69*1000/39.37/Q69*38.5</f>
        <v>80.411817450140916</v>
      </c>
      <c r="X69" s="39"/>
      <c r="Y69" s="40">
        <f t="shared" ref="Y69" si="12">(AC69+W69)/2</f>
        <v>80.475908725070468</v>
      </c>
      <c r="Z69" s="40"/>
      <c r="AA69" s="41"/>
      <c r="AB69" s="42"/>
      <c r="AC69" s="43">
        <v>80.540000000000006</v>
      </c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47</v>
      </c>
      <c r="E70" s="28"/>
      <c r="F70" s="29">
        <v>690119</v>
      </c>
      <c r="G70" s="45">
        <v>537</v>
      </c>
      <c r="H70" s="31">
        <v>590</v>
      </c>
      <c r="I70" s="46">
        <v>780</v>
      </c>
      <c r="J70" s="32">
        <v>780</v>
      </c>
      <c r="K70" s="33">
        <f t="shared" si="7"/>
        <v>42.96</v>
      </c>
      <c r="L70" s="47">
        <f t="shared" si="7"/>
        <v>47.2</v>
      </c>
      <c r="M70" s="308">
        <v>999</v>
      </c>
      <c r="N70" s="303">
        <v>391</v>
      </c>
      <c r="O70" s="308">
        <v>391</v>
      </c>
      <c r="P70" s="308">
        <v>981</v>
      </c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47</v>
      </c>
      <c r="E71" s="28"/>
      <c r="F71" s="29">
        <v>690106</v>
      </c>
      <c r="G71" s="45">
        <v>521</v>
      </c>
      <c r="H71" s="31">
        <v>487</v>
      </c>
      <c r="I71" s="46">
        <v>780</v>
      </c>
      <c r="J71" s="32">
        <v>780</v>
      </c>
      <c r="K71" s="33">
        <f t="shared" si="7"/>
        <v>41.68</v>
      </c>
      <c r="L71" s="47">
        <f t="shared" si="7"/>
        <v>38.96</v>
      </c>
      <c r="M71" s="305">
        <v>1709</v>
      </c>
      <c r="N71" s="303">
        <v>2230</v>
      </c>
      <c r="O71" s="305">
        <v>2230</v>
      </c>
      <c r="P71" s="305">
        <v>217</v>
      </c>
      <c r="Q71" s="35"/>
      <c r="R71" s="48"/>
      <c r="S71" s="36"/>
      <c r="T71" s="36"/>
      <c r="U71" s="37"/>
      <c r="V71" s="38"/>
      <c r="W71" s="39"/>
      <c r="X71" s="39"/>
      <c r="Y71" s="40"/>
      <c r="Z71" s="40"/>
      <c r="AA71" s="41"/>
      <c r="AB71" s="42"/>
      <c r="AC71" s="43"/>
      <c r="AD71" s="43"/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286</v>
      </c>
      <c r="E72" s="28">
        <v>69011020</v>
      </c>
      <c r="F72" s="29">
        <v>690104</v>
      </c>
      <c r="G72" s="77">
        <v>895</v>
      </c>
      <c r="H72" s="31">
        <v>670</v>
      </c>
      <c r="I72" s="63">
        <v>780</v>
      </c>
      <c r="J72" s="64">
        <v>780</v>
      </c>
      <c r="K72" s="65">
        <f t="shared" si="7"/>
        <v>71.599999999999994</v>
      </c>
      <c r="L72" s="47">
        <f t="shared" si="7"/>
        <v>53.6</v>
      </c>
      <c r="M72" s="303">
        <v>1851</v>
      </c>
      <c r="N72" s="303">
        <v>746</v>
      </c>
      <c r="O72" s="303">
        <v>746</v>
      </c>
      <c r="P72" s="303">
        <v>1416</v>
      </c>
      <c r="Q72" s="35">
        <v>2000</v>
      </c>
      <c r="R72" s="48"/>
      <c r="S72" s="36">
        <v>142</v>
      </c>
      <c r="T72" s="36"/>
      <c r="U72" s="37"/>
      <c r="V72" s="38"/>
      <c r="W72" s="39">
        <f>S72*1000/39.37/Q72*31.5</f>
        <v>56.807213614427233</v>
      </c>
      <c r="X72" s="39"/>
      <c r="Y72" s="40">
        <f t="shared" ref="Y72" si="13">(AC72+W72)/2</f>
        <v>57.51360680721362</v>
      </c>
      <c r="Z72" s="40"/>
      <c r="AA72" s="41"/>
      <c r="AB72" s="42"/>
      <c r="AC72" s="43">
        <v>58.22</v>
      </c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43</v>
      </c>
      <c r="E73" s="28"/>
      <c r="F73" s="29">
        <v>690107</v>
      </c>
      <c r="G73" s="78">
        <v>606</v>
      </c>
      <c r="H73" s="31">
        <v>0</v>
      </c>
      <c r="I73" s="63">
        <v>780</v>
      </c>
      <c r="J73" s="64">
        <v>780</v>
      </c>
      <c r="K73" s="65">
        <f t="shared" si="7"/>
        <v>48.48</v>
      </c>
      <c r="L73" s="47">
        <f t="shared" si="7"/>
        <v>0</v>
      </c>
      <c r="M73" s="303">
        <v>1500</v>
      </c>
      <c r="N73" s="303">
        <v>2106</v>
      </c>
      <c r="O73" s="303">
        <v>2106</v>
      </c>
      <c r="P73" s="303">
        <v>2106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43</v>
      </c>
      <c r="E74" s="28"/>
      <c r="F74" s="29">
        <v>690107</v>
      </c>
      <c r="G74" s="79">
        <v>510</v>
      </c>
      <c r="H74" s="31">
        <v>0</v>
      </c>
      <c r="I74" s="63">
        <v>780</v>
      </c>
      <c r="J74" s="64">
        <v>780</v>
      </c>
      <c r="K74" s="65">
        <f t="shared" si="7"/>
        <v>40.799999999999997</v>
      </c>
      <c r="L74" s="68">
        <f t="shared" si="7"/>
        <v>0</v>
      </c>
      <c r="M74" s="303">
        <v>680</v>
      </c>
      <c r="N74" s="303">
        <v>1190</v>
      </c>
      <c r="O74" s="303">
        <v>1190</v>
      </c>
      <c r="P74" s="303">
        <v>1190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140</v>
      </c>
      <c r="E75" s="28">
        <v>69011004</v>
      </c>
      <c r="F75" s="29">
        <v>690109</v>
      </c>
      <c r="G75" s="80">
        <v>910</v>
      </c>
      <c r="H75" s="31">
        <v>904</v>
      </c>
      <c r="I75" s="46">
        <v>800</v>
      </c>
      <c r="J75" s="32">
        <v>800</v>
      </c>
      <c r="K75" s="33">
        <f t="shared" si="7"/>
        <v>72.8</v>
      </c>
      <c r="L75" s="47">
        <f t="shared" si="7"/>
        <v>72.319999999999993</v>
      </c>
      <c r="M75" s="307">
        <v>255</v>
      </c>
      <c r="N75" s="303">
        <v>1165</v>
      </c>
      <c r="O75" s="303">
        <v>1165</v>
      </c>
      <c r="P75" s="303">
        <v>619</v>
      </c>
      <c r="Q75" s="48">
        <v>2000</v>
      </c>
      <c r="R75" s="48"/>
      <c r="S75" s="36">
        <v>152.1</v>
      </c>
      <c r="T75" s="36"/>
      <c r="U75" s="37"/>
      <c r="V75" s="38"/>
      <c r="W75" s="39">
        <f>S75*1000/39.37/Q75*38.5</f>
        <v>74.369443738887483</v>
      </c>
      <c r="X75" s="39"/>
      <c r="Y75" s="40">
        <f t="shared" ref="Y75:Y76" si="14">(AC75+W75)/2</f>
        <v>75.454721869443745</v>
      </c>
      <c r="Z75" s="40"/>
      <c r="AA75" s="41"/>
      <c r="AB75" s="42"/>
      <c r="AC75" s="43">
        <v>76.540000000000006</v>
      </c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146</v>
      </c>
      <c r="E76" s="28">
        <v>69011017</v>
      </c>
      <c r="F76" s="29">
        <v>690109</v>
      </c>
      <c r="G76" s="45">
        <v>903</v>
      </c>
      <c r="H76" s="31">
        <v>908</v>
      </c>
      <c r="I76" s="46">
        <v>800</v>
      </c>
      <c r="J76" s="32">
        <v>800</v>
      </c>
      <c r="K76" s="33">
        <f t="shared" si="7"/>
        <v>72.239999999999995</v>
      </c>
      <c r="L76" s="47">
        <f t="shared" si="7"/>
        <v>72.64</v>
      </c>
      <c r="M76" s="303">
        <v>1355</v>
      </c>
      <c r="N76" s="303">
        <v>766</v>
      </c>
      <c r="O76" s="303">
        <v>766</v>
      </c>
      <c r="P76" s="303">
        <v>1674</v>
      </c>
      <c r="Q76" s="35">
        <v>1492</v>
      </c>
      <c r="R76" s="48"/>
      <c r="S76" s="36">
        <v>114.9</v>
      </c>
      <c r="T76" s="36"/>
      <c r="U76" s="37"/>
      <c r="V76" s="38"/>
      <c r="W76" s="39">
        <f>S76*1000/39.37/Q76*38.5</f>
        <v>75.308937481145747</v>
      </c>
      <c r="X76" s="39"/>
      <c r="Y76" s="40">
        <f t="shared" si="14"/>
        <v>75.51446874057288</v>
      </c>
      <c r="Z76" s="40"/>
      <c r="AA76" s="41"/>
      <c r="AB76" s="42"/>
      <c r="AC76" s="43">
        <v>75.72</v>
      </c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140</v>
      </c>
      <c r="E77" s="28"/>
      <c r="F77" s="29">
        <v>690109</v>
      </c>
      <c r="G77" s="45">
        <v>900</v>
      </c>
      <c r="H77" s="31">
        <v>951</v>
      </c>
      <c r="I77" s="46">
        <v>800</v>
      </c>
      <c r="J77" s="32">
        <v>800</v>
      </c>
      <c r="K77" s="33">
        <f t="shared" si="7"/>
        <v>72</v>
      </c>
      <c r="L77" s="47">
        <f t="shared" si="7"/>
        <v>76.08</v>
      </c>
      <c r="M77" s="303">
        <v>720</v>
      </c>
      <c r="N77" s="303">
        <v>1620</v>
      </c>
      <c r="O77" s="303">
        <v>1620</v>
      </c>
      <c r="P77" s="303">
        <v>571</v>
      </c>
      <c r="Q77" s="35"/>
      <c r="R77" s="48"/>
      <c r="S77" s="36"/>
      <c r="T77" s="36"/>
      <c r="U77" s="37"/>
      <c r="V77" s="38"/>
      <c r="W77" s="39"/>
      <c r="X77" s="39"/>
      <c r="Y77" s="40"/>
      <c r="Z77" s="40"/>
      <c r="AA77" s="41"/>
      <c r="AB77" s="42"/>
      <c r="AC77" s="43"/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140</v>
      </c>
      <c r="E78" s="28"/>
      <c r="F78" s="29">
        <v>690106</v>
      </c>
      <c r="G78" s="45">
        <v>916</v>
      </c>
      <c r="H78" s="31">
        <v>832</v>
      </c>
      <c r="I78" s="46">
        <v>800</v>
      </c>
      <c r="J78" s="32">
        <v>800</v>
      </c>
      <c r="K78" s="33">
        <f t="shared" si="7"/>
        <v>73.28</v>
      </c>
      <c r="L78" s="47">
        <f t="shared" si="7"/>
        <v>66.56</v>
      </c>
      <c r="M78" s="303">
        <v>792</v>
      </c>
      <c r="N78" s="303">
        <v>1708</v>
      </c>
      <c r="O78" s="303">
        <v>1708</v>
      </c>
      <c r="P78" s="303">
        <v>540</v>
      </c>
      <c r="Q78" s="35"/>
      <c r="R78" s="48"/>
      <c r="S78" s="36"/>
      <c r="T78" s="36"/>
      <c r="U78" s="37"/>
      <c r="V78" s="38"/>
      <c r="W78" s="39"/>
      <c r="X78" s="39"/>
      <c r="Y78" s="40"/>
      <c r="Z78" s="40"/>
      <c r="AA78" s="41"/>
      <c r="AB78" s="42"/>
      <c r="AC78" s="43"/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140</v>
      </c>
      <c r="E79" s="28">
        <v>69011003</v>
      </c>
      <c r="F79" s="29">
        <v>690109</v>
      </c>
      <c r="G79" s="45">
        <v>1075</v>
      </c>
      <c r="H79" s="31">
        <v>488</v>
      </c>
      <c r="I79" s="46">
        <v>800</v>
      </c>
      <c r="J79" s="32">
        <v>800</v>
      </c>
      <c r="K79" s="33"/>
      <c r="L79" s="47">
        <f t="shared" si="7"/>
        <v>39.04</v>
      </c>
      <c r="M79" s="303">
        <v>30</v>
      </c>
      <c r="N79" s="303">
        <v>1105</v>
      </c>
      <c r="O79" s="303">
        <v>1105</v>
      </c>
      <c r="P79" s="303">
        <v>1593</v>
      </c>
      <c r="Q79" s="48">
        <v>2000</v>
      </c>
      <c r="R79" s="48"/>
      <c r="S79" s="36">
        <v>150.69999999999999</v>
      </c>
      <c r="T79" s="36"/>
      <c r="U79" s="37"/>
      <c r="V79" s="38"/>
      <c r="W79" s="39">
        <f>S79*1000/39.37/Q79*38.5</f>
        <v>73.684912369824744</v>
      </c>
      <c r="X79" s="39"/>
      <c r="Y79" s="40">
        <f t="shared" ref="Y79:Y82" si="15">(AC79+W79)/2</f>
        <v>74.982456184912365</v>
      </c>
      <c r="Z79" s="40"/>
      <c r="AA79" s="41"/>
      <c r="AB79" s="42"/>
      <c r="AC79" s="43">
        <v>76.28</v>
      </c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140</v>
      </c>
      <c r="E80" s="28">
        <v>69011002</v>
      </c>
      <c r="F80" s="29">
        <v>690109</v>
      </c>
      <c r="G80" s="45">
        <v>1000</v>
      </c>
      <c r="H80" s="31">
        <v>495</v>
      </c>
      <c r="I80" s="46">
        <v>800</v>
      </c>
      <c r="J80" s="32">
        <v>800</v>
      </c>
      <c r="K80" s="33">
        <f t="shared" si="7"/>
        <v>80</v>
      </c>
      <c r="L80" s="47">
        <f t="shared" si="7"/>
        <v>39.6</v>
      </c>
      <c r="M80" s="303">
        <v>395</v>
      </c>
      <c r="N80" s="303">
        <v>1395</v>
      </c>
      <c r="O80" s="303">
        <v>1395</v>
      </c>
      <c r="P80" s="303">
        <v>1890</v>
      </c>
      <c r="Q80" s="35">
        <v>2000</v>
      </c>
      <c r="R80" s="48"/>
      <c r="S80" s="36">
        <v>149.1</v>
      </c>
      <c r="T80" s="36"/>
      <c r="U80" s="37"/>
      <c r="V80" s="38"/>
      <c r="W80" s="39">
        <f>S80*1000/39.37/Q80*38.5</f>
        <v>72.902590805181617</v>
      </c>
      <c r="X80" s="39"/>
      <c r="Y80" s="40">
        <f t="shared" si="15"/>
        <v>74.151295402590819</v>
      </c>
      <c r="Z80" s="40"/>
      <c r="AA80" s="41"/>
      <c r="AB80" s="42"/>
      <c r="AC80" s="43">
        <v>75.400000000000006</v>
      </c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140</v>
      </c>
      <c r="E81" s="28">
        <v>69011006</v>
      </c>
      <c r="F81" s="29">
        <v>690109</v>
      </c>
      <c r="G81" s="45">
        <v>915</v>
      </c>
      <c r="H81" s="31">
        <v>466</v>
      </c>
      <c r="I81" s="46">
        <v>800</v>
      </c>
      <c r="J81" s="32">
        <v>800</v>
      </c>
      <c r="K81" s="33">
        <f t="shared" si="7"/>
        <v>73.2</v>
      </c>
      <c r="L81" s="47">
        <f t="shared" si="7"/>
        <v>37.28</v>
      </c>
      <c r="M81" s="303">
        <v>1884</v>
      </c>
      <c r="N81" s="303">
        <v>868</v>
      </c>
      <c r="O81" s="303">
        <v>868</v>
      </c>
      <c r="P81" s="303">
        <v>1334</v>
      </c>
      <c r="Q81" s="35">
        <v>1931</v>
      </c>
      <c r="R81" s="48"/>
      <c r="S81" s="36">
        <v>148.1</v>
      </c>
      <c r="T81" s="36"/>
      <c r="U81" s="37"/>
      <c r="V81" s="38"/>
      <c r="W81" s="39">
        <f>S81*1000/39.37/Q81*38.5</f>
        <v>75.001180556478147</v>
      </c>
      <c r="X81" s="39"/>
      <c r="Y81" s="40">
        <f t="shared" si="15"/>
        <v>75.250590278239073</v>
      </c>
      <c r="Z81" s="40"/>
      <c r="AA81" s="41"/>
      <c r="AB81" s="42"/>
      <c r="AC81" s="43">
        <v>75.5</v>
      </c>
      <c r="AD81" s="43"/>
    </row>
    <row r="82" spans="1:34" ht="24" customHeight="1" x14ac:dyDescent="0.4">
      <c r="A82" s="249" t="s">
        <v>148</v>
      </c>
      <c r="B82" s="246" t="s">
        <v>116</v>
      </c>
      <c r="C82" s="253" t="s">
        <v>63</v>
      </c>
      <c r="D82" s="256" t="s">
        <v>140</v>
      </c>
      <c r="E82" s="28">
        <v>69011001</v>
      </c>
      <c r="F82" s="29">
        <v>690109</v>
      </c>
      <c r="G82" s="45">
        <v>973</v>
      </c>
      <c r="H82" s="31">
        <v>529</v>
      </c>
      <c r="I82" s="46">
        <v>800</v>
      </c>
      <c r="J82" s="32">
        <v>800</v>
      </c>
      <c r="K82" s="33">
        <f t="shared" si="7"/>
        <v>77.84</v>
      </c>
      <c r="L82" s="47">
        <f t="shared" si="7"/>
        <v>42.32</v>
      </c>
      <c r="M82" s="303">
        <v>365</v>
      </c>
      <c r="N82" s="311">
        <v>1338</v>
      </c>
      <c r="O82" s="303">
        <v>1338</v>
      </c>
      <c r="P82" s="303">
        <v>1867</v>
      </c>
      <c r="Q82" s="35">
        <v>2000</v>
      </c>
      <c r="R82" s="48"/>
      <c r="S82" s="36">
        <v>147</v>
      </c>
      <c r="T82" s="36"/>
      <c r="U82" s="37"/>
      <c r="V82" s="38"/>
      <c r="W82" s="39">
        <f>S82*1000/39.37/Q82*38.5</f>
        <v>71.875793751587508</v>
      </c>
      <c r="X82" s="39"/>
      <c r="Y82" s="40">
        <f t="shared" si="15"/>
        <v>74.442896875793764</v>
      </c>
      <c r="Z82" s="40"/>
      <c r="AA82" s="41"/>
      <c r="AB82" s="42"/>
      <c r="AC82" s="43">
        <v>77.010000000000005</v>
      </c>
      <c r="AD82" s="43"/>
    </row>
    <row r="83" spans="1:34" ht="24" customHeight="1" x14ac:dyDescent="0.4">
      <c r="A83" s="251" t="s">
        <v>136</v>
      </c>
      <c r="B83" s="246" t="s">
        <v>64</v>
      </c>
      <c r="C83" s="253" t="s">
        <v>34</v>
      </c>
      <c r="D83" s="256" t="s">
        <v>272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16">G83*8/100</f>
        <v>0</v>
      </c>
      <c r="L83" s="47">
        <f t="shared" si="16"/>
        <v>0</v>
      </c>
      <c r="M83" s="303">
        <v>230</v>
      </c>
      <c r="N83" s="31">
        <v>230</v>
      </c>
      <c r="O83" s="303">
        <v>230</v>
      </c>
      <c r="P83" s="303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251" t="s">
        <v>132</v>
      </c>
      <c r="B84" s="246" t="s">
        <v>51</v>
      </c>
      <c r="C84" s="253" t="s">
        <v>233</v>
      </c>
      <c r="D84" s="256" t="s">
        <v>47</v>
      </c>
      <c r="E84" s="28"/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1">
        <v>34</v>
      </c>
      <c r="O84" s="303">
        <v>34</v>
      </c>
      <c r="P84" s="303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54"/>
      <c r="D85" s="256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17">G85*8/100</f>
        <v>0</v>
      </c>
      <c r="L85" s="47">
        <f t="shared" si="17"/>
        <v>0</v>
      </c>
      <c r="M85" s="311">
        <v>62</v>
      </c>
      <c r="N85" s="81">
        <v>62</v>
      </c>
      <c r="O85" s="311">
        <v>62</v>
      </c>
      <c r="P85" s="31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54"/>
      <c r="D86" s="257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17"/>
        <v>0</v>
      </c>
      <c r="L86" s="47">
        <f t="shared" si="17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45134</v>
      </c>
      <c r="H87" s="86">
        <f>SUM(H6:H82)</f>
        <v>36753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33725</v>
      </c>
      <c r="R87" s="89">
        <f>SUM(R6:R86)</f>
        <v>23310</v>
      </c>
      <c r="S87" s="90">
        <f>SUM(S6:S86)</f>
        <v>2746.0999999999995</v>
      </c>
      <c r="T87" s="91">
        <f>SUM(T6:T86)</f>
        <v>1872.2</v>
      </c>
      <c r="U87" s="89">
        <f>SUM(U6:U86)</f>
        <v>160</v>
      </c>
      <c r="V87" s="89">
        <f>SUM(V6:V84)</f>
        <v>225</v>
      </c>
      <c r="W87" s="92">
        <f>SUM(W6:W86)</f>
        <v>1379.1426011631925</v>
      </c>
      <c r="X87" s="93">
        <f>SUM(X6:X86)</f>
        <v>856.60122477383277</v>
      </c>
      <c r="Y87" s="94">
        <f>SUM(Y6:Y86)</f>
        <v>1394.2263005815964</v>
      </c>
      <c r="Z87" s="95">
        <f>SUM(Z6:Z86)</f>
        <v>871.36561238691638</v>
      </c>
      <c r="AA87" s="96">
        <f>SUM(AA6:AA82)</f>
        <v>0</v>
      </c>
      <c r="AB87" s="97">
        <f>SUM(AB6:AB82)</f>
        <v>0</v>
      </c>
      <c r="AC87" s="98">
        <f>SUM(AC6:AC86)</f>
        <v>1409.3100000000002</v>
      </c>
      <c r="AD87" s="98">
        <f>SUM(AD6:AD86)</f>
        <v>886.13000000000011</v>
      </c>
    </row>
    <row r="88" spans="1:34" ht="24" customHeight="1" thickBot="1" x14ac:dyDescent="0.45">
      <c r="A88" s="334"/>
      <c r="B88" s="83">
        <v>65</v>
      </c>
      <c r="C88" s="83">
        <v>54</v>
      </c>
      <c r="D88" s="84"/>
      <c r="E88" s="84"/>
      <c r="F88" s="84"/>
      <c r="G88" s="341">
        <f>G87+H87</f>
        <v>81887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Q87+R87+Q133+Q149</f>
        <v>62985</v>
      </c>
      <c r="R88" s="342"/>
      <c r="S88" s="375">
        <f>S87+T87+S133+S149</f>
        <v>5429.7999999999993</v>
      </c>
      <c r="T88" s="376"/>
      <c r="U88" s="341">
        <f>U87+V87+U133+U149</f>
        <v>445</v>
      </c>
      <c r="V88" s="342"/>
      <c r="W88" s="375">
        <f>W87+X87+W133+W149</f>
        <v>2769.2382470387179</v>
      </c>
      <c r="X88" s="376"/>
      <c r="Y88" s="375">
        <f>Y87+Z87+Y133+Y149</f>
        <v>2798.1291235193589</v>
      </c>
      <c r="Z88" s="376"/>
      <c r="AA88" s="375">
        <f>AA87+AB87+AA133</f>
        <v>0</v>
      </c>
      <c r="AB88" s="376"/>
      <c r="AC88" s="375">
        <f>AC87+AD87+AC133+AC149</f>
        <v>2827.0200000000004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284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62985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385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45134</v>
      </c>
      <c r="O91" s="108" t="s">
        <v>158</v>
      </c>
      <c r="P91" s="108"/>
      <c r="Q91" s="108" t="s">
        <v>159</v>
      </c>
      <c r="R91" s="109"/>
      <c r="S91" s="120">
        <f>H87</f>
        <v>36753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160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 t="s">
        <v>289</v>
      </c>
      <c r="F92" s="124"/>
      <c r="G92" s="108" t="s">
        <v>162</v>
      </c>
      <c r="H92" s="125"/>
      <c r="I92" s="125">
        <v>2000</v>
      </c>
      <c r="J92" s="117" t="s">
        <v>154</v>
      </c>
      <c r="K92" s="108"/>
      <c r="L92" s="108" t="s">
        <v>163</v>
      </c>
      <c r="M92" s="108"/>
      <c r="N92" s="126">
        <f>G87/B88</f>
        <v>694.36923076923074</v>
      </c>
      <c r="O92" s="108" t="s">
        <v>158</v>
      </c>
      <c r="P92" s="108"/>
      <c r="Q92" s="108" t="s">
        <v>164</v>
      </c>
      <c r="S92" s="126">
        <f>H87/C88</f>
        <v>680.61111111111109</v>
      </c>
      <c r="T92" s="108"/>
      <c r="U92" s="108" t="s">
        <v>158</v>
      </c>
      <c r="W92" s="110"/>
      <c r="X92" s="108"/>
      <c r="Y92" s="127" t="s">
        <v>165</v>
      </c>
      <c r="AA92" s="122">
        <f>V87</f>
        <v>225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220</v>
      </c>
      <c r="F93" s="129"/>
      <c r="G93" s="108" t="s">
        <v>162</v>
      </c>
      <c r="H93" s="125"/>
      <c r="I93" s="125">
        <v>6167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290</v>
      </c>
      <c r="F94" s="129"/>
      <c r="G94" s="108" t="s">
        <v>162</v>
      </c>
      <c r="H94" s="125"/>
      <c r="I94" s="125">
        <v>10767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169</v>
      </c>
      <c r="F95" s="116"/>
      <c r="G95" s="108" t="s">
        <v>162</v>
      </c>
      <c r="H95" s="125"/>
      <c r="I95" s="125">
        <v>1836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>
        <v>2000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247</v>
      </c>
      <c r="F97" s="129"/>
      <c r="G97" s="108" t="s">
        <v>162</v>
      </c>
      <c r="H97" s="125"/>
      <c r="I97" s="125"/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65</v>
      </c>
      <c r="P97" s="108" t="s">
        <v>25</v>
      </c>
      <c r="Q97" s="108"/>
      <c r="R97" s="108"/>
      <c r="S97" s="130" t="s">
        <v>177</v>
      </c>
      <c r="T97" s="138">
        <f>C88</f>
        <v>54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18762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3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/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12</v>
      </c>
      <c r="Y99" s="127" t="s">
        <v>180</v>
      </c>
      <c r="Z99" s="103" t="s">
        <v>183</v>
      </c>
      <c r="AA99" s="146">
        <v>2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222</v>
      </c>
      <c r="F100" s="148"/>
      <c r="G100" s="108" t="s">
        <v>162</v>
      </c>
      <c r="H100" s="125"/>
      <c r="I100" s="125"/>
      <c r="J100" s="117" t="s">
        <v>154</v>
      </c>
      <c r="K100" s="8"/>
      <c r="L100" s="149" t="s">
        <v>188</v>
      </c>
      <c r="M100" s="150" t="s">
        <v>277</v>
      </c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291</v>
      </c>
      <c r="F101" s="155"/>
      <c r="G101" s="108" t="s">
        <v>162</v>
      </c>
      <c r="H101" s="125"/>
      <c r="I101" s="125">
        <v>1492</v>
      </c>
      <c r="J101" s="117" t="s">
        <v>154</v>
      </c>
      <c r="K101" s="108"/>
      <c r="L101" s="149"/>
      <c r="M101" s="150" t="s">
        <v>261</v>
      </c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246</v>
      </c>
      <c r="F102" s="262"/>
      <c r="G102" s="108" t="s">
        <v>162</v>
      </c>
      <c r="H102" s="125"/>
      <c r="I102" s="125">
        <v>5950</v>
      </c>
      <c r="J102" s="117" t="s">
        <v>154</v>
      </c>
      <c r="K102" s="108"/>
      <c r="L102" s="149"/>
      <c r="M102" s="150" t="s">
        <v>278</v>
      </c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/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 t="s">
        <v>305</v>
      </c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269</v>
      </c>
      <c r="F105" s="155"/>
      <c r="G105" s="108" t="s">
        <v>162</v>
      </c>
      <c r="H105" s="125"/>
      <c r="I105" s="125">
        <v>9931</v>
      </c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>
        <v>1580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292</v>
      </c>
      <c r="F107" s="155"/>
      <c r="G107" s="108" t="s">
        <v>162</v>
      </c>
      <c r="H107" s="125"/>
      <c r="I107" s="125">
        <v>2500</v>
      </c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288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 t="s">
        <v>228</v>
      </c>
      <c r="AB108" s="149" t="s">
        <v>229</v>
      </c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 t="s">
        <v>228</v>
      </c>
      <c r="AB109" s="149" t="s">
        <v>230</v>
      </c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72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54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18">SUM(Q122:Q131)</f>
        <v>0</v>
      </c>
      <c r="R132" s="237">
        <f t="shared" si="18"/>
        <v>0</v>
      </c>
      <c r="S132" s="238">
        <f t="shared" si="18"/>
        <v>0</v>
      </c>
      <c r="T132" s="238">
        <f t="shared" si="18"/>
        <v>0</v>
      </c>
      <c r="U132" s="237">
        <f t="shared" si="18"/>
        <v>0</v>
      </c>
      <c r="V132" s="237">
        <f t="shared" si="18"/>
        <v>0</v>
      </c>
      <c r="W132" s="238">
        <f t="shared" si="18"/>
        <v>0</v>
      </c>
      <c r="X132" s="238">
        <f t="shared" si="18"/>
        <v>0</v>
      </c>
      <c r="Y132" s="95">
        <f t="shared" si="18"/>
        <v>0</v>
      </c>
      <c r="Z132" s="95">
        <f t="shared" si="18"/>
        <v>0</v>
      </c>
      <c r="AA132" s="238">
        <f t="shared" si="18"/>
        <v>0</v>
      </c>
      <c r="AB132" s="238">
        <f t="shared" si="18"/>
        <v>0</v>
      </c>
      <c r="AC132" s="98"/>
      <c r="AD132" s="98">
        <f t="shared" si="18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  <row r="134" spans="1:30" ht="18.75" thickBot="1" x14ac:dyDescent="0.45"/>
    <row r="135" spans="1:30" x14ac:dyDescent="0.4">
      <c r="A135" s="368" t="s">
        <v>1</v>
      </c>
      <c r="B135" s="349" t="s">
        <v>2</v>
      </c>
      <c r="C135" s="350"/>
      <c r="D135" s="5" t="s">
        <v>3</v>
      </c>
      <c r="E135" s="7"/>
      <c r="F135" s="7"/>
      <c r="G135" s="349" t="s">
        <v>4</v>
      </c>
      <c r="H135" s="350"/>
      <c r="I135" s="349" t="s">
        <v>5</v>
      </c>
      <c r="J135" s="350"/>
      <c r="K135" s="349" t="s">
        <v>6</v>
      </c>
      <c r="L135" s="350"/>
      <c r="M135" s="370" t="s">
        <v>7</v>
      </c>
      <c r="N135" s="371"/>
      <c r="O135" s="362" t="s">
        <v>7</v>
      </c>
      <c r="P135" s="363"/>
      <c r="Q135" s="364" t="s">
        <v>8</v>
      </c>
      <c r="R135" s="365"/>
      <c r="S135" s="349" t="s">
        <v>9</v>
      </c>
      <c r="T135" s="350"/>
      <c r="U135" s="366" t="s">
        <v>10</v>
      </c>
      <c r="V135" s="367"/>
      <c r="W135" s="349" t="s">
        <v>11</v>
      </c>
      <c r="X135" s="350"/>
      <c r="Y135" s="349" t="s">
        <v>12</v>
      </c>
      <c r="Z135" s="350"/>
      <c r="AA135" s="349" t="s">
        <v>13</v>
      </c>
      <c r="AB135" s="350"/>
      <c r="AC135" s="349" t="s">
        <v>14</v>
      </c>
      <c r="AD135" s="353"/>
    </row>
    <row r="136" spans="1:30" ht="21" x14ac:dyDescent="0.4">
      <c r="A136" s="369"/>
      <c r="B136" s="351"/>
      <c r="C136" s="352"/>
      <c r="D136" s="8" t="s">
        <v>15</v>
      </c>
      <c r="E136" s="205" t="s">
        <v>16</v>
      </c>
      <c r="F136" s="9" t="s">
        <v>17</v>
      </c>
      <c r="G136" s="351"/>
      <c r="H136" s="352"/>
      <c r="I136" s="351"/>
      <c r="J136" s="352"/>
      <c r="K136" s="351"/>
      <c r="L136" s="352"/>
      <c r="M136" s="354" t="s">
        <v>18</v>
      </c>
      <c r="N136" s="355"/>
      <c r="O136" s="356" t="s">
        <v>19</v>
      </c>
      <c r="P136" s="357"/>
      <c r="Q136" s="358" t="s">
        <v>20</v>
      </c>
      <c r="R136" s="359"/>
      <c r="S136" s="351" t="s">
        <v>21</v>
      </c>
      <c r="T136" s="352"/>
      <c r="U136" s="360" t="s">
        <v>22</v>
      </c>
      <c r="V136" s="359"/>
      <c r="W136" s="351" t="s">
        <v>23</v>
      </c>
      <c r="X136" s="352"/>
      <c r="Y136" s="351"/>
      <c r="Z136" s="352"/>
      <c r="AA136" s="351"/>
      <c r="AB136" s="352"/>
      <c r="AC136" s="351" t="s">
        <v>24</v>
      </c>
      <c r="AD136" s="361"/>
    </row>
    <row r="137" spans="1:30" ht="18.75" thickBot="1" x14ac:dyDescent="0.45">
      <c r="A137" s="10" t="s">
        <v>25</v>
      </c>
      <c r="B137" s="206" t="s">
        <v>207</v>
      </c>
      <c r="C137" s="12" t="s">
        <v>208</v>
      </c>
      <c r="D137" s="13" t="s">
        <v>28</v>
      </c>
      <c r="E137" s="207"/>
      <c r="F137" s="207"/>
      <c r="G137" s="12" t="s">
        <v>26</v>
      </c>
      <c r="H137" s="12" t="s">
        <v>27</v>
      </c>
      <c r="I137" s="11" t="s">
        <v>26</v>
      </c>
      <c r="J137" s="12" t="s">
        <v>27</v>
      </c>
      <c r="K137" s="11" t="s">
        <v>29</v>
      </c>
      <c r="L137" s="14" t="s">
        <v>30</v>
      </c>
      <c r="M137" s="208" t="s">
        <v>31</v>
      </c>
      <c r="N137" s="209" t="s">
        <v>32</v>
      </c>
      <c r="O137" s="210" t="s">
        <v>31</v>
      </c>
      <c r="P137" s="211" t="s">
        <v>32</v>
      </c>
      <c r="Q137" s="19" t="s">
        <v>26</v>
      </c>
      <c r="R137" s="12" t="s">
        <v>27</v>
      </c>
      <c r="S137" s="20" t="s">
        <v>26</v>
      </c>
      <c r="T137" s="12" t="s">
        <v>27</v>
      </c>
      <c r="U137" s="19" t="s">
        <v>26</v>
      </c>
      <c r="V137" s="12" t="s">
        <v>27</v>
      </c>
      <c r="W137" s="21" t="s">
        <v>26</v>
      </c>
      <c r="X137" s="12" t="s">
        <v>27</v>
      </c>
      <c r="Y137" s="22" t="s">
        <v>26</v>
      </c>
      <c r="Z137" s="23" t="s">
        <v>27</v>
      </c>
      <c r="AA137" s="19" t="s">
        <v>26</v>
      </c>
      <c r="AB137" s="12" t="s">
        <v>27</v>
      </c>
      <c r="AC137" s="11" t="s">
        <v>26</v>
      </c>
      <c r="AD137" s="24" t="s">
        <v>27</v>
      </c>
    </row>
    <row r="138" spans="1:30" ht="32.25" thickBot="1" x14ac:dyDescent="0.55000000000000004">
      <c r="A138" s="212" t="s">
        <v>130</v>
      </c>
      <c r="B138" s="213" t="s">
        <v>209</v>
      </c>
      <c r="C138" s="213" t="s">
        <v>210</v>
      </c>
      <c r="D138" s="258" t="s">
        <v>237</v>
      </c>
      <c r="E138" s="215">
        <v>69011007</v>
      </c>
      <c r="F138" s="73">
        <v>690133</v>
      </c>
      <c r="G138" s="216"/>
      <c r="H138" s="217"/>
      <c r="I138" s="46">
        <v>800</v>
      </c>
      <c r="J138" s="32">
        <v>800</v>
      </c>
      <c r="K138" s="218"/>
      <c r="L138" s="218"/>
      <c r="M138" s="219"/>
      <c r="N138" s="220"/>
      <c r="O138" s="220"/>
      <c r="P138" s="221"/>
      <c r="Q138" s="222">
        <v>1460</v>
      </c>
      <c r="R138" s="223"/>
      <c r="S138" s="224">
        <v>199</v>
      </c>
      <c r="T138" s="57"/>
      <c r="U138" s="59">
        <v>15</v>
      </c>
      <c r="V138" s="59"/>
      <c r="W138" s="39">
        <f>S138*1000/39.37/Q138*38.5</f>
        <v>133.28937616779345</v>
      </c>
      <c r="X138" s="39"/>
      <c r="Y138" s="40">
        <f t="shared" ref="Y138:Y141" si="19">(AC138+W138)/2</f>
        <v>133.11968808389673</v>
      </c>
      <c r="Z138" s="40"/>
      <c r="AA138" s="225"/>
      <c r="AB138" s="226"/>
      <c r="AC138" s="227">
        <v>132.94999999999999</v>
      </c>
      <c r="AD138" s="228"/>
    </row>
    <row r="139" spans="1:30" ht="32.25" thickBot="1" x14ac:dyDescent="0.55000000000000004">
      <c r="A139" s="212" t="s">
        <v>72</v>
      </c>
      <c r="B139" s="213" t="s">
        <v>209</v>
      </c>
      <c r="C139" s="213" t="s">
        <v>210</v>
      </c>
      <c r="D139" s="258" t="s">
        <v>237</v>
      </c>
      <c r="E139" s="215">
        <v>69011009</v>
      </c>
      <c r="F139" s="73">
        <v>690133</v>
      </c>
      <c r="G139" s="216"/>
      <c r="H139" s="217"/>
      <c r="I139" s="46">
        <v>800</v>
      </c>
      <c r="J139" s="32">
        <v>800</v>
      </c>
      <c r="K139" s="218"/>
      <c r="L139" s="218"/>
      <c r="M139" s="219"/>
      <c r="N139" s="220"/>
      <c r="O139" s="220"/>
      <c r="P139" s="221"/>
      <c r="Q139" s="222">
        <v>1470</v>
      </c>
      <c r="R139" s="67"/>
      <c r="S139" s="229">
        <v>200.8</v>
      </c>
      <c r="T139" s="57"/>
      <c r="U139" s="58">
        <v>15</v>
      </c>
      <c r="V139" s="59"/>
      <c r="W139" s="39">
        <f>S139*1000/39.37/Q139*38.5</f>
        <v>133.58007668396291</v>
      </c>
      <c r="X139" s="39"/>
      <c r="Y139" s="40">
        <f t="shared" si="19"/>
        <v>133.49503834198146</v>
      </c>
      <c r="Z139" s="40"/>
      <c r="AA139" s="225"/>
      <c r="AB139" s="226"/>
      <c r="AC139" s="227">
        <v>133.41</v>
      </c>
      <c r="AD139" s="228"/>
    </row>
    <row r="140" spans="1:30" ht="32.25" thickBot="1" x14ac:dyDescent="0.55000000000000004">
      <c r="A140" s="212" t="s">
        <v>117</v>
      </c>
      <c r="B140" s="213" t="s">
        <v>209</v>
      </c>
      <c r="C140" s="213" t="s">
        <v>210</v>
      </c>
      <c r="D140" s="258" t="s">
        <v>237</v>
      </c>
      <c r="E140" s="215">
        <v>69011010</v>
      </c>
      <c r="F140" s="73">
        <v>690133</v>
      </c>
      <c r="G140" s="216"/>
      <c r="H140" s="217"/>
      <c r="I140" s="46">
        <v>800</v>
      </c>
      <c r="J140" s="32">
        <v>800</v>
      </c>
      <c r="K140" s="218"/>
      <c r="L140" s="218"/>
      <c r="M140" s="219"/>
      <c r="N140" s="220"/>
      <c r="O140" s="220"/>
      <c r="P140" s="221"/>
      <c r="Q140" s="230">
        <v>1500</v>
      </c>
      <c r="R140" s="56"/>
      <c r="S140" s="231">
        <v>204.6</v>
      </c>
      <c r="T140" s="57"/>
      <c r="U140" s="58">
        <v>15</v>
      </c>
      <c r="V140" s="59"/>
      <c r="W140" s="39">
        <f>S140*1000/39.37/Q140*38.5</f>
        <v>133.38582677165357</v>
      </c>
      <c r="X140" s="39"/>
      <c r="Y140" s="40">
        <f t="shared" si="19"/>
        <v>133.26791338582677</v>
      </c>
      <c r="Z140" s="40"/>
      <c r="AA140" s="232"/>
      <c r="AB140" s="226"/>
      <c r="AC140" s="233">
        <v>133.15</v>
      </c>
      <c r="AD140" s="234"/>
    </row>
    <row r="141" spans="1:30" ht="32.25" thickBot="1" x14ac:dyDescent="0.55000000000000004">
      <c r="A141" s="212" t="s">
        <v>86</v>
      </c>
      <c r="B141" s="213" t="s">
        <v>209</v>
      </c>
      <c r="C141" s="213" t="s">
        <v>210</v>
      </c>
      <c r="D141" s="258" t="s">
        <v>237</v>
      </c>
      <c r="E141" s="215">
        <v>69011008</v>
      </c>
      <c r="F141" s="73">
        <v>690133</v>
      </c>
      <c r="G141" s="216"/>
      <c r="H141" s="217"/>
      <c r="I141" s="46">
        <v>800</v>
      </c>
      <c r="J141" s="32">
        <v>800</v>
      </c>
      <c r="K141" s="218"/>
      <c r="L141" s="218"/>
      <c r="M141" s="219"/>
      <c r="N141" s="220"/>
      <c r="O141" s="220"/>
      <c r="P141" s="221"/>
      <c r="Q141" s="230">
        <v>1520</v>
      </c>
      <c r="R141" s="56"/>
      <c r="S141" s="231">
        <v>207.1</v>
      </c>
      <c r="T141" s="57"/>
      <c r="U141" s="58">
        <v>15</v>
      </c>
      <c r="V141" s="59"/>
      <c r="W141" s="39">
        <f>S141*1000/39.37/Q141*38.5</f>
        <v>133.23914147828296</v>
      </c>
      <c r="X141" s="39"/>
      <c r="Y141" s="40">
        <f t="shared" si="19"/>
        <v>132.65457073914149</v>
      </c>
      <c r="Z141" s="40"/>
      <c r="AA141" s="232"/>
      <c r="AB141" s="226"/>
      <c r="AC141" s="233">
        <v>132.07</v>
      </c>
      <c r="AD141" s="234"/>
    </row>
    <row r="142" spans="1:30" ht="32.25" thickBot="1" x14ac:dyDescent="0.55000000000000004">
      <c r="A142" s="212" t="s">
        <v>38</v>
      </c>
      <c r="B142" s="213" t="s">
        <v>209</v>
      </c>
      <c r="C142" s="213" t="s">
        <v>210</v>
      </c>
      <c r="D142" s="258" t="s">
        <v>237</v>
      </c>
      <c r="E142" s="215"/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30"/>
      <c r="R142" s="56"/>
      <c r="S142" s="231"/>
      <c r="T142" s="57"/>
      <c r="U142" s="58"/>
      <c r="V142" s="59"/>
      <c r="W142" s="39"/>
      <c r="X142" s="39"/>
      <c r="Y142" s="40"/>
      <c r="Z142" s="40"/>
      <c r="AA142" s="232"/>
      <c r="AB142" s="226"/>
      <c r="AC142" s="233"/>
      <c r="AD142" s="234"/>
    </row>
    <row r="143" spans="1:30" ht="32.25" thickBot="1" x14ac:dyDescent="0.55000000000000004">
      <c r="A143" s="212" t="s">
        <v>40</v>
      </c>
      <c r="B143" s="213" t="s">
        <v>209</v>
      </c>
      <c r="C143" s="213" t="s">
        <v>210</v>
      </c>
      <c r="D143" s="258" t="s">
        <v>237</v>
      </c>
      <c r="E143" s="215"/>
      <c r="F143" s="73">
        <v>690133</v>
      </c>
      <c r="G143" s="216"/>
      <c r="H143" s="217"/>
      <c r="I143" s="46">
        <v>800</v>
      </c>
      <c r="J143" s="32">
        <v>800</v>
      </c>
      <c r="K143" s="218"/>
      <c r="L143" s="218"/>
      <c r="M143" s="219"/>
      <c r="N143" s="220"/>
      <c r="O143" s="220"/>
      <c r="P143" s="221"/>
      <c r="Q143" s="222"/>
      <c r="R143" s="67"/>
      <c r="S143" s="229"/>
      <c r="T143" s="57"/>
      <c r="U143" s="58"/>
      <c r="V143" s="59"/>
      <c r="W143" s="39"/>
      <c r="X143" s="39"/>
      <c r="Y143" s="40"/>
      <c r="Z143" s="40"/>
      <c r="AA143" s="225"/>
      <c r="AB143" s="226"/>
      <c r="AC143" s="227"/>
      <c r="AD143" s="228"/>
    </row>
    <row r="144" spans="1:30" ht="32.25" thickBot="1" x14ac:dyDescent="0.55000000000000004">
      <c r="A144" s="212" t="s">
        <v>125</v>
      </c>
      <c r="B144" s="213" t="s">
        <v>209</v>
      </c>
      <c r="C144" s="213" t="s">
        <v>210</v>
      </c>
      <c r="D144" s="258" t="s">
        <v>237</v>
      </c>
      <c r="E144" s="215"/>
      <c r="F144" s="73">
        <v>690133</v>
      </c>
      <c r="G144" s="216"/>
      <c r="H144" s="217"/>
      <c r="I144" s="46">
        <v>800</v>
      </c>
      <c r="J144" s="32">
        <v>800</v>
      </c>
      <c r="K144" s="218"/>
      <c r="L144" s="218"/>
      <c r="M144" s="219"/>
      <c r="N144" s="220"/>
      <c r="O144" s="220"/>
      <c r="P144" s="221"/>
      <c r="Q144" s="230"/>
      <c r="R144" s="56"/>
      <c r="S144" s="231"/>
      <c r="T144" s="57"/>
      <c r="U144" s="58"/>
      <c r="V144" s="59"/>
      <c r="W144" s="39"/>
      <c r="X144" s="39"/>
      <c r="Y144" s="40"/>
      <c r="Z144" s="40"/>
      <c r="AA144" s="232"/>
      <c r="AB144" s="226"/>
      <c r="AC144" s="233"/>
      <c r="AD144" s="234"/>
    </row>
    <row r="145" spans="1:30" ht="32.25" thickBot="1" x14ac:dyDescent="0.55000000000000004">
      <c r="A145" s="212" t="s">
        <v>86</v>
      </c>
      <c r="B145" s="213" t="s">
        <v>209</v>
      </c>
      <c r="C145" s="213" t="s">
        <v>210</v>
      </c>
      <c r="D145" s="258" t="s">
        <v>237</v>
      </c>
      <c r="E145" s="215"/>
      <c r="F145" s="73">
        <v>690133</v>
      </c>
      <c r="G145" s="216"/>
      <c r="H145" s="217"/>
      <c r="I145" s="46">
        <v>800</v>
      </c>
      <c r="J145" s="32">
        <v>800</v>
      </c>
      <c r="K145" s="218"/>
      <c r="L145" s="218"/>
      <c r="M145" s="219"/>
      <c r="N145" s="220"/>
      <c r="O145" s="220"/>
      <c r="P145" s="221"/>
      <c r="Q145" s="222"/>
      <c r="R145" s="67"/>
      <c r="S145" s="229"/>
      <c r="T145" s="57"/>
      <c r="U145" s="58"/>
      <c r="V145" s="59"/>
      <c r="W145" s="39"/>
      <c r="X145" s="39"/>
      <c r="Y145" s="40"/>
      <c r="Z145" s="40"/>
      <c r="AA145" s="232"/>
      <c r="AB145" s="226"/>
      <c r="AC145" s="233"/>
      <c r="AD145" s="234"/>
    </row>
    <row r="146" spans="1:30" ht="32.25" thickBot="1" x14ac:dyDescent="0.55000000000000004">
      <c r="A146" s="212" t="s">
        <v>74</v>
      </c>
      <c r="B146" s="213" t="s">
        <v>209</v>
      </c>
      <c r="C146" s="213" t="s">
        <v>210</v>
      </c>
      <c r="D146" s="258" t="s">
        <v>237</v>
      </c>
      <c r="E146" s="215"/>
      <c r="F146" s="73">
        <v>690133</v>
      </c>
      <c r="G146" s="216"/>
      <c r="H146" s="217"/>
      <c r="I146" s="46">
        <v>800</v>
      </c>
      <c r="J146" s="32">
        <v>800</v>
      </c>
      <c r="K146" s="218"/>
      <c r="L146" s="218"/>
      <c r="M146" s="219"/>
      <c r="N146" s="220"/>
      <c r="O146" s="220"/>
      <c r="P146" s="221"/>
      <c r="Q146" s="230"/>
      <c r="R146" s="56"/>
      <c r="S146" s="231"/>
      <c r="T146" s="57"/>
      <c r="U146" s="58"/>
      <c r="V146" s="59"/>
      <c r="W146" s="39"/>
      <c r="X146" s="39"/>
      <c r="Y146" s="40"/>
      <c r="Z146" s="40"/>
      <c r="AA146" s="232"/>
      <c r="AB146" s="226"/>
      <c r="AC146" s="233"/>
      <c r="AD146" s="234"/>
    </row>
    <row r="147" spans="1:30" ht="32.25" thickBot="1" x14ac:dyDescent="0.55000000000000004">
      <c r="A147" s="212" t="s">
        <v>102</v>
      </c>
      <c r="B147" s="213" t="s">
        <v>209</v>
      </c>
      <c r="C147" s="213" t="s">
        <v>210</v>
      </c>
      <c r="D147" s="258" t="s">
        <v>211</v>
      </c>
      <c r="E147" s="215"/>
      <c r="F147" s="73">
        <v>690134</v>
      </c>
      <c r="G147" s="216"/>
      <c r="H147" s="217"/>
      <c r="I147" s="46">
        <v>800</v>
      </c>
      <c r="J147" s="32">
        <v>800</v>
      </c>
      <c r="K147" s="218"/>
      <c r="L147" s="218"/>
      <c r="M147" s="219"/>
      <c r="N147" s="220"/>
      <c r="O147" s="220"/>
      <c r="P147" s="221"/>
      <c r="Q147" s="222"/>
      <c r="R147" s="223"/>
      <c r="S147" s="224"/>
      <c r="T147" s="57"/>
      <c r="U147" s="59"/>
      <c r="V147" s="59"/>
      <c r="W147" s="39"/>
      <c r="X147" s="39"/>
      <c r="Y147" s="40"/>
      <c r="Z147" s="40"/>
      <c r="AA147" s="225"/>
      <c r="AB147" s="235"/>
      <c r="AC147" s="233"/>
      <c r="AD147" s="234"/>
    </row>
    <row r="148" spans="1:30" ht="24" thickBot="1" x14ac:dyDescent="0.45">
      <c r="A148" s="333" t="s">
        <v>150</v>
      </c>
      <c r="B148" s="83" t="s">
        <v>25</v>
      </c>
      <c r="C148" s="83" t="s">
        <v>25</v>
      </c>
      <c r="D148" s="84"/>
      <c r="E148" s="85"/>
      <c r="F148" s="84"/>
      <c r="G148" s="236">
        <f>SUM(G134:G134)</f>
        <v>0</v>
      </c>
      <c r="H148" s="236">
        <f>SUM(H134:H134)</f>
        <v>0</v>
      </c>
      <c r="I148" s="87"/>
      <c r="J148" s="87"/>
      <c r="K148" s="87"/>
      <c r="L148" s="88"/>
      <c r="M148" s="335"/>
      <c r="N148" s="336"/>
      <c r="O148" s="336"/>
      <c r="P148" s="337"/>
      <c r="Q148" s="237">
        <f t="shared" ref="Q148:AB148" si="20">SUM(Q138:Q147)</f>
        <v>5950</v>
      </c>
      <c r="R148" s="237">
        <f t="shared" si="20"/>
        <v>0</v>
      </c>
      <c r="S148" s="238">
        <f t="shared" si="20"/>
        <v>811.5</v>
      </c>
      <c r="T148" s="238">
        <f t="shared" si="20"/>
        <v>0</v>
      </c>
      <c r="U148" s="237">
        <f t="shared" si="20"/>
        <v>60</v>
      </c>
      <c r="V148" s="237">
        <f t="shared" si="20"/>
        <v>0</v>
      </c>
      <c r="W148" s="238">
        <f t="shared" si="20"/>
        <v>533.49442110169286</v>
      </c>
      <c r="X148" s="238">
        <f t="shared" si="20"/>
        <v>0</v>
      </c>
      <c r="Y148" s="95">
        <f t="shared" si="20"/>
        <v>532.53721055084645</v>
      </c>
      <c r="Z148" s="95">
        <f t="shared" si="20"/>
        <v>0</v>
      </c>
      <c r="AA148" s="238">
        <f t="shared" si="20"/>
        <v>0</v>
      </c>
      <c r="AB148" s="238">
        <f t="shared" si="20"/>
        <v>0</v>
      </c>
      <c r="AC148" s="98">
        <f t="shared" ref="AC148:AD148" si="21">SUM(AC138:AC147)</f>
        <v>531.57999999999993</v>
      </c>
      <c r="AD148" s="98">
        <f t="shared" si="21"/>
        <v>0</v>
      </c>
    </row>
    <row r="149" spans="1:30" ht="27" thickBot="1" x14ac:dyDescent="0.45">
      <c r="A149" s="334"/>
      <c r="B149" s="83">
        <v>2</v>
      </c>
      <c r="C149" s="83">
        <v>2</v>
      </c>
      <c r="D149" s="84"/>
      <c r="E149" s="84"/>
      <c r="F149" s="84"/>
      <c r="G149" s="99">
        <v>0</v>
      </c>
      <c r="H149" s="100"/>
      <c r="I149" s="99"/>
      <c r="J149" s="100"/>
      <c r="K149" s="341"/>
      <c r="L149" s="342"/>
      <c r="M149" s="338"/>
      <c r="N149" s="339"/>
      <c r="O149" s="339"/>
      <c r="P149" s="340"/>
      <c r="Q149" s="343">
        <f>Q148+R148</f>
        <v>5950</v>
      </c>
      <c r="R149" s="344"/>
      <c r="S149" s="345">
        <f>S148+T148</f>
        <v>811.5</v>
      </c>
      <c r="T149" s="346"/>
      <c r="U149" s="347">
        <f>U148+V148</f>
        <v>60</v>
      </c>
      <c r="V149" s="348"/>
      <c r="W149" s="327">
        <f>W148+X148</f>
        <v>533.49442110169286</v>
      </c>
      <c r="X149" s="328"/>
      <c r="Y149" s="329">
        <f>Y148+Z148</f>
        <v>532.53721055084645</v>
      </c>
      <c r="Z149" s="330"/>
      <c r="AA149" s="327">
        <f>AA148+AB148</f>
        <v>0</v>
      </c>
      <c r="AB149" s="328"/>
      <c r="AC149" s="331">
        <f>AC148+AD148</f>
        <v>531.57999999999993</v>
      </c>
      <c r="AD149" s="332"/>
    </row>
  </sheetData>
  <autoFilter ref="A5:AD112" xr:uid="{3D257094-AFCF-44D4-9CB6-CF8FC9C29795}"/>
  <mergeCells count="104"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A119:A120"/>
    <mergeCell ref="B119:C120"/>
    <mergeCell ref="G119:H120"/>
    <mergeCell ref="I119:J120"/>
    <mergeCell ref="K119:L120"/>
    <mergeCell ref="M119:N119"/>
    <mergeCell ref="E90:J90"/>
    <mergeCell ref="M112:Q112"/>
    <mergeCell ref="X112:AD112"/>
    <mergeCell ref="M113:Q113"/>
    <mergeCell ref="X113:AD113"/>
    <mergeCell ref="F114:G114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U119:V119"/>
    <mergeCell ref="W119:X119"/>
    <mergeCell ref="Y119:Z120"/>
    <mergeCell ref="W133:X133"/>
    <mergeCell ref="Y133:Z133"/>
    <mergeCell ref="AA133:AB133"/>
    <mergeCell ref="AC133:AD133"/>
    <mergeCell ref="A135:A136"/>
    <mergeCell ref="B135:C136"/>
    <mergeCell ref="G135:H136"/>
    <mergeCell ref="I135:J136"/>
    <mergeCell ref="K135:L136"/>
    <mergeCell ref="M135:N135"/>
    <mergeCell ref="A132:A133"/>
    <mergeCell ref="M132:P133"/>
    <mergeCell ref="K133:L133"/>
    <mergeCell ref="Q133:R133"/>
    <mergeCell ref="S133:T133"/>
    <mergeCell ref="U133:V133"/>
    <mergeCell ref="AA135:AB136"/>
    <mergeCell ref="AC135:AD135"/>
    <mergeCell ref="M136:N136"/>
    <mergeCell ref="O136:P136"/>
    <mergeCell ref="Q136:R136"/>
    <mergeCell ref="S136:T136"/>
    <mergeCell ref="U136:V136"/>
    <mergeCell ref="W136:X136"/>
    <mergeCell ref="AC136:AD136"/>
    <mergeCell ref="O135:P135"/>
    <mergeCell ref="Q135:R135"/>
    <mergeCell ref="S135:T135"/>
    <mergeCell ref="U135:V135"/>
    <mergeCell ref="W135:X135"/>
    <mergeCell ref="Y135:Z136"/>
    <mergeCell ref="W149:X149"/>
    <mergeCell ref="Y149:Z149"/>
    <mergeCell ref="AA149:AB149"/>
    <mergeCell ref="AC149:AD149"/>
    <mergeCell ref="A148:A149"/>
    <mergeCell ref="M148:P149"/>
    <mergeCell ref="K149:L149"/>
    <mergeCell ref="Q149:R149"/>
    <mergeCell ref="S149:T149"/>
    <mergeCell ref="U149:V149"/>
  </mergeCells>
  <dataValidations count="1">
    <dataValidation type="list" allowBlank="1" showInputMessage="1" showErrorMessage="1" sqref="B10:C10 B54:C54" xr:uid="{FDBE97D9-C0C5-46CC-BE38-59B8CB7E3453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340F-8A44-460E-AF0B-85FEFBFB79F3}">
  <sheetPr>
    <tabColor rgb="FF00B050"/>
  </sheetPr>
  <dimension ref="A1:AL149"/>
  <sheetViews>
    <sheetView zoomScale="78" zoomScaleNormal="78" zoomScaleSheetLayoutView="70" workbookViewId="0">
      <pane xSplit="4" ySplit="5" topLeftCell="E76" activePane="bottomRight" state="frozen"/>
      <selection activeCell="M107" sqref="M107"/>
      <selection pane="topRight" activeCell="M107" sqref="M107"/>
      <selection pane="bottomLeft" activeCell="M107" sqref="M107"/>
      <selection pane="bottomRight" activeCell="Y83" sqref="Y83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271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241</v>
      </c>
      <c r="E6" s="28">
        <v>69010917</v>
      </c>
      <c r="F6" s="29">
        <v>690126</v>
      </c>
      <c r="G6" s="30">
        <v>219</v>
      </c>
      <c r="H6" s="31">
        <v>1043</v>
      </c>
      <c r="I6" s="32">
        <v>750</v>
      </c>
      <c r="J6" s="32">
        <v>750</v>
      </c>
      <c r="K6" s="33">
        <f>G6*8/100</f>
        <v>17.52</v>
      </c>
      <c r="L6" s="34">
        <f>H6*8/100</f>
        <v>83.44</v>
      </c>
      <c r="M6" s="303">
        <v>1574</v>
      </c>
      <c r="N6" s="303">
        <v>213</v>
      </c>
      <c r="O6" s="303">
        <v>213</v>
      </c>
      <c r="P6" s="303">
        <v>1256</v>
      </c>
      <c r="Q6" s="35">
        <v>1580</v>
      </c>
      <c r="R6" s="35"/>
      <c r="S6" s="36">
        <v>151.9</v>
      </c>
      <c r="T6" s="36"/>
      <c r="U6" s="37"/>
      <c r="V6" s="38"/>
      <c r="W6" s="39">
        <f>S6*1000/39.37/Q6*44.5</f>
        <v>108.66640087710557</v>
      </c>
      <c r="X6" s="39"/>
      <c r="Y6" s="40">
        <f t="shared" ref="Y6:Z8" si="0">(AC6+W6)/2</f>
        <v>109.18820043855278</v>
      </c>
      <c r="Z6" s="40"/>
      <c r="AA6" s="41"/>
      <c r="AB6" s="42"/>
      <c r="AC6" s="43">
        <v>109.71</v>
      </c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241</v>
      </c>
      <c r="E7" s="28">
        <v>69010916</v>
      </c>
      <c r="F7" s="29">
        <v>690126</v>
      </c>
      <c r="G7" s="45">
        <v>215</v>
      </c>
      <c r="H7" s="31">
        <v>1008</v>
      </c>
      <c r="I7" s="46">
        <v>750</v>
      </c>
      <c r="J7" s="32">
        <v>750</v>
      </c>
      <c r="K7" s="33">
        <f t="shared" ref="K7:L38" si="1">G7*8/100</f>
        <v>17.2</v>
      </c>
      <c r="L7" s="47">
        <f t="shared" si="1"/>
        <v>80.64</v>
      </c>
      <c r="M7" s="303">
        <v>1996</v>
      </c>
      <c r="N7" s="303">
        <v>221</v>
      </c>
      <c r="O7" s="303">
        <v>221</v>
      </c>
      <c r="P7" s="303">
        <v>1229</v>
      </c>
      <c r="Q7" s="35">
        <v>1990</v>
      </c>
      <c r="R7" s="48"/>
      <c r="S7" s="36">
        <v>190.4</v>
      </c>
      <c r="T7" s="36"/>
      <c r="U7" s="37"/>
      <c r="V7" s="38"/>
      <c r="W7" s="39">
        <f>S7*1000/39.37/Q7*44.5</f>
        <v>108.14550272316626</v>
      </c>
      <c r="X7" s="39"/>
      <c r="Y7" s="40">
        <f t="shared" si="0"/>
        <v>108.86275136158312</v>
      </c>
      <c r="Z7" s="40"/>
      <c r="AA7" s="41"/>
      <c r="AB7" s="42"/>
      <c r="AC7" s="43">
        <v>109.58</v>
      </c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69010928</v>
      </c>
      <c r="F8" s="29">
        <v>690111</v>
      </c>
      <c r="G8" s="45">
        <v>701</v>
      </c>
      <c r="H8" s="31">
        <v>1010</v>
      </c>
      <c r="I8" s="46">
        <v>750</v>
      </c>
      <c r="J8" s="32">
        <v>750</v>
      </c>
      <c r="K8" s="33">
        <f t="shared" si="1"/>
        <v>56.08</v>
      </c>
      <c r="L8" s="47">
        <f t="shared" si="1"/>
        <v>80.8</v>
      </c>
      <c r="M8" s="303">
        <v>908</v>
      </c>
      <c r="N8" s="303">
        <v>161</v>
      </c>
      <c r="O8" s="303">
        <v>161</v>
      </c>
      <c r="P8" s="303">
        <v>1171</v>
      </c>
      <c r="Q8" s="35"/>
      <c r="R8" s="48">
        <v>1448</v>
      </c>
      <c r="S8" s="36"/>
      <c r="T8" s="36">
        <v>96.8</v>
      </c>
      <c r="U8" s="37"/>
      <c r="V8" s="38">
        <v>15</v>
      </c>
      <c r="W8" s="39"/>
      <c r="X8" s="39">
        <f>T8*1000/39.37/R8*38.5</f>
        <v>65.373556161476969</v>
      </c>
      <c r="Y8" s="40"/>
      <c r="Z8" s="40">
        <f t="shared" si="0"/>
        <v>66.101778080738484</v>
      </c>
      <c r="AA8" s="41"/>
      <c r="AB8" s="42"/>
      <c r="AC8" s="43"/>
      <c r="AD8" s="43">
        <v>66.83</v>
      </c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/>
      <c r="F9" s="29">
        <v>690109</v>
      </c>
      <c r="G9" s="45">
        <v>709</v>
      </c>
      <c r="H9" s="31">
        <v>705</v>
      </c>
      <c r="I9" s="46">
        <v>110</v>
      </c>
      <c r="J9" s="32">
        <v>110</v>
      </c>
      <c r="K9" s="33">
        <f t="shared" si="1"/>
        <v>56.72</v>
      </c>
      <c r="L9" s="47">
        <f t="shared" si="1"/>
        <v>56.4</v>
      </c>
      <c r="M9" s="303">
        <v>1146</v>
      </c>
      <c r="N9" s="303">
        <v>1855</v>
      </c>
      <c r="O9" s="303">
        <v>1855</v>
      </c>
      <c r="P9" s="303">
        <v>60</v>
      </c>
      <c r="Q9" s="35"/>
      <c r="R9" s="48"/>
      <c r="S9" s="36"/>
      <c r="T9" s="36"/>
      <c r="U9" s="37"/>
      <c r="V9" s="38"/>
      <c r="W9" s="39"/>
      <c r="X9" s="39"/>
      <c r="Y9" s="40"/>
      <c r="Z9" s="40"/>
      <c r="AA9" s="41"/>
      <c r="AB9" s="42"/>
      <c r="AC9" s="43"/>
      <c r="AD9" s="43"/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47</v>
      </c>
      <c r="E10" s="28">
        <v>69010920</v>
      </c>
      <c r="F10" s="29">
        <v>690119</v>
      </c>
      <c r="G10" s="51">
        <v>625</v>
      </c>
      <c r="H10" s="31">
        <v>900</v>
      </c>
      <c r="I10" s="46">
        <v>110</v>
      </c>
      <c r="J10" s="32">
        <v>110</v>
      </c>
      <c r="K10" s="33">
        <f t="shared" si="1"/>
        <v>50</v>
      </c>
      <c r="L10" s="47">
        <f t="shared" si="1"/>
        <v>72</v>
      </c>
      <c r="M10" s="303">
        <v>2270</v>
      </c>
      <c r="N10" s="303">
        <v>395</v>
      </c>
      <c r="O10" s="303">
        <v>395</v>
      </c>
      <c r="P10" s="303">
        <v>1295</v>
      </c>
      <c r="Q10" s="35">
        <v>2500</v>
      </c>
      <c r="R10" s="48"/>
      <c r="S10" s="36">
        <v>206.9</v>
      </c>
      <c r="T10" s="36"/>
      <c r="U10" s="37">
        <v>25</v>
      </c>
      <c r="V10" s="38"/>
      <c r="W10" s="39">
        <f>S10*1000/39.37/Q10*38.5</f>
        <v>80.931165862331724</v>
      </c>
      <c r="X10" s="39"/>
      <c r="Y10" s="40">
        <f t="shared" ref="Y10" si="2">(AC10+W10)/2</f>
        <v>83.110582931165865</v>
      </c>
      <c r="Z10" s="52"/>
      <c r="AA10" s="41"/>
      <c r="AB10" s="42"/>
      <c r="AC10" s="43">
        <v>85.29</v>
      </c>
      <c r="AD10" s="43"/>
      <c r="AE10" s="260" t="s">
        <v>282</v>
      </c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36</v>
      </c>
      <c r="E11" s="28"/>
      <c r="F11" s="29">
        <v>690126</v>
      </c>
      <c r="G11" s="45">
        <v>0</v>
      </c>
      <c r="H11" s="31">
        <v>210</v>
      </c>
      <c r="I11" s="46">
        <v>800</v>
      </c>
      <c r="J11" s="32">
        <v>800</v>
      </c>
      <c r="K11" s="33">
        <f t="shared" si="1"/>
        <v>0</v>
      </c>
      <c r="L11" s="47">
        <f>H11*8/100</f>
        <v>16.8</v>
      </c>
      <c r="M11" s="304">
        <v>796</v>
      </c>
      <c r="N11" s="304">
        <v>0</v>
      </c>
      <c r="O11" s="304">
        <v>0</v>
      </c>
      <c r="P11" s="304">
        <v>210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52</v>
      </c>
      <c r="E12" s="28">
        <v>69010931</v>
      </c>
      <c r="F12" s="29">
        <v>690113</v>
      </c>
      <c r="G12" s="45">
        <v>99</v>
      </c>
      <c r="H12" s="31">
        <v>363</v>
      </c>
      <c r="I12" s="46">
        <v>800</v>
      </c>
      <c r="J12" s="32">
        <v>800</v>
      </c>
      <c r="K12" s="33">
        <f t="shared" si="1"/>
        <v>7.92</v>
      </c>
      <c r="L12" s="47">
        <f t="shared" si="1"/>
        <v>29.04</v>
      </c>
      <c r="M12" s="303">
        <v>1881</v>
      </c>
      <c r="N12" s="303">
        <v>0</v>
      </c>
      <c r="O12" s="303">
        <v>0</v>
      </c>
      <c r="P12" s="303">
        <v>363</v>
      </c>
      <c r="Q12" s="35"/>
      <c r="R12" s="48">
        <v>1980</v>
      </c>
      <c r="S12" s="36"/>
      <c r="T12" s="36">
        <v>146.4</v>
      </c>
      <c r="U12" s="37"/>
      <c r="V12" s="38">
        <v>20</v>
      </c>
      <c r="W12" s="39"/>
      <c r="X12" s="39">
        <f>T12*1000/39.37/R12*35.5</f>
        <v>66.671284857721247</v>
      </c>
      <c r="Y12" s="40"/>
      <c r="Z12" s="40">
        <v>66.42</v>
      </c>
      <c r="AA12" s="41"/>
      <c r="AB12" s="42"/>
      <c r="AC12" s="43"/>
      <c r="AD12" s="43">
        <v>66.17</v>
      </c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52</v>
      </c>
      <c r="E13" s="28"/>
      <c r="F13" s="29">
        <v>690113</v>
      </c>
      <c r="G13" s="45">
        <v>149</v>
      </c>
      <c r="H13" s="31">
        <v>232</v>
      </c>
      <c r="I13" s="46">
        <v>800</v>
      </c>
      <c r="J13" s="32">
        <v>800</v>
      </c>
      <c r="K13" s="33">
        <f t="shared" si="1"/>
        <v>11.92</v>
      </c>
      <c r="L13" s="47">
        <f t="shared" si="1"/>
        <v>18.559999999999999</v>
      </c>
      <c r="M13" s="303">
        <v>1092</v>
      </c>
      <c r="N13" s="303">
        <v>1241</v>
      </c>
      <c r="O13" s="303">
        <v>1241</v>
      </c>
      <c r="P13" s="303">
        <v>1473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336</v>
      </c>
      <c r="H14" s="31">
        <v>425</v>
      </c>
      <c r="I14" s="46">
        <v>800</v>
      </c>
      <c r="J14" s="32">
        <v>800</v>
      </c>
      <c r="K14" s="33">
        <f t="shared" si="1"/>
        <v>26.88</v>
      </c>
      <c r="L14" s="47">
        <f t="shared" si="1"/>
        <v>34</v>
      </c>
      <c r="M14" s="303">
        <v>83</v>
      </c>
      <c r="N14" s="303">
        <v>419</v>
      </c>
      <c r="O14" s="303">
        <v>419</v>
      </c>
      <c r="P14" s="303">
        <v>844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47</v>
      </c>
      <c r="E15" s="28"/>
      <c r="F15" s="29">
        <v>690119</v>
      </c>
      <c r="G15" s="55">
        <v>0</v>
      </c>
      <c r="H15" s="31">
        <v>0</v>
      </c>
      <c r="I15" s="46">
        <v>800</v>
      </c>
      <c r="J15" s="32">
        <v>800</v>
      </c>
      <c r="K15" s="33">
        <f t="shared" si="1"/>
        <v>0</v>
      </c>
      <c r="L15" s="47">
        <f t="shared" si="1"/>
        <v>0</v>
      </c>
      <c r="M15" s="303">
        <v>0</v>
      </c>
      <c r="N15" s="303">
        <v>0</v>
      </c>
      <c r="O15" s="303">
        <v>0</v>
      </c>
      <c r="P15" s="303">
        <v>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/>
      <c r="F16" s="29">
        <v>690106</v>
      </c>
      <c r="G16" s="55">
        <v>544</v>
      </c>
      <c r="H16" s="31">
        <v>0</v>
      </c>
      <c r="I16" s="46">
        <v>800</v>
      </c>
      <c r="J16" s="32">
        <v>800</v>
      </c>
      <c r="K16" s="33">
        <f t="shared" si="1"/>
        <v>43.52</v>
      </c>
      <c r="L16" s="47">
        <f t="shared" si="1"/>
        <v>0</v>
      </c>
      <c r="M16" s="303">
        <v>244</v>
      </c>
      <c r="N16" s="303">
        <v>788</v>
      </c>
      <c r="O16" s="303">
        <v>788</v>
      </c>
      <c r="P16" s="303">
        <v>788</v>
      </c>
      <c r="Q16" s="35"/>
      <c r="R16" s="48"/>
      <c r="S16" s="36"/>
      <c r="T16" s="36"/>
      <c r="U16" s="37"/>
      <c r="V16" s="38"/>
      <c r="W16" s="39"/>
      <c r="X16" s="39"/>
      <c r="Y16" s="40"/>
      <c r="Z16" s="40"/>
      <c r="AA16" s="41"/>
      <c r="AB16" s="42"/>
      <c r="AC16" s="43"/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/>
      <c r="F17" s="29">
        <v>690106</v>
      </c>
      <c r="G17" s="55">
        <v>680</v>
      </c>
      <c r="H17" s="31">
        <v>0</v>
      </c>
      <c r="I17" s="46">
        <v>800</v>
      </c>
      <c r="J17" s="32">
        <v>800</v>
      </c>
      <c r="K17" s="33">
        <f t="shared" si="1"/>
        <v>54.4</v>
      </c>
      <c r="L17" s="47">
        <f t="shared" si="1"/>
        <v>0</v>
      </c>
      <c r="M17" s="303">
        <v>239</v>
      </c>
      <c r="N17" s="303">
        <v>919</v>
      </c>
      <c r="O17" s="303">
        <v>919</v>
      </c>
      <c r="P17" s="303">
        <v>919</v>
      </c>
      <c r="Q17" s="35"/>
      <c r="R17" s="48"/>
      <c r="S17" s="36"/>
      <c r="T17" s="36"/>
      <c r="U17" s="37"/>
      <c r="V17" s="38"/>
      <c r="W17" s="39"/>
      <c r="X17" s="39"/>
      <c r="Y17" s="40"/>
      <c r="Z17" s="40"/>
      <c r="AA17" s="41"/>
      <c r="AB17" s="42"/>
      <c r="AC17" s="43"/>
      <c r="AD17" s="43"/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/>
      <c r="F18" s="29">
        <v>690106</v>
      </c>
      <c r="G18" s="55">
        <v>730</v>
      </c>
      <c r="H18" s="31">
        <v>0</v>
      </c>
      <c r="I18" s="46">
        <v>800</v>
      </c>
      <c r="J18" s="32">
        <v>800</v>
      </c>
      <c r="K18" s="33">
        <f t="shared" si="1"/>
        <v>58.4</v>
      </c>
      <c r="L18" s="47">
        <f t="shared" si="1"/>
        <v>0</v>
      </c>
      <c r="M18" s="303">
        <v>698</v>
      </c>
      <c r="N18" s="303">
        <v>1428</v>
      </c>
      <c r="O18" s="303">
        <v>1428</v>
      </c>
      <c r="P18" s="303">
        <v>1428</v>
      </c>
      <c r="Q18" s="35"/>
      <c r="R18" s="48"/>
      <c r="S18" s="36"/>
      <c r="T18" s="36"/>
      <c r="U18" s="37"/>
      <c r="V18" s="38"/>
      <c r="W18" s="39"/>
      <c r="X18" s="39"/>
      <c r="Y18" s="40"/>
      <c r="Z18" s="40"/>
      <c r="AA18" s="41"/>
      <c r="AB18" s="42"/>
      <c r="AC18" s="43"/>
      <c r="AD18" s="43"/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61</v>
      </c>
      <c r="E19" s="28">
        <v>69010929</v>
      </c>
      <c r="F19" s="29">
        <v>690112</v>
      </c>
      <c r="G19" s="45">
        <v>223</v>
      </c>
      <c r="H19" s="31">
        <v>934</v>
      </c>
      <c r="I19" s="46">
        <v>750</v>
      </c>
      <c r="J19" s="32">
        <v>750</v>
      </c>
      <c r="K19" s="33">
        <f t="shared" si="1"/>
        <v>17.84</v>
      </c>
      <c r="L19" s="47">
        <f t="shared" si="1"/>
        <v>74.72</v>
      </c>
      <c r="M19" s="303">
        <v>1949</v>
      </c>
      <c r="N19" s="303">
        <v>172</v>
      </c>
      <c r="O19" s="303">
        <v>172</v>
      </c>
      <c r="P19" s="303">
        <v>1106</v>
      </c>
      <c r="Q19" s="35"/>
      <c r="R19" s="48">
        <v>2000</v>
      </c>
      <c r="S19" s="36"/>
      <c r="T19" s="36">
        <v>155.4</v>
      </c>
      <c r="U19" s="37"/>
      <c r="V19" s="38"/>
      <c r="W19" s="39"/>
      <c r="X19" s="39">
        <f>T19*1000/39.37/R19*38.5</f>
        <v>75.98298196596393</v>
      </c>
      <c r="Y19" s="40"/>
      <c r="Z19" s="40">
        <v>77.180000000000007</v>
      </c>
      <c r="AA19" s="41"/>
      <c r="AB19" s="42"/>
      <c r="AC19" s="43"/>
      <c r="AD19" s="43">
        <v>78.37</v>
      </c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47</v>
      </c>
      <c r="E20" s="28"/>
      <c r="F20" s="29">
        <v>690119</v>
      </c>
      <c r="G20" s="45">
        <v>500</v>
      </c>
      <c r="H20" s="31">
        <v>903</v>
      </c>
      <c r="I20" s="46">
        <v>750</v>
      </c>
      <c r="J20" s="32">
        <v>750</v>
      </c>
      <c r="K20" s="33">
        <f t="shared" si="1"/>
        <v>40</v>
      </c>
      <c r="L20" s="47">
        <f t="shared" si="1"/>
        <v>72.239999999999995</v>
      </c>
      <c r="M20" s="303">
        <v>555</v>
      </c>
      <c r="N20" s="303">
        <v>1055</v>
      </c>
      <c r="O20" s="303">
        <v>1055</v>
      </c>
      <c r="P20" s="303">
        <v>1958</v>
      </c>
      <c r="Q20" s="35"/>
      <c r="R20" s="48"/>
      <c r="S20" s="36"/>
      <c r="T20" s="36"/>
      <c r="U20" s="37"/>
      <c r="V20" s="38"/>
      <c r="W20" s="39"/>
      <c r="X20" s="39"/>
      <c r="Y20" s="40"/>
      <c r="Z20" s="40"/>
      <c r="AA20" s="41"/>
      <c r="AB20" s="42"/>
      <c r="AC20" s="43"/>
      <c r="AD20" s="43"/>
    </row>
    <row r="21" spans="1:35" ht="24" customHeight="1" x14ac:dyDescent="0.4">
      <c r="A21" s="249" t="s">
        <v>67</v>
      </c>
      <c r="B21" s="246" t="s">
        <v>35</v>
      </c>
      <c r="C21" s="253" t="s">
        <v>34</v>
      </c>
      <c r="D21" s="256" t="s">
        <v>140</v>
      </c>
      <c r="E21" s="28">
        <v>69010914</v>
      </c>
      <c r="F21" s="29">
        <v>690119</v>
      </c>
      <c r="G21" s="45">
        <v>0</v>
      </c>
      <c r="H21" s="31">
        <v>1081</v>
      </c>
      <c r="I21" s="46">
        <v>750</v>
      </c>
      <c r="J21" s="32">
        <v>750</v>
      </c>
      <c r="K21" s="33">
        <f t="shared" si="1"/>
        <v>0</v>
      </c>
      <c r="L21" s="47">
        <f t="shared" si="1"/>
        <v>86.48</v>
      </c>
      <c r="M21" s="308">
        <v>1333</v>
      </c>
      <c r="N21" s="308">
        <v>1333</v>
      </c>
      <c r="O21" s="308">
        <v>1333</v>
      </c>
      <c r="P21" s="308">
        <v>1081</v>
      </c>
      <c r="Q21" s="35">
        <v>1333</v>
      </c>
      <c r="R21" s="48"/>
      <c r="S21" s="36">
        <v>99.3</v>
      </c>
      <c r="T21" s="36"/>
      <c r="U21" s="37"/>
      <c r="V21" s="38"/>
      <c r="W21" s="39">
        <f>S21*1000/39.37/Q21*38.5</f>
        <v>72.847460023502194</v>
      </c>
      <c r="X21" s="39"/>
      <c r="Y21" s="40">
        <f t="shared" ref="Y21:Y23" si="3">(AC21+W21)/2</f>
        <v>73.433730011751095</v>
      </c>
      <c r="Z21" s="40"/>
      <c r="AA21" s="41"/>
      <c r="AB21" s="42"/>
      <c r="AC21" s="43">
        <v>74.02</v>
      </c>
      <c r="AD21" s="43"/>
    </row>
    <row r="22" spans="1:35" ht="26.25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>
        <v>69010902</v>
      </c>
      <c r="F22" s="29">
        <v>690112</v>
      </c>
      <c r="G22" s="45">
        <v>837</v>
      </c>
      <c r="H22" s="31">
        <v>961</v>
      </c>
      <c r="I22" s="46">
        <v>750</v>
      </c>
      <c r="J22" s="32">
        <v>750</v>
      </c>
      <c r="K22" s="33">
        <f t="shared" si="1"/>
        <v>66.959999999999994</v>
      </c>
      <c r="L22" s="47">
        <f t="shared" si="1"/>
        <v>76.88</v>
      </c>
      <c r="M22" s="312">
        <v>822</v>
      </c>
      <c r="N22" s="303">
        <v>1659</v>
      </c>
      <c r="O22" s="303">
        <v>1659</v>
      </c>
      <c r="P22" s="313">
        <v>620</v>
      </c>
      <c r="Q22" s="35">
        <v>2000</v>
      </c>
      <c r="R22" s="48"/>
      <c r="S22" s="36">
        <v>157.4</v>
      </c>
      <c r="T22" s="36"/>
      <c r="U22" s="37"/>
      <c r="V22" s="38"/>
      <c r="W22" s="39">
        <f>S22*1000/39.37/Q22*38.5</f>
        <v>76.960883921767859</v>
      </c>
      <c r="X22" s="39"/>
      <c r="Y22" s="40">
        <f t="shared" si="3"/>
        <v>77.700441960883921</v>
      </c>
      <c r="Z22" s="40"/>
      <c r="AA22" s="41"/>
      <c r="AB22" s="42"/>
      <c r="AC22" s="43">
        <v>78.44</v>
      </c>
      <c r="AD22" s="43"/>
    </row>
    <row r="23" spans="1:35" ht="24" customHeight="1" x14ac:dyDescent="0.4">
      <c r="A23" s="249" t="s">
        <v>70</v>
      </c>
      <c r="B23" s="246" t="s">
        <v>42</v>
      </c>
      <c r="C23" s="253" t="s">
        <v>41</v>
      </c>
      <c r="D23" s="256" t="s">
        <v>57</v>
      </c>
      <c r="E23" s="28">
        <v>69010918</v>
      </c>
      <c r="F23" s="29">
        <v>690104</v>
      </c>
      <c r="G23" s="45">
        <v>628</v>
      </c>
      <c r="H23" s="31">
        <v>739</v>
      </c>
      <c r="I23" s="46">
        <v>750</v>
      </c>
      <c r="J23" s="32">
        <v>750</v>
      </c>
      <c r="K23" s="33">
        <f t="shared" si="1"/>
        <v>50.24</v>
      </c>
      <c r="L23" s="47">
        <f t="shared" si="1"/>
        <v>59.12</v>
      </c>
      <c r="M23" s="312">
        <v>2318</v>
      </c>
      <c r="N23" s="303">
        <v>456</v>
      </c>
      <c r="O23" s="303">
        <v>456</v>
      </c>
      <c r="P23" s="313">
        <v>1195</v>
      </c>
      <c r="Q23" s="35">
        <v>2490</v>
      </c>
      <c r="R23" s="48"/>
      <c r="S23" s="36">
        <v>196.5</v>
      </c>
      <c r="T23" s="36"/>
      <c r="U23" s="37">
        <v>25</v>
      </c>
      <c r="V23" s="38"/>
      <c r="W23" s="39">
        <f>S23*1000/39.37/Q23*31.5</f>
        <v>63.140547967842934</v>
      </c>
      <c r="X23" s="39"/>
      <c r="Y23" s="40">
        <f t="shared" si="3"/>
        <v>64.27027398392147</v>
      </c>
      <c r="Z23" s="40"/>
      <c r="AA23" s="41"/>
      <c r="AB23" s="42"/>
      <c r="AC23" s="43">
        <v>65.400000000000006</v>
      </c>
      <c r="AD23" s="43"/>
    </row>
    <row r="24" spans="1:35" ht="24" customHeight="1" x14ac:dyDescent="0.5">
      <c r="A24" s="249" t="s">
        <v>72</v>
      </c>
      <c r="B24" s="246" t="s">
        <v>42</v>
      </c>
      <c r="C24" s="253" t="s">
        <v>41</v>
      </c>
      <c r="D24" s="258" t="s">
        <v>237</v>
      </c>
      <c r="E24" s="28"/>
      <c r="F24" s="29">
        <v>690133</v>
      </c>
      <c r="G24" s="45">
        <v>701</v>
      </c>
      <c r="H24" s="31">
        <v>741</v>
      </c>
      <c r="I24" s="46">
        <v>750</v>
      </c>
      <c r="J24" s="32">
        <v>750</v>
      </c>
      <c r="K24" s="33">
        <f t="shared" si="1"/>
        <v>56.08</v>
      </c>
      <c r="L24" s="47">
        <f t="shared" si="1"/>
        <v>59.28</v>
      </c>
      <c r="M24" s="312">
        <v>257</v>
      </c>
      <c r="N24" s="303">
        <v>958</v>
      </c>
      <c r="O24" s="303">
        <v>958</v>
      </c>
      <c r="P24" s="313">
        <v>229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x14ac:dyDescent="0.4">
      <c r="A25" s="249" t="s">
        <v>73</v>
      </c>
      <c r="B25" s="246" t="s">
        <v>42</v>
      </c>
      <c r="C25" s="253" t="s">
        <v>41</v>
      </c>
      <c r="D25" s="256" t="s">
        <v>241</v>
      </c>
      <c r="E25" s="259" t="s">
        <v>279</v>
      </c>
      <c r="F25" s="29">
        <v>690126</v>
      </c>
      <c r="G25" s="45">
        <v>560</v>
      </c>
      <c r="H25" s="31">
        <v>630</v>
      </c>
      <c r="I25" s="46">
        <v>750</v>
      </c>
      <c r="J25" s="32">
        <v>750</v>
      </c>
      <c r="K25" s="33">
        <f t="shared" si="1"/>
        <v>44.8</v>
      </c>
      <c r="L25" s="47">
        <f t="shared" si="1"/>
        <v>50.4</v>
      </c>
      <c r="M25" s="312">
        <v>483</v>
      </c>
      <c r="N25" s="303">
        <v>39</v>
      </c>
      <c r="O25" s="303">
        <v>39</v>
      </c>
      <c r="P25" s="313">
        <v>669</v>
      </c>
      <c r="Q25" s="35">
        <v>1990</v>
      </c>
      <c r="R25" s="48">
        <v>1004</v>
      </c>
      <c r="S25" s="36">
        <v>190.6</v>
      </c>
      <c r="T25" s="36">
        <v>98</v>
      </c>
      <c r="U25" s="37">
        <v>20</v>
      </c>
      <c r="V25" s="38"/>
      <c r="W25" s="39">
        <f>S25*1000/39.37/Q25*44.5</f>
        <v>108.25910094031244</v>
      </c>
      <c r="X25" s="39">
        <f>T25*1000/39.37/R25*44.5</f>
        <v>110.328308306019</v>
      </c>
      <c r="Y25" s="40">
        <f t="shared" ref="Y25:Z29" si="4">(AC25+W25)/2</f>
        <v>111.32955047015622</v>
      </c>
      <c r="Z25" s="40">
        <v>112.47</v>
      </c>
      <c r="AA25" s="41"/>
      <c r="AB25" s="42"/>
      <c r="AC25" s="239">
        <v>114.4</v>
      </c>
      <c r="AD25" s="43">
        <v>114.6</v>
      </c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47</v>
      </c>
      <c r="E26" s="28">
        <v>69010923</v>
      </c>
      <c r="F26" s="29">
        <v>690119</v>
      </c>
      <c r="G26" s="55">
        <v>759</v>
      </c>
      <c r="H26" s="31">
        <v>604</v>
      </c>
      <c r="I26" s="46">
        <v>800</v>
      </c>
      <c r="J26" s="32">
        <v>800</v>
      </c>
      <c r="K26" s="33">
        <f t="shared" si="1"/>
        <v>60.72</v>
      </c>
      <c r="L26" s="47">
        <f t="shared" si="1"/>
        <v>48.32</v>
      </c>
      <c r="M26" s="307">
        <v>2199</v>
      </c>
      <c r="N26" s="307">
        <v>458</v>
      </c>
      <c r="O26" s="307">
        <v>458</v>
      </c>
      <c r="P26" s="307">
        <v>1062</v>
      </c>
      <c r="Q26" s="35"/>
      <c r="R26" s="35">
        <v>2500</v>
      </c>
      <c r="S26" s="36"/>
      <c r="T26" s="36">
        <v>204.6</v>
      </c>
      <c r="U26" s="37"/>
      <c r="V26" s="38">
        <v>25</v>
      </c>
      <c r="W26" s="39"/>
      <c r="X26" s="39">
        <f>T26*1000/39.37/R26*38.5</f>
        <v>80.031496062992133</v>
      </c>
      <c r="Y26" s="40"/>
      <c r="Z26" s="40">
        <f t="shared" si="4"/>
        <v>81.865748031496068</v>
      </c>
      <c r="AA26" s="41"/>
      <c r="AB26" s="42"/>
      <c r="AC26" s="43"/>
      <c r="AD26" s="43">
        <v>83.7</v>
      </c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61</v>
      </c>
      <c r="E27" s="28">
        <v>69010915</v>
      </c>
      <c r="F27" s="29">
        <v>690112</v>
      </c>
      <c r="G27" s="55">
        <v>801</v>
      </c>
      <c r="H27" s="31">
        <v>680</v>
      </c>
      <c r="I27" s="46">
        <v>800</v>
      </c>
      <c r="J27" s="32">
        <v>800</v>
      </c>
      <c r="K27" s="33">
        <f t="shared" si="1"/>
        <v>64.08</v>
      </c>
      <c r="L27" s="47">
        <f t="shared" si="1"/>
        <v>54.4</v>
      </c>
      <c r="M27" s="303">
        <v>1701</v>
      </c>
      <c r="N27" s="303">
        <v>502</v>
      </c>
      <c r="O27" s="303">
        <v>502</v>
      </c>
      <c r="P27" s="303">
        <v>1182</v>
      </c>
      <c r="Q27" s="35">
        <v>2000</v>
      </c>
      <c r="R27" s="56"/>
      <c r="S27" s="57">
        <v>154</v>
      </c>
      <c r="T27" s="57"/>
      <c r="U27" s="58"/>
      <c r="V27" s="59"/>
      <c r="W27" s="39">
        <f>S27*1000/39.37/Q27*38.5</f>
        <v>75.298450596901191</v>
      </c>
      <c r="X27" s="39"/>
      <c r="Y27" s="40">
        <f t="shared" si="4"/>
        <v>75.864225298450606</v>
      </c>
      <c r="Z27" s="40"/>
      <c r="AA27" s="41"/>
      <c r="AB27" s="42"/>
      <c r="AC27" s="43">
        <v>76.430000000000007</v>
      </c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61</v>
      </c>
      <c r="E28" s="259">
        <v>69010904</v>
      </c>
      <c r="F28" s="29">
        <v>690112</v>
      </c>
      <c r="G28" s="45">
        <v>901</v>
      </c>
      <c r="H28" s="31">
        <v>643</v>
      </c>
      <c r="I28" s="46">
        <v>800</v>
      </c>
      <c r="J28" s="32">
        <v>800</v>
      </c>
      <c r="K28" s="33">
        <f t="shared" si="1"/>
        <v>72.08</v>
      </c>
      <c r="L28" s="47">
        <f t="shared" si="1"/>
        <v>51.44</v>
      </c>
      <c r="M28" s="303">
        <v>1932</v>
      </c>
      <c r="N28" s="303">
        <v>833</v>
      </c>
      <c r="O28" s="303">
        <v>833</v>
      </c>
      <c r="P28" s="303">
        <v>1476</v>
      </c>
      <c r="Q28" s="35">
        <v>2000</v>
      </c>
      <c r="R28" s="48"/>
      <c r="S28" s="36">
        <v>155.4</v>
      </c>
      <c r="T28" s="36"/>
      <c r="U28" s="37"/>
      <c r="V28" s="38"/>
      <c r="W28" s="39">
        <f>S28*1000/39.37/Q28*38.5</f>
        <v>75.98298196596393</v>
      </c>
      <c r="X28" s="39"/>
      <c r="Y28" s="40">
        <f t="shared" ref="Y28" si="5">(AC28+W28)/2</f>
        <v>77.67649098298196</v>
      </c>
      <c r="Z28" s="40"/>
      <c r="AA28" s="41"/>
      <c r="AB28" s="42"/>
      <c r="AC28" s="43">
        <v>79.37</v>
      </c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47</v>
      </c>
      <c r="E29" s="28">
        <v>69010925</v>
      </c>
      <c r="F29" s="29">
        <v>690119</v>
      </c>
      <c r="G29" s="45">
        <v>0</v>
      </c>
      <c r="H29" s="31">
        <v>466</v>
      </c>
      <c r="I29" s="46">
        <v>800</v>
      </c>
      <c r="J29" s="32">
        <v>800</v>
      </c>
      <c r="K29" s="33">
        <f t="shared" si="1"/>
        <v>0</v>
      </c>
      <c r="L29" s="47">
        <f t="shared" si="1"/>
        <v>37.28</v>
      </c>
      <c r="M29" s="303">
        <v>2044</v>
      </c>
      <c r="N29" s="303">
        <v>0</v>
      </c>
      <c r="O29" s="303">
        <v>0</v>
      </c>
      <c r="P29" s="303">
        <v>466</v>
      </c>
      <c r="Q29" s="35"/>
      <c r="R29" s="48">
        <v>2044</v>
      </c>
      <c r="S29" s="36"/>
      <c r="T29" s="36">
        <v>168.6</v>
      </c>
      <c r="U29" s="37"/>
      <c r="V29" s="38">
        <v>20</v>
      </c>
      <c r="W29" s="39"/>
      <c r="X29" s="39">
        <f>T29*1000/39.37/R29*38.5</f>
        <v>80.662558585391153</v>
      </c>
      <c r="Y29" s="40"/>
      <c r="Z29" s="40">
        <f t="shared" si="4"/>
        <v>82.471279292695584</v>
      </c>
      <c r="AA29" s="41"/>
      <c r="AB29" s="42"/>
      <c r="AC29" s="43"/>
      <c r="AD29" s="43">
        <v>84.28</v>
      </c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43</v>
      </c>
      <c r="E30" s="28"/>
      <c r="F30" s="29">
        <v>690108</v>
      </c>
      <c r="G30" s="45">
        <v>707</v>
      </c>
      <c r="H30" s="31">
        <v>468</v>
      </c>
      <c r="I30" s="46">
        <v>800</v>
      </c>
      <c r="J30" s="32">
        <v>800</v>
      </c>
      <c r="K30" s="33">
        <f t="shared" si="1"/>
        <v>56.56</v>
      </c>
      <c r="L30" s="47">
        <f t="shared" si="1"/>
        <v>37.44</v>
      </c>
      <c r="M30" s="303">
        <v>1120</v>
      </c>
      <c r="N30" s="303">
        <v>1827</v>
      </c>
      <c r="O30" s="303">
        <v>1827</v>
      </c>
      <c r="P30" s="303">
        <v>2295</v>
      </c>
      <c r="Q30" s="35"/>
      <c r="R30" s="35"/>
      <c r="S30" s="36"/>
      <c r="T30" s="36"/>
      <c r="U30" s="37"/>
      <c r="V30" s="38"/>
      <c r="W30" s="39"/>
      <c r="X30" s="39"/>
      <c r="Y30" s="40"/>
      <c r="Z30" s="40"/>
      <c r="AA30" s="41"/>
      <c r="AB30" s="42"/>
      <c r="AC30" s="43"/>
      <c r="AD30" s="43"/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1"/>
        <v>0</v>
      </c>
      <c r="L31" s="47">
        <f t="shared" si="1"/>
        <v>0</v>
      </c>
      <c r="M31" s="303">
        <v>0</v>
      </c>
      <c r="N31" s="303">
        <v>0</v>
      </c>
      <c r="O31" s="303">
        <v>0</v>
      </c>
      <c r="P31" s="303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1"/>
        <v>0</v>
      </c>
      <c r="L32" s="47">
        <f t="shared" si="1"/>
        <v>0</v>
      </c>
      <c r="M32" s="303">
        <v>0</v>
      </c>
      <c r="N32" s="303">
        <v>0</v>
      </c>
      <c r="O32" s="303">
        <v>0</v>
      </c>
      <c r="P32" s="303">
        <v>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1"/>
        <v>0</v>
      </c>
      <c r="L33" s="47">
        <f t="shared" si="1"/>
        <v>0</v>
      </c>
      <c r="M33" s="303">
        <v>0</v>
      </c>
      <c r="N33" s="303">
        <v>0</v>
      </c>
      <c r="O33" s="303">
        <v>0</v>
      </c>
      <c r="P33" s="303">
        <v>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>
        <v>69010932</v>
      </c>
      <c r="F34" s="29">
        <v>690119</v>
      </c>
      <c r="G34" s="60">
        <v>652</v>
      </c>
      <c r="H34" s="31">
        <v>582</v>
      </c>
      <c r="I34" s="46">
        <v>110</v>
      </c>
      <c r="J34" s="32">
        <v>110</v>
      </c>
      <c r="K34" s="33">
        <f t="shared" si="1"/>
        <v>52.16</v>
      </c>
      <c r="L34" s="47">
        <f t="shared" si="1"/>
        <v>46.56</v>
      </c>
      <c r="M34" s="303">
        <v>1826</v>
      </c>
      <c r="N34" s="303">
        <v>11</v>
      </c>
      <c r="O34" s="303">
        <v>11</v>
      </c>
      <c r="P34" s="303">
        <v>593</v>
      </c>
      <c r="Q34" s="35"/>
      <c r="R34" s="48">
        <v>2467</v>
      </c>
      <c r="S34" s="36"/>
      <c r="T34" s="36">
        <v>210.6</v>
      </c>
      <c r="U34" s="37"/>
      <c r="V34" s="38">
        <v>25</v>
      </c>
      <c r="W34" s="39"/>
      <c r="X34" s="39">
        <f>T34*1000/39.37/R34*38.5</f>
        <v>83.480402064168544</v>
      </c>
      <c r="Y34" s="40"/>
      <c r="Z34" s="40">
        <v>83.16</v>
      </c>
      <c r="AA34" s="41"/>
      <c r="AB34" s="42"/>
      <c r="AC34" s="43"/>
      <c r="AD34" s="43">
        <v>82.84</v>
      </c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779</v>
      </c>
      <c r="H35" s="31">
        <v>676</v>
      </c>
      <c r="I35" s="46">
        <v>110</v>
      </c>
      <c r="J35" s="32">
        <v>110</v>
      </c>
      <c r="K35" s="33">
        <f t="shared" si="1"/>
        <v>62.32</v>
      </c>
      <c r="L35" s="47">
        <f t="shared" si="1"/>
        <v>54.08</v>
      </c>
      <c r="M35" s="303">
        <v>401</v>
      </c>
      <c r="N35" s="303">
        <v>1180</v>
      </c>
      <c r="O35" s="303">
        <v>1180</v>
      </c>
      <c r="P35" s="303">
        <v>336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57</v>
      </c>
      <c r="E36" s="28"/>
      <c r="F36" s="29">
        <v>690106</v>
      </c>
      <c r="G36" s="45">
        <v>0</v>
      </c>
      <c r="H36" s="31">
        <v>0</v>
      </c>
      <c r="I36" s="46">
        <v>115</v>
      </c>
      <c r="J36" s="32">
        <v>115</v>
      </c>
      <c r="K36" s="33">
        <f t="shared" si="1"/>
        <v>0</v>
      </c>
      <c r="L36" s="47">
        <f t="shared" si="1"/>
        <v>0</v>
      </c>
      <c r="M36" s="303">
        <v>368</v>
      </c>
      <c r="N36" s="303">
        <v>368</v>
      </c>
      <c r="O36" s="303">
        <v>368</v>
      </c>
      <c r="P36" s="303">
        <v>300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57</v>
      </c>
      <c r="E37" s="28"/>
      <c r="F37" s="29">
        <v>690106</v>
      </c>
      <c r="G37" s="45">
        <v>0</v>
      </c>
      <c r="H37" s="31">
        <v>0</v>
      </c>
      <c r="I37" s="46">
        <v>115</v>
      </c>
      <c r="J37" s="32">
        <v>115</v>
      </c>
      <c r="K37" s="33">
        <f t="shared" si="1"/>
        <v>0</v>
      </c>
      <c r="L37" s="47">
        <f t="shared" si="1"/>
        <v>0</v>
      </c>
      <c r="M37" s="303">
        <v>0</v>
      </c>
      <c r="N37" s="303">
        <v>0</v>
      </c>
      <c r="O37" s="303">
        <v>0</v>
      </c>
      <c r="P37" s="303">
        <v>0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71</v>
      </c>
      <c r="E38" s="28"/>
      <c r="F38" s="29">
        <v>690106</v>
      </c>
      <c r="G38" s="45">
        <v>0</v>
      </c>
      <c r="H38" s="31">
        <v>0</v>
      </c>
      <c r="I38" s="46">
        <v>115</v>
      </c>
      <c r="J38" s="32">
        <v>115</v>
      </c>
      <c r="K38" s="33">
        <f t="shared" si="1"/>
        <v>0</v>
      </c>
      <c r="L38" s="47">
        <f t="shared" si="1"/>
        <v>0</v>
      </c>
      <c r="M38" s="303">
        <v>0</v>
      </c>
      <c r="N38" s="303">
        <v>0</v>
      </c>
      <c r="O38" s="303">
        <v>0</v>
      </c>
      <c r="P38" s="303">
        <v>0</v>
      </c>
      <c r="Q38" s="35"/>
      <c r="R38" s="35"/>
      <c r="S38" s="67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/>
      <c r="F39" s="29">
        <v>690107</v>
      </c>
      <c r="G39" s="45">
        <v>517</v>
      </c>
      <c r="H39" s="31">
        <v>570</v>
      </c>
      <c r="I39" s="63">
        <v>115</v>
      </c>
      <c r="J39" s="64">
        <v>115</v>
      </c>
      <c r="K39" s="65">
        <f t="shared" ref="K39:L55" si="6">G39*8/100</f>
        <v>41.36</v>
      </c>
      <c r="L39" s="68">
        <f t="shared" si="6"/>
        <v>45.6</v>
      </c>
      <c r="M39" s="303">
        <v>240</v>
      </c>
      <c r="N39" s="303">
        <v>757</v>
      </c>
      <c r="O39" s="303">
        <v>757</v>
      </c>
      <c r="P39" s="303">
        <v>1327</v>
      </c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43</v>
      </c>
      <c r="E40" s="28"/>
      <c r="F40" s="29">
        <v>690106</v>
      </c>
      <c r="G40" s="45">
        <v>740</v>
      </c>
      <c r="H40" s="31">
        <v>560</v>
      </c>
      <c r="I40" s="63">
        <v>115</v>
      </c>
      <c r="J40" s="64">
        <v>115</v>
      </c>
      <c r="K40" s="65">
        <f t="shared" si="6"/>
        <v>59.2</v>
      </c>
      <c r="L40" s="68">
        <f t="shared" si="6"/>
        <v>44.8</v>
      </c>
      <c r="M40" s="303">
        <v>66</v>
      </c>
      <c r="N40" s="303">
        <v>806</v>
      </c>
      <c r="O40" s="303">
        <v>806</v>
      </c>
      <c r="P40" s="303">
        <v>1366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>
        <v>69010922</v>
      </c>
      <c r="F41" s="29">
        <v>690119</v>
      </c>
      <c r="G41" s="45">
        <v>694</v>
      </c>
      <c r="H41" s="31">
        <v>587</v>
      </c>
      <c r="I41" s="46">
        <v>120</v>
      </c>
      <c r="J41" s="32">
        <v>120</v>
      </c>
      <c r="K41" s="33">
        <f t="shared" si="6"/>
        <v>55.52</v>
      </c>
      <c r="L41" s="47">
        <f t="shared" si="6"/>
        <v>46.96</v>
      </c>
      <c r="M41" s="303">
        <v>1924</v>
      </c>
      <c r="N41" s="303">
        <v>348</v>
      </c>
      <c r="O41" s="303">
        <v>348</v>
      </c>
      <c r="P41" s="303">
        <v>935</v>
      </c>
      <c r="Q41" s="35">
        <v>2270</v>
      </c>
      <c r="R41" s="48"/>
      <c r="S41" s="36">
        <v>191.7</v>
      </c>
      <c r="T41" s="36"/>
      <c r="U41" s="37">
        <v>20</v>
      </c>
      <c r="V41" s="38"/>
      <c r="W41" s="39">
        <f>S41*1000/39.37/Q41*38.5</f>
        <v>82.583173976920634</v>
      </c>
      <c r="X41" s="39"/>
      <c r="Y41" s="40">
        <f t="shared" ref="Y41:Z44" si="7">(AC41+W41)/2</f>
        <v>84.276586988460309</v>
      </c>
      <c r="Z41" s="40"/>
      <c r="AA41" s="41"/>
      <c r="AB41" s="42"/>
      <c r="AC41" s="43">
        <v>85.97</v>
      </c>
      <c r="AD41" s="43"/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47</v>
      </c>
      <c r="E42" s="28">
        <v>69010921</v>
      </c>
      <c r="F42" s="29">
        <v>690119</v>
      </c>
      <c r="G42" s="45">
        <v>751</v>
      </c>
      <c r="H42" s="31">
        <v>667</v>
      </c>
      <c r="I42" s="46">
        <v>120</v>
      </c>
      <c r="J42" s="32">
        <v>120</v>
      </c>
      <c r="K42" s="33">
        <f t="shared" si="6"/>
        <v>60.08</v>
      </c>
      <c r="L42" s="47">
        <f t="shared" si="6"/>
        <v>53.36</v>
      </c>
      <c r="M42" s="303">
        <v>2441</v>
      </c>
      <c r="N42" s="303">
        <v>592</v>
      </c>
      <c r="O42" s="303">
        <v>592</v>
      </c>
      <c r="P42" s="303">
        <v>1259</v>
      </c>
      <c r="Q42" s="35">
        <v>2600</v>
      </c>
      <c r="R42" s="48"/>
      <c r="S42" s="36">
        <v>216.2</v>
      </c>
      <c r="T42" s="36"/>
      <c r="U42" s="37">
        <v>25</v>
      </c>
      <c r="V42" s="38"/>
      <c r="W42" s="39">
        <f>S42*1000/39.37/Q42*38.5</f>
        <v>81.316308786463722</v>
      </c>
      <c r="X42" s="39"/>
      <c r="Y42" s="40">
        <f t="shared" si="7"/>
        <v>83.618154393231862</v>
      </c>
      <c r="Z42" s="40"/>
      <c r="AA42" s="41"/>
      <c r="AB42" s="42"/>
      <c r="AC42" s="43">
        <v>85.92</v>
      </c>
      <c r="AD42" s="43"/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47</v>
      </c>
      <c r="E43" s="28">
        <v>69010936</v>
      </c>
      <c r="F43" s="29">
        <v>690119</v>
      </c>
      <c r="G43" s="45">
        <v>752</v>
      </c>
      <c r="H43" s="31">
        <v>639</v>
      </c>
      <c r="I43" s="46">
        <v>120</v>
      </c>
      <c r="J43" s="32">
        <v>120</v>
      </c>
      <c r="K43" s="33">
        <f t="shared" si="6"/>
        <v>60.16</v>
      </c>
      <c r="L43" s="47">
        <f t="shared" si="6"/>
        <v>51.12</v>
      </c>
      <c r="M43" s="303">
        <v>1175</v>
      </c>
      <c r="N43" s="303">
        <v>32</v>
      </c>
      <c r="O43" s="303">
        <v>32</v>
      </c>
      <c r="P43" s="303">
        <v>671</v>
      </c>
      <c r="Q43" s="35"/>
      <c r="R43" s="48">
        <v>1895</v>
      </c>
      <c r="S43" s="36"/>
      <c r="T43" s="36">
        <v>161.9</v>
      </c>
      <c r="U43" s="37"/>
      <c r="V43" s="38">
        <v>15</v>
      </c>
      <c r="W43" s="39"/>
      <c r="X43" s="39">
        <f>T43*1000/39.37/R43*38.5</f>
        <v>83.547401923299887</v>
      </c>
      <c r="Y43" s="40"/>
      <c r="Z43" s="40"/>
      <c r="AA43" s="41"/>
      <c r="AB43" s="42">
        <v>84.43</v>
      </c>
      <c r="AC43" s="43"/>
      <c r="AD43" s="43">
        <v>85.31</v>
      </c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>
        <v>69010927</v>
      </c>
      <c r="F44" s="29">
        <v>690128</v>
      </c>
      <c r="G44" s="69">
        <v>552</v>
      </c>
      <c r="H44" s="31">
        <v>0</v>
      </c>
      <c r="I44" s="46">
        <v>120</v>
      </c>
      <c r="J44" s="32">
        <v>120</v>
      </c>
      <c r="K44" s="33">
        <f t="shared" si="6"/>
        <v>44.16</v>
      </c>
      <c r="L44" s="47">
        <f t="shared" si="6"/>
        <v>0</v>
      </c>
      <c r="M44" s="303">
        <v>1424</v>
      </c>
      <c r="N44" s="303">
        <v>456</v>
      </c>
      <c r="O44" s="303">
        <v>456</v>
      </c>
      <c r="P44" s="303">
        <v>456</v>
      </c>
      <c r="Q44" s="35"/>
      <c r="R44" s="48">
        <v>1520</v>
      </c>
      <c r="S44" s="36"/>
      <c r="T44" s="36">
        <v>169.8</v>
      </c>
      <c r="U44" s="37"/>
      <c r="V44" s="38">
        <v>15</v>
      </c>
      <c r="W44" s="39"/>
      <c r="X44" s="39">
        <f>T44*1000/39.37/R44*42.5</f>
        <v>120.59175434140343</v>
      </c>
      <c r="Y44" s="40"/>
      <c r="Z44" s="40">
        <f t="shared" si="7"/>
        <v>121.55587717070171</v>
      </c>
      <c r="AA44" s="41"/>
      <c r="AB44" s="42"/>
      <c r="AC44" s="43"/>
      <c r="AD44" s="43">
        <v>122.52</v>
      </c>
    </row>
    <row r="45" spans="1:38" ht="23.25" customHeight="1" x14ac:dyDescent="0.4">
      <c r="A45" s="250" t="s">
        <v>102</v>
      </c>
      <c r="B45" s="246" t="s">
        <v>97</v>
      </c>
      <c r="C45" s="253" t="s">
        <v>69</v>
      </c>
      <c r="D45" s="256" t="s">
        <v>47</v>
      </c>
      <c r="E45" s="28"/>
      <c r="F45" s="29">
        <v>690119</v>
      </c>
      <c r="G45" s="45">
        <v>0</v>
      </c>
      <c r="H45" s="31">
        <v>0</v>
      </c>
      <c r="I45" s="63">
        <v>120</v>
      </c>
      <c r="J45" s="64">
        <v>120</v>
      </c>
      <c r="K45" s="65">
        <f t="shared" si="6"/>
        <v>0</v>
      </c>
      <c r="L45" s="68">
        <f t="shared" si="6"/>
        <v>0</v>
      </c>
      <c r="M45" s="308">
        <v>716</v>
      </c>
      <c r="N45" s="308">
        <v>716</v>
      </c>
      <c r="O45" s="308">
        <v>716</v>
      </c>
      <c r="P45" s="308">
        <v>716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/>
      <c r="F46" s="29">
        <v>690128</v>
      </c>
      <c r="G46" s="45">
        <v>661</v>
      </c>
      <c r="H46" s="31">
        <v>667</v>
      </c>
      <c r="I46" s="46">
        <v>650</v>
      </c>
      <c r="J46" s="32">
        <v>650</v>
      </c>
      <c r="K46" s="33">
        <f t="shared" si="6"/>
        <v>52.88</v>
      </c>
      <c r="L46" s="47">
        <f t="shared" si="6"/>
        <v>53.36</v>
      </c>
      <c r="M46" s="312">
        <v>204</v>
      </c>
      <c r="N46" s="303">
        <v>865</v>
      </c>
      <c r="O46" s="303">
        <v>865</v>
      </c>
      <c r="P46" s="313">
        <v>32</v>
      </c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239"/>
      <c r="AD46" s="43"/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59"/>
      <c r="F47" s="29">
        <v>690128</v>
      </c>
      <c r="G47" s="45">
        <v>683</v>
      </c>
      <c r="H47" s="31">
        <v>660</v>
      </c>
      <c r="I47" s="63">
        <v>650</v>
      </c>
      <c r="J47" s="64">
        <v>650</v>
      </c>
      <c r="K47" s="65">
        <f t="shared" si="6"/>
        <v>54.64</v>
      </c>
      <c r="L47" s="68">
        <f t="shared" si="6"/>
        <v>52.8</v>
      </c>
      <c r="M47" s="312">
        <v>44</v>
      </c>
      <c r="N47" s="303">
        <v>727</v>
      </c>
      <c r="O47" s="303">
        <v>727</v>
      </c>
      <c r="P47" s="313">
        <v>1387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>
        <v>69010926</v>
      </c>
      <c r="F48" s="29">
        <v>690128</v>
      </c>
      <c r="G48" s="69">
        <v>651</v>
      </c>
      <c r="H48" s="31">
        <v>660</v>
      </c>
      <c r="I48" s="63">
        <v>650</v>
      </c>
      <c r="J48" s="64">
        <v>650</v>
      </c>
      <c r="K48" s="65">
        <f t="shared" si="6"/>
        <v>52.08</v>
      </c>
      <c r="L48" s="68">
        <f t="shared" si="6"/>
        <v>52.8</v>
      </c>
      <c r="M48" s="312">
        <v>1412</v>
      </c>
      <c r="N48" s="303">
        <v>563</v>
      </c>
      <c r="O48" s="303">
        <v>563</v>
      </c>
      <c r="P48" s="313">
        <v>1223</v>
      </c>
      <c r="Q48" s="35"/>
      <c r="R48" s="48">
        <v>1500</v>
      </c>
      <c r="S48" s="36"/>
      <c r="T48" s="36">
        <v>169.1</v>
      </c>
      <c r="U48" s="37"/>
      <c r="V48" s="38">
        <v>15</v>
      </c>
      <c r="W48" s="39"/>
      <c r="X48" s="39">
        <f>T48*1000/39.37/R48*42.5</f>
        <v>121.6958767250868</v>
      </c>
      <c r="Y48" s="40"/>
      <c r="Z48" s="40">
        <f t="shared" ref="Z48" si="8">(AD48+X48)/2</f>
        <v>121.5979383625434</v>
      </c>
      <c r="AA48" s="41"/>
      <c r="AB48" s="42"/>
      <c r="AC48" s="239"/>
      <c r="AD48" s="43">
        <v>121.5</v>
      </c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47</v>
      </c>
      <c r="E49" s="28"/>
      <c r="F49" s="29">
        <v>690119</v>
      </c>
      <c r="G49" s="73">
        <v>720</v>
      </c>
      <c r="H49" s="31">
        <v>720</v>
      </c>
      <c r="I49" s="46">
        <v>650</v>
      </c>
      <c r="J49" s="32">
        <v>650</v>
      </c>
      <c r="K49" s="33">
        <f t="shared" si="6"/>
        <v>57.6</v>
      </c>
      <c r="L49" s="47">
        <f t="shared" si="6"/>
        <v>57.6</v>
      </c>
      <c r="M49" s="312">
        <v>753</v>
      </c>
      <c r="N49" s="303">
        <v>1473</v>
      </c>
      <c r="O49" s="303">
        <v>1473</v>
      </c>
      <c r="P49" s="313">
        <v>2193</v>
      </c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customHeight="1" x14ac:dyDescent="0.4">
      <c r="A50" s="251" t="s">
        <v>108</v>
      </c>
      <c r="B50" s="246" t="s">
        <v>90</v>
      </c>
      <c r="C50" s="253" t="s">
        <v>89</v>
      </c>
      <c r="D50" s="256" t="s">
        <v>47</v>
      </c>
      <c r="E50" s="28">
        <v>69010935</v>
      </c>
      <c r="F50" s="29">
        <v>690119</v>
      </c>
      <c r="G50" s="74">
        <v>897</v>
      </c>
      <c r="H50" s="31">
        <v>853</v>
      </c>
      <c r="I50" s="46">
        <v>650</v>
      </c>
      <c r="J50" s="32">
        <v>650</v>
      </c>
      <c r="K50" s="33">
        <f t="shared" si="6"/>
        <v>71.760000000000005</v>
      </c>
      <c r="L50" s="47">
        <f t="shared" si="6"/>
        <v>68.239999999999995</v>
      </c>
      <c r="M50" s="314">
        <v>1276</v>
      </c>
      <c r="N50" s="303">
        <v>139</v>
      </c>
      <c r="O50" s="303">
        <v>139</v>
      </c>
      <c r="P50" s="315">
        <v>992</v>
      </c>
      <c r="Q50" s="35"/>
      <c r="R50" s="48">
        <v>2034</v>
      </c>
      <c r="S50" s="36"/>
      <c r="T50" s="36">
        <v>167.2</v>
      </c>
      <c r="U50" s="37"/>
      <c r="V50" s="38">
        <v>20</v>
      </c>
      <c r="W50" s="39"/>
      <c r="X50" s="39">
        <f>T50*1000/39.37/R50*38.5</f>
        <v>80.386040811412997</v>
      </c>
      <c r="Y50" s="40"/>
      <c r="Z50" s="40">
        <v>80.849999999999994</v>
      </c>
      <c r="AA50" s="41"/>
      <c r="AB50" s="42"/>
      <c r="AC50" s="43"/>
      <c r="AD50" s="43">
        <v>81.31</v>
      </c>
    </row>
    <row r="51" spans="1:35" ht="24" customHeight="1" x14ac:dyDescent="0.4">
      <c r="A51" s="251" t="s">
        <v>109</v>
      </c>
      <c r="B51" s="246" t="s">
        <v>46</v>
      </c>
      <c r="C51" s="253" t="s">
        <v>89</v>
      </c>
      <c r="D51" s="256" t="s">
        <v>52</v>
      </c>
      <c r="E51" s="259"/>
      <c r="F51" s="29">
        <v>690113</v>
      </c>
      <c r="G51" s="45">
        <v>465</v>
      </c>
      <c r="H51" s="31">
        <v>475</v>
      </c>
      <c r="I51" s="46">
        <v>650</v>
      </c>
      <c r="J51" s="32">
        <v>650</v>
      </c>
      <c r="K51" s="33">
        <f t="shared" si="6"/>
        <v>37.200000000000003</v>
      </c>
      <c r="L51" s="47">
        <f t="shared" si="6"/>
        <v>38</v>
      </c>
      <c r="M51" s="309">
        <v>716</v>
      </c>
      <c r="N51" s="309">
        <v>1181</v>
      </c>
      <c r="O51" s="309">
        <v>1181</v>
      </c>
      <c r="P51" s="309">
        <v>1656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" customHeight="1" x14ac:dyDescent="0.4">
      <c r="A52" s="251" t="s">
        <v>110</v>
      </c>
      <c r="B52" s="246" t="s">
        <v>46</v>
      </c>
      <c r="C52" s="253" t="s">
        <v>45</v>
      </c>
      <c r="D52" s="256" t="s">
        <v>47</v>
      </c>
      <c r="E52" s="28">
        <v>69010933</v>
      </c>
      <c r="F52" s="29">
        <v>690119</v>
      </c>
      <c r="G52" s="45">
        <v>735</v>
      </c>
      <c r="H52" s="31">
        <v>880</v>
      </c>
      <c r="I52" s="46">
        <v>125</v>
      </c>
      <c r="J52" s="32">
        <v>125</v>
      </c>
      <c r="K52" s="33">
        <f t="shared" si="6"/>
        <v>58.8</v>
      </c>
      <c r="L52" s="47">
        <f t="shared" si="6"/>
        <v>70.400000000000006</v>
      </c>
      <c r="M52" s="312">
        <v>1565</v>
      </c>
      <c r="N52" s="303">
        <v>0</v>
      </c>
      <c r="O52" s="303">
        <v>0</v>
      </c>
      <c r="P52" s="313">
        <v>880</v>
      </c>
      <c r="Q52" s="35"/>
      <c r="R52" s="48">
        <v>2300</v>
      </c>
      <c r="S52" s="36"/>
      <c r="T52" s="36">
        <v>190.4</v>
      </c>
      <c r="U52" s="37"/>
      <c r="V52" s="38">
        <v>25</v>
      </c>
      <c r="W52" s="39"/>
      <c r="X52" s="39">
        <f>T52*1000/39.37/R52*38.5</f>
        <v>80.953274950028174</v>
      </c>
      <c r="Y52" s="40"/>
      <c r="Z52" s="40">
        <v>81.28</v>
      </c>
      <c r="AA52" s="41"/>
      <c r="AB52" s="42"/>
      <c r="AC52" s="43"/>
      <c r="AD52" s="43">
        <v>81.61</v>
      </c>
    </row>
    <row r="53" spans="1:35" ht="24" customHeight="1" x14ac:dyDescent="0.4">
      <c r="A53" s="251" t="s">
        <v>111</v>
      </c>
      <c r="B53" s="246" t="s">
        <v>46</v>
      </c>
      <c r="C53" s="253" t="s">
        <v>45</v>
      </c>
      <c r="D53" s="256" t="s">
        <v>52</v>
      </c>
      <c r="E53" s="28"/>
      <c r="F53" s="29">
        <v>690113</v>
      </c>
      <c r="G53" s="69">
        <v>680</v>
      </c>
      <c r="H53" s="31">
        <v>640</v>
      </c>
      <c r="I53" s="46">
        <v>125</v>
      </c>
      <c r="J53" s="32">
        <v>125</v>
      </c>
      <c r="K53" s="33">
        <f t="shared" si="6"/>
        <v>54.4</v>
      </c>
      <c r="L53" s="47">
        <f t="shared" si="6"/>
        <v>51.2</v>
      </c>
      <c r="M53" s="312">
        <v>1180</v>
      </c>
      <c r="N53" s="303">
        <v>1860</v>
      </c>
      <c r="O53" s="303">
        <v>1860</v>
      </c>
      <c r="P53" s="313">
        <v>0</v>
      </c>
      <c r="Q53" s="35"/>
      <c r="R53" s="48"/>
      <c r="S53" s="36"/>
      <c r="T53" s="36"/>
      <c r="U53" s="37"/>
      <c r="V53" s="38"/>
      <c r="W53" s="39"/>
      <c r="X53" s="39"/>
      <c r="Y53" s="40"/>
      <c r="Z53" s="40"/>
      <c r="AA53" s="41"/>
      <c r="AB53" s="42"/>
      <c r="AC53" s="43"/>
      <c r="AD53" s="43"/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47</v>
      </c>
      <c r="E54" s="28">
        <v>69010906</v>
      </c>
      <c r="F54" s="29">
        <v>690106</v>
      </c>
      <c r="G54" s="69">
        <v>600</v>
      </c>
      <c r="H54" s="31">
        <v>820</v>
      </c>
      <c r="I54" s="63">
        <v>125</v>
      </c>
      <c r="J54" s="64">
        <v>125</v>
      </c>
      <c r="K54" s="65">
        <f t="shared" si="6"/>
        <v>48</v>
      </c>
      <c r="L54" s="68">
        <f t="shared" si="6"/>
        <v>65.599999999999994</v>
      </c>
      <c r="M54" s="303">
        <v>0</v>
      </c>
      <c r="N54" s="303">
        <v>600</v>
      </c>
      <c r="O54" s="303">
        <v>600</v>
      </c>
      <c r="P54" s="303">
        <v>1420</v>
      </c>
      <c r="Q54" s="35">
        <v>2540</v>
      </c>
      <c r="R54" s="48"/>
      <c r="S54" s="36">
        <v>211.1</v>
      </c>
      <c r="T54" s="36"/>
      <c r="U54" s="37">
        <v>25</v>
      </c>
      <c r="V54" s="38"/>
      <c r="W54" s="39">
        <f>S54*1000/39.37/Q54*38.5</f>
        <v>81.273662547325102</v>
      </c>
      <c r="X54" s="39"/>
      <c r="Y54" s="40">
        <f t="shared" ref="Y54:Y55" si="9">(AC54+W54)/2</f>
        <v>81.991831273662541</v>
      </c>
      <c r="Z54" s="40"/>
      <c r="AA54" s="41"/>
      <c r="AB54" s="42"/>
      <c r="AC54" s="43">
        <v>82.71</v>
      </c>
      <c r="AD54" s="43"/>
    </row>
    <row r="55" spans="1:35" ht="24" customHeight="1" x14ac:dyDescent="0.4">
      <c r="A55" s="251" t="s">
        <v>113</v>
      </c>
      <c r="B55" s="246" t="s">
        <v>46</v>
      </c>
      <c r="C55" s="253" t="s">
        <v>45</v>
      </c>
      <c r="D55" s="256" t="s">
        <v>47</v>
      </c>
      <c r="E55" s="28">
        <v>69010919</v>
      </c>
      <c r="F55" s="29">
        <v>690106</v>
      </c>
      <c r="G55" s="45">
        <v>585</v>
      </c>
      <c r="H55" s="31">
        <v>855</v>
      </c>
      <c r="I55" s="46">
        <v>125</v>
      </c>
      <c r="J55" s="32">
        <v>125</v>
      </c>
      <c r="K55" s="33">
        <f t="shared" si="6"/>
        <v>46.8</v>
      </c>
      <c r="L55" s="47">
        <f t="shared" si="6"/>
        <v>68.400000000000006</v>
      </c>
      <c r="M55" s="303">
        <v>2060</v>
      </c>
      <c r="N55" s="303">
        <v>270</v>
      </c>
      <c r="O55" s="303">
        <v>270</v>
      </c>
      <c r="P55" s="303">
        <v>1125</v>
      </c>
      <c r="Q55" s="35">
        <v>2375</v>
      </c>
      <c r="R55" s="48"/>
      <c r="S55" s="36">
        <v>195.9</v>
      </c>
      <c r="T55" s="36"/>
      <c r="U55" s="37">
        <v>25</v>
      </c>
      <c r="V55" s="38"/>
      <c r="W55" s="39">
        <f>S55*1000/39.37/Q55*38.5</f>
        <v>80.661470796625821</v>
      </c>
      <c r="X55" s="39"/>
      <c r="Y55" s="40">
        <f t="shared" si="9"/>
        <v>80.605735398312902</v>
      </c>
      <c r="Z55" s="40"/>
      <c r="AA55" s="41"/>
      <c r="AB55" s="42"/>
      <c r="AC55" s="43">
        <v>80.55</v>
      </c>
      <c r="AD55" s="43"/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/>
      <c r="F56" s="29">
        <v>690106</v>
      </c>
      <c r="G56" s="45">
        <v>700</v>
      </c>
      <c r="H56" s="31">
        <v>691</v>
      </c>
      <c r="I56" s="63">
        <v>115</v>
      </c>
      <c r="J56" s="64">
        <v>115</v>
      </c>
      <c r="K56" s="65">
        <v>0</v>
      </c>
      <c r="L56" s="68">
        <v>0</v>
      </c>
      <c r="M56" s="303">
        <v>240</v>
      </c>
      <c r="N56" s="303">
        <v>940</v>
      </c>
      <c r="O56" s="303">
        <v>940</v>
      </c>
      <c r="P56" s="303">
        <v>1631</v>
      </c>
      <c r="Q56" s="35"/>
      <c r="R56" s="48"/>
      <c r="S56" s="36"/>
      <c r="T56" s="36"/>
      <c r="U56" s="37"/>
      <c r="V56" s="38"/>
      <c r="W56" s="39"/>
      <c r="X56" s="39"/>
      <c r="Y56" s="40"/>
      <c r="Z56" s="40"/>
      <c r="AA56" s="41"/>
      <c r="AB56" s="41"/>
      <c r="AC56" s="43"/>
      <c r="AD56" s="43"/>
    </row>
    <row r="57" spans="1:35" ht="24" customHeight="1" x14ac:dyDescent="0.5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751</v>
      </c>
      <c r="H57" s="31">
        <v>649</v>
      </c>
      <c r="I57" s="46">
        <v>115</v>
      </c>
      <c r="J57" s="32">
        <v>115</v>
      </c>
      <c r="K57" s="33">
        <f t="shared" ref="K57:L82" si="10">G57*8/100</f>
        <v>60.08</v>
      </c>
      <c r="L57" s="47">
        <f t="shared" si="10"/>
        <v>51.92</v>
      </c>
      <c r="M57" s="308">
        <v>694</v>
      </c>
      <c r="N57" s="308">
        <v>1445</v>
      </c>
      <c r="O57" s="308">
        <v>1445</v>
      </c>
      <c r="P57" s="308">
        <v>594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>
        <v>69010901</v>
      </c>
      <c r="F58" s="29">
        <v>690107</v>
      </c>
      <c r="G58" s="45">
        <v>626</v>
      </c>
      <c r="H58" s="31">
        <v>930</v>
      </c>
      <c r="I58" s="46">
        <v>135</v>
      </c>
      <c r="J58" s="32">
        <v>135</v>
      </c>
      <c r="K58" s="33">
        <f t="shared" si="10"/>
        <v>50.08</v>
      </c>
      <c r="L58" s="47">
        <f t="shared" si="10"/>
        <v>74.400000000000006</v>
      </c>
      <c r="M58" s="312">
        <v>1014</v>
      </c>
      <c r="N58" s="303">
        <v>630</v>
      </c>
      <c r="O58" s="303">
        <v>630</v>
      </c>
      <c r="P58" s="313">
        <v>1560</v>
      </c>
      <c r="Q58" s="35">
        <v>1010</v>
      </c>
      <c r="R58" s="48"/>
      <c r="S58" s="36">
        <v>69.7</v>
      </c>
      <c r="T58" s="36"/>
      <c r="U58" s="37">
        <v>10</v>
      </c>
      <c r="V58" s="38"/>
      <c r="W58" s="39">
        <f>S58*1000/39.37/Q58*38.5</f>
        <v>67.484917148052119</v>
      </c>
      <c r="X58" s="39"/>
      <c r="Y58" s="40">
        <f t="shared" ref="Y58" si="11">(AC58+W58)/2</f>
        <v>67.458458574026054</v>
      </c>
      <c r="Z58" s="40"/>
      <c r="AA58" s="41"/>
      <c r="AB58" s="41"/>
      <c r="AC58" s="43">
        <v>67.432000000000002</v>
      </c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/>
      <c r="F59" s="29">
        <v>690106</v>
      </c>
      <c r="G59" s="45">
        <v>769</v>
      </c>
      <c r="H59" s="31">
        <v>827</v>
      </c>
      <c r="I59" s="46">
        <v>135</v>
      </c>
      <c r="J59" s="32">
        <v>135</v>
      </c>
      <c r="K59" s="33">
        <f t="shared" si="10"/>
        <v>61.52</v>
      </c>
      <c r="L59" s="47">
        <f t="shared" si="10"/>
        <v>66.16</v>
      </c>
      <c r="M59" s="312">
        <v>721</v>
      </c>
      <c r="N59" s="303">
        <v>1490</v>
      </c>
      <c r="O59" s="303">
        <v>1490</v>
      </c>
      <c r="P59" s="313">
        <v>2317</v>
      </c>
      <c r="Q59" s="35"/>
      <c r="R59" s="48"/>
      <c r="S59" s="36"/>
      <c r="T59" s="36"/>
      <c r="U59" s="37"/>
      <c r="V59" s="38"/>
      <c r="W59" s="39"/>
      <c r="X59" s="39"/>
      <c r="Y59" s="40"/>
      <c r="Z59" s="40"/>
      <c r="AA59" s="41"/>
      <c r="AB59" s="42"/>
      <c r="AC59" s="43"/>
      <c r="AD59" s="43"/>
      <c r="AI59" s="75"/>
    </row>
    <row r="60" spans="1:35" ht="26.25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59"/>
      <c r="F60" s="29">
        <v>690106</v>
      </c>
      <c r="G60" s="45">
        <v>682</v>
      </c>
      <c r="H60" s="31">
        <v>880</v>
      </c>
      <c r="I60" s="46">
        <v>135</v>
      </c>
      <c r="J60" s="64">
        <v>135</v>
      </c>
      <c r="K60" s="65">
        <f t="shared" si="10"/>
        <v>54.56</v>
      </c>
      <c r="L60" s="68">
        <f t="shared" si="10"/>
        <v>70.400000000000006</v>
      </c>
      <c r="M60" s="312">
        <v>731</v>
      </c>
      <c r="N60" s="303">
        <v>1413</v>
      </c>
      <c r="O60" s="303">
        <v>1413</v>
      </c>
      <c r="P60" s="313">
        <v>2293</v>
      </c>
      <c r="Q60" s="35"/>
      <c r="R60" s="48"/>
      <c r="S60" s="36"/>
      <c r="T60" s="36"/>
      <c r="U60" s="37"/>
      <c r="V60" s="38"/>
      <c r="W60" s="39"/>
      <c r="X60" s="39"/>
      <c r="Y60" s="40"/>
      <c r="Z60" s="40"/>
      <c r="AA60" s="41"/>
      <c r="AB60" s="42"/>
      <c r="AC60" s="43"/>
      <c r="AD60" s="43"/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47</v>
      </c>
      <c r="E61" s="28"/>
      <c r="F61" s="29">
        <v>690106</v>
      </c>
      <c r="G61" s="45">
        <v>664</v>
      </c>
      <c r="H61" s="31">
        <v>846</v>
      </c>
      <c r="I61" s="46">
        <v>135</v>
      </c>
      <c r="J61" s="64">
        <v>135</v>
      </c>
      <c r="K61" s="65">
        <f t="shared" si="10"/>
        <v>53.12</v>
      </c>
      <c r="L61" s="68">
        <f t="shared" si="10"/>
        <v>67.680000000000007</v>
      </c>
      <c r="M61" s="312">
        <v>742</v>
      </c>
      <c r="N61" s="303">
        <v>1406</v>
      </c>
      <c r="O61" s="303">
        <v>1406</v>
      </c>
      <c r="P61" s="313">
        <v>2252</v>
      </c>
      <c r="Q61" s="35"/>
      <c r="R61" s="48"/>
      <c r="S61" s="36"/>
      <c r="T61" s="36"/>
      <c r="U61" s="37"/>
      <c r="V61" s="38"/>
      <c r="W61" s="39"/>
      <c r="X61" s="39"/>
      <c r="Y61" s="40"/>
      <c r="Z61" s="40"/>
      <c r="AA61" s="41"/>
      <c r="AB61" s="42"/>
      <c r="AC61" s="43"/>
      <c r="AD61" s="43"/>
    </row>
    <row r="62" spans="1:35" ht="24" customHeight="1" x14ac:dyDescent="0.4">
      <c r="A62" s="251" t="s">
        <v>125</v>
      </c>
      <c r="B62" s="246" t="s">
        <v>121</v>
      </c>
      <c r="C62" s="253" t="s">
        <v>120</v>
      </c>
      <c r="D62" s="256" t="s">
        <v>47</v>
      </c>
      <c r="E62" s="28"/>
      <c r="F62" s="29">
        <v>690108</v>
      </c>
      <c r="G62" s="45">
        <v>0</v>
      </c>
      <c r="H62" s="31">
        <v>214</v>
      </c>
      <c r="I62" s="46">
        <v>135</v>
      </c>
      <c r="J62" s="32">
        <v>135</v>
      </c>
      <c r="K62" s="33">
        <f t="shared" si="10"/>
        <v>0</v>
      </c>
      <c r="L62" s="47">
        <f t="shared" si="10"/>
        <v>17.12</v>
      </c>
      <c r="M62" s="308">
        <v>590</v>
      </c>
      <c r="N62" s="308">
        <v>590</v>
      </c>
      <c r="O62" s="308">
        <v>590</v>
      </c>
      <c r="P62" s="308">
        <v>804</v>
      </c>
      <c r="Q62" s="35"/>
      <c r="R62" s="48"/>
      <c r="S62" s="36"/>
      <c r="T62" s="36"/>
      <c r="U62" s="37"/>
      <c r="V62" s="38"/>
      <c r="W62" s="39"/>
      <c r="X62" s="39"/>
      <c r="Y62" s="40"/>
      <c r="Z62" s="40"/>
      <c r="AA62" s="41"/>
      <c r="AB62" s="42"/>
      <c r="AC62" s="43"/>
      <c r="AD62" s="43"/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47</v>
      </c>
      <c r="E63" s="28">
        <v>69010907</v>
      </c>
      <c r="F63" s="29">
        <v>690106</v>
      </c>
      <c r="G63" s="45">
        <v>765</v>
      </c>
      <c r="H63" s="31">
        <v>700</v>
      </c>
      <c r="I63" s="46">
        <v>135</v>
      </c>
      <c r="J63" s="64">
        <v>135</v>
      </c>
      <c r="K63" s="65">
        <f t="shared" si="10"/>
        <v>61.2</v>
      </c>
      <c r="L63" s="68">
        <f t="shared" si="10"/>
        <v>56</v>
      </c>
      <c r="M63" s="312">
        <v>0</v>
      </c>
      <c r="N63" s="303">
        <v>765</v>
      </c>
      <c r="O63" s="303">
        <v>765</v>
      </c>
      <c r="P63" s="313">
        <v>1465</v>
      </c>
      <c r="Q63" s="35">
        <v>2530</v>
      </c>
      <c r="R63" s="48"/>
      <c r="S63" s="36">
        <v>215.3</v>
      </c>
      <c r="T63" s="36"/>
      <c r="U63" s="37">
        <v>25</v>
      </c>
      <c r="V63" s="38"/>
      <c r="W63" s="39">
        <f>S63*1000/39.37/Q63*38.5</f>
        <v>83.218296871376353</v>
      </c>
      <c r="X63" s="39"/>
      <c r="Y63" s="40">
        <f t="shared" ref="Y63" si="12">(AC63+W63)/2</f>
        <v>84.25414843568818</v>
      </c>
      <c r="Z63" s="40"/>
      <c r="AA63" s="41"/>
      <c r="AB63" s="42"/>
      <c r="AC63" s="43">
        <v>85.29</v>
      </c>
      <c r="AD63" s="43"/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/>
      <c r="F64" s="29">
        <v>690106</v>
      </c>
      <c r="G64" s="45">
        <v>965</v>
      </c>
      <c r="H64" s="31">
        <v>885</v>
      </c>
      <c r="I64" s="46">
        <v>135</v>
      </c>
      <c r="J64" s="64">
        <v>135</v>
      </c>
      <c r="K64" s="65">
        <f t="shared" si="10"/>
        <v>77.2</v>
      </c>
      <c r="L64" s="76">
        <f t="shared" si="10"/>
        <v>70.8</v>
      </c>
      <c r="M64" s="312">
        <v>1300</v>
      </c>
      <c r="N64" s="303">
        <v>2265</v>
      </c>
      <c r="O64" s="303">
        <v>2265</v>
      </c>
      <c r="P64" s="313">
        <v>380</v>
      </c>
      <c r="Q64" s="35"/>
      <c r="R64" s="48"/>
      <c r="S64" s="36"/>
      <c r="T64" s="36"/>
      <c r="U64" s="37"/>
      <c r="V64" s="38"/>
      <c r="W64" s="39"/>
      <c r="X64" s="39"/>
      <c r="Y64" s="40"/>
      <c r="Z64" s="40"/>
      <c r="AA64" s="41"/>
      <c r="AB64" s="42"/>
      <c r="AC64" s="43"/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>
        <v>69010908</v>
      </c>
      <c r="F65" s="29">
        <v>690106</v>
      </c>
      <c r="G65" s="69">
        <v>940</v>
      </c>
      <c r="H65" s="31">
        <v>830</v>
      </c>
      <c r="I65" s="46">
        <v>135</v>
      </c>
      <c r="J65" s="32">
        <v>135</v>
      </c>
      <c r="K65" s="33">
        <f t="shared" si="10"/>
        <v>75.2</v>
      </c>
      <c r="L65" s="47">
        <f t="shared" si="10"/>
        <v>66.400000000000006</v>
      </c>
      <c r="M65" s="303">
        <v>560</v>
      </c>
      <c r="N65" s="303">
        <v>1500</v>
      </c>
      <c r="O65" s="303">
        <v>1500</v>
      </c>
      <c r="P65" s="303">
        <v>2330</v>
      </c>
      <c r="Q65" s="35">
        <v>1560</v>
      </c>
      <c r="R65" s="48"/>
      <c r="S65" s="36">
        <v>124.4</v>
      </c>
      <c r="T65" s="36"/>
      <c r="U65" s="37">
        <v>15</v>
      </c>
      <c r="V65" s="38"/>
      <c r="W65" s="39">
        <f>S65*1000/39.37/Q65*31.5</f>
        <v>63.802973759793673</v>
      </c>
      <c r="X65" s="39"/>
      <c r="Y65" s="40">
        <f t="shared" ref="Y65" si="13">(AC65+W65)/2</f>
        <v>65.031486879896846</v>
      </c>
      <c r="Z65" s="40"/>
      <c r="AA65" s="41"/>
      <c r="AB65" s="42"/>
      <c r="AC65" s="43">
        <v>66.260000000000005</v>
      </c>
      <c r="AD65" s="43"/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850</v>
      </c>
      <c r="H66" s="31">
        <v>810</v>
      </c>
      <c r="I66" s="46">
        <v>135</v>
      </c>
      <c r="J66" s="32">
        <v>135</v>
      </c>
      <c r="K66" s="33">
        <f t="shared" si="10"/>
        <v>68</v>
      </c>
      <c r="L66" s="47">
        <f t="shared" si="10"/>
        <v>64.8</v>
      </c>
      <c r="M66" s="303">
        <v>200</v>
      </c>
      <c r="N66" s="303">
        <v>1050</v>
      </c>
      <c r="O66" s="303">
        <v>1050</v>
      </c>
      <c r="P66" s="303">
        <v>400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>
        <v>69010905</v>
      </c>
      <c r="F67" s="29">
        <v>690128</v>
      </c>
      <c r="G67" s="45">
        <v>700</v>
      </c>
      <c r="H67" s="31">
        <v>670</v>
      </c>
      <c r="I67" s="46">
        <v>135</v>
      </c>
      <c r="J67" s="32">
        <v>135</v>
      </c>
      <c r="K67" s="33">
        <f t="shared" si="10"/>
        <v>56</v>
      </c>
      <c r="L67" s="47">
        <f t="shared" si="10"/>
        <v>53.6</v>
      </c>
      <c r="M67" s="303">
        <v>0</v>
      </c>
      <c r="N67" s="303">
        <v>700</v>
      </c>
      <c r="O67" s="303">
        <v>700</v>
      </c>
      <c r="P67" s="303">
        <v>1370</v>
      </c>
      <c r="Q67" s="35">
        <v>1600</v>
      </c>
      <c r="R67" s="48"/>
      <c r="S67" s="36">
        <v>179.9</v>
      </c>
      <c r="T67" s="36"/>
      <c r="U67" s="37">
        <v>15</v>
      </c>
      <c r="V67" s="38"/>
      <c r="W67" s="39">
        <f>S67*1000/39.37/Q67*42.5</f>
        <v>121.376524003048</v>
      </c>
      <c r="X67" s="39"/>
      <c r="Y67" s="40">
        <f t="shared" ref="Y67" si="14">(AC67+W67)/2</f>
        <v>122.953262001524</v>
      </c>
      <c r="Z67" s="40"/>
      <c r="AA67" s="41"/>
      <c r="AB67" s="235"/>
      <c r="AC67" s="239">
        <v>124.53</v>
      </c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47</v>
      </c>
      <c r="E68" s="28">
        <v>69010934</v>
      </c>
      <c r="F68" s="29">
        <v>690119</v>
      </c>
      <c r="G68" s="69">
        <v>477</v>
      </c>
      <c r="H68" s="31">
        <v>0</v>
      </c>
      <c r="I68" s="46">
        <v>130</v>
      </c>
      <c r="J68" s="32">
        <v>130</v>
      </c>
      <c r="K68" s="33">
        <f t="shared" si="10"/>
        <v>38.159999999999997</v>
      </c>
      <c r="L68" s="47">
        <f t="shared" si="10"/>
        <v>0</v>
      </c>
      <c r="M68" s="303">
        <v>1799</v>
      </c>
      <c r="N68" s="303">
        <v>2276</v>
      </c>
      <c r="O68" s="303">
        <v>2276</v>
      </c>
      <c r="P68" s="303">
        <v>0</v>
      </c>
      <c r="Q68" s="35"/>
      <c r="R68" s="48">
        <v>2276</v>
      </c>
      <c r="S68" s="36"/>
      <c r="T68" s="36">
        <v>186.6</v>
      </c>
      <c r="U68" s="37"/>
      <c r="V68" s="38">
        <v>20</v>
      </c>
      <c r="W68" s="39"/>
      <c r="X68" s="39">
        <f>T68*1000/39.37/R68*38.5</f>
        <v>80.174211315030718</v>
      </c>
      <c r="Y68" s="40"/>
      <c r="Z68" s="40">
        <v>81.09</v>
      </c>
      <c r="AA68" s="41"/>
      <c r="AB68" s="42"/>
      <c r="AC68" s="43"/>
      <c r="AD68" s="43">
        <v>82</v>
      </c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47</v>
      </c>
      <c r="E69" s="28"/>
      <c r="F69" s="29">
        <v>690119</v>
      </c>
      <c r="G69" s="69">
        <v>410</v>
      </c>
      <c r="H69" s="31">
        <v>289</v>
      </c>
      <c r="I69" s="46">
        <v>780</v>
      </c>
      <c r="J69" s="32">
        <v>780</v>
      </c>
      <c r="K69" s="33">
        <f t="shared" si="10"/>
        <v>32.799999999999997</v>
      </c>
      <c r="L69" s="47">
        <f t="shared" si="10"/>
        <v>23.12</v>
      </c>
      <c r="M69" s="303">
        <v>972</v>
      </c>
      <c r="N69" s="303">
        <v>1382</v>
      </c>
      <c r="O69" s="303">
        <v>1382</v>
      </c>
      <c r="P69" s="303">
        <v>1671</v>
      </c>
      <c r="Q69" s="35"/>
      <c r="R69" s="48"/>
      <c r="S69" s="36"/>
      <c r="T69" s="36"/>
      <c r="U69" s="37"/>
      <c r="V69" s="38"/>
      <c r="W69" s="39"/>
      <c r="X69" s="39"/>
      <c r="Y69" s="40"/>
      <c r="Z69" s="40"/>
      <c r="AA69" s="41"/>
      <c r="AB69" s="42"/>
      <c r="AC69" s="43"/>
      <c r="AD69" s="43"/>
    </row>
    <row r="70" spans="1:30" ht="24" customHeight="1" x14ac:dyDescent="0.4">
      <c r="A70" s="249" t="s">
        <v>134</v>
      </c>
      <c r="B70" s="246" t="s">
        <v>64</v>
      </c>
      <c r="C70" s="253"/>
      <c r="D70" s="256" t="s">
        <v>47</v>
      </c>
      <c r="E70" s="28"/>
      <c r="F70" s="29">
        <v>690119</v>
      </c>
      <c r="G70" s="45">
        <v>434</v>
      </c>
      <c r="H70" s="31">
        <v>0</v>
      </c>
      <c r="I70" s="46">
        <v>780</v>
      </c>
      <c r="J70" s="32">
        <v>780</v>
      </c>
      <c r="K70" s="33">
        <f t="shared" si="10"/>
        <v>34.72</v>
      </c>
      <c r="L70" s="47">
        <f t="shared" si="10"/>
        <v>0</v>
      </c>
      <c r="M70" s="308">
        <v>565</v>
      </c>
      <c r="N70" s="308">
        <v>999</v>
      </c>
      <c r="O70" s="308">
        <v>999</v>
      </c>
      <c r="P70" s="308">
        <v>999</v>
      </c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47</v>
      </c>
      <c r="E71" s="28"/>
      <c r="F71" s="29">
        <v>690106</v>
      </c>
      <c r="G71" s="45">
        <v>422</v>
      </c>
      <c r="H71" s="31">
        <v>479</v>
      </c>
      <c r="I71" s="46">
        <v>780</v>
      </c>
      <c r="J71" s="32">
        <v>780</v>
      </c>
      <c r="K71" s="33">
        <f t="shared" si="10"/>
        <v>33.76</v>
      </c>
      <c r="L71" s="47">
        <f t="shared" si="10"/>
        <v>38.32</v>
      </c>
      <c r="M71" s="312">
        <v>808</v>
      </c>
      <c r="N71" s="303">
        <v>1230</v>
      </c>
      <c r="O71" s="303">
        <v>1230</v>
      </c>
      <c r="P71" s="303">
        <v>1709</v>
      </c>
      <c r="Q71" s="35"/>
      <c r="R71" s="48"/>
      <c r="S71" s="36"/>
      <c r="T71" s="36"/>
      <c r="U71" s="37"/>
      <c r="V71" s="38"/>
      <c r="W71" s="39"/>
      <c r="X71" s="39"/>
      <c r="Y71" s="40"/>
      <c r="Z71" s="40"/>
      <c r="AA71" s="41"/>
      <c r="AB71" s="42"/>
      <c r="AC71" s="43"/>
      <c r="AD71" s="43"/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57</v>
      </c>
      <c r="E72" s="28">
        <v>69010913</v>
      </c>
      <c r="F72" s="29">
        <v>690104</v>
      </c>
      <c r="G72" s="77">
        <v>648</v>
      </c>
      <c r="H72" s="31">
        <v>645</v>
      </c>
      <c r="I72" s="63">
        <v>780</v>
      </c>
      <c r="J72" s="64">
        <v>780</v>
      </c>
      <c r="K72" s="65">
        <f t="shared" si="10"/>
        <v>51.84</v>
      </c>
      <c r="L72" s="47">
        <f t="shared" si="10"/>
        <v>51.6</v>
      </c>
      <c r="M72" s="312">
        <v>558</v>
      </c>
      <c r="N72" s="303">
        <v>1206</v>
      </c>
      <c r="O72" s="303">
        <v>1206</v>
      </c>
      <c r="P72" s="303">
        <v>1851</v>
      </c>
      <c r="Q72" s="35">
        <v>1280</v>
      </c>
      <c r="R72" s="48"/>
      <c r="S72" s="36">
        <v>101.5</v>
      </c>
      <c r="T72" s="36"/>
      <c r="U72" s="37">
        <v>10</v>
      </c>
      <c r="V72" s="38"/>
      <c r="W72" s="39">
        <f>S72*1000/39.37/Q72*31.5</f>
        <v>63.445556578613157</v>
      </c>
      <c r="X72" s="39"/>
      <c r="Y72" s="40">
        <f t="shared" ref="Y72:Z74" si="15">(AC72+W72)/2</f>
        <v>64.177778289306573</v>
      </c>
      <c r="Z72" s="40"/>
      <c r="AA72" s="41"/>
      <c r="AB72" s="42"/>
      <c r="AC72" s="43">
        <v>64.91</v>
      </c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43</v>
      </c>
      <c r="E73" s="28"/>
      <c r="F73" s="29">
        <v>690107</v>
      </c>
      <c r="G73" s="78">
        <v>466</v>
      </c>
      <c r="H73" s="31">
        <v>479</v>
      </c>
      <c r="I73" s="63">
        <v>780</v>
      </c>
      <c r="J73" s="64">
        <v>780</v>
      </c>
      <c r="K73" s="65">
        <f t="shared" si="10"/>
        <v>37.28</v>
      </c>
      <c r="L73" s="47">
        <f t="shared" si="10"/>
        <v>38.32</v>
      </c>
      <c r="M73" s="312">
        <v>555</v>
      </c>
      <c r="N73" s="303">
        <v>1021</v>
      </c>
      <c r="O73" s="303">
        <v>1021</v>
      </c>
      <c r="P73" s="303">
        <v>1500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43</v>
      </c>
      <c r="E74" s="28">
        <v>69010924</v>
      </c>
      <c r="F74" s="29">
        <v>690107</v>
      </c>
      <c r="G74" s="79">
        <v>410</v>
      </c>
      <c r="H74" s="31">
        <v>493</v>
      </c>
      <c r="I74" s="63">
        <v>780</v>
      </c>
      <c r="J74" s="64">
        <v>780</v>
      </c>
      <c r="K74" s="65">
        <f t="shared" si="10"/>
        <v>32.799999999999997</v>
      </c>
      <c r="L74" s="68">
        <f t="shared" si="10"/>
        <v>39.44</v>
      </c>
      <c r="M74" s="312">
        <v>2142</v>
      </c>
      <c r="N74" s="303">
        <v>187</v>
      </c>
      <c r="O74" s="303">
        <v>187</v>
      </c>
      <c r="P74" s="303">
        <v>680</v>
      </c>
      <c r="Q74" s="35"/>
      <c r="R74" s="48">
        <v>2365</v>
      </c>
      <c r="S74" s="36"/>
      <c r="T74" s="36">
        <v>191.9</v>
      </c>
      <c r="U74" s="37"/>
      <c r="V74" s="38">
        <v>25</v>
      </c>
      <c r="W74" s="39"/>
      <c r="X74" s="39">
        <f>T74*1000/39.37/R74*38.5</f>
        <v>79.348577301805776</v>
      </c>
      <c r="Y74" s="40"/>
      <c r="Z74" s="40">
        <f t="shared" si="15"/>
        <v>79.904288650902885</v>
      </c>
      <c r="AA74" s="41"/>
      <c r="AB74" s="42"/>
      <c r="AC74" s="43"/>
      <c r="AD74" s="43">
        <v>80.459999999999994</v>
      </c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140</v>
      </c>
      <c r="E75" s="28"/>
      <c r="F75" s="29">
        <v>690109</v>
      </c>
      <c r="G75" s="80">
        <v>819</v>
      </c>
      <c r="H75" s="31">
        <v>816</v>
      </c>
      <c r="I75" s="46">
        <v>800</v>
      </c>
      <c r="J75" s="32">
        <v>800</v>
      </c>
      <c r="K75" s="33">
        <f t="shared" si="10"/>
        <v>65.52</v>
      </c>
      <c r="L75" s="47">
        <f t="shared" si="10"/>
        <v>65.28</v>
      </c>
      <c r="M75" s="314">
        <v>679</v>
      </c>
      <c r="N75" s="303">
        <v>498</v>
      </c>
      <c r="O75" s="303">
        <v>498</v>
      </c>
      <c r="P75" s="303">
        <v>255</v>
      </c>
      <c r="Q75" s="48"/>
      <c r="R75" s="48"/>
      <c r="S75" s="36"/>
      <c r="T75" s="36"/>
      <c r="U75" s="37"/>
      <c r="V75" s="38"/>
      <c r="W75" s="39"/>
      <c r="X75" s="39"/>
      <c r="Y75" s="40"/>
      <c r="Z75" s="40"/>
      <c r="AA75" s="41"/>
      <c r="AB75" s="42"/>
      <c r="AC75" s="43"/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140</v>
      </c>
      <c r="E76" s="28"/>
      <c r="F76" s="29">
        <v>690109</v>
      </c>
      <c r="G76" s="45">
        <v>632</v>
      </c>
      <c r="H76" s="31">
        <v>735</v>
      </c>
      <c r="I76" s="46">
        <v>800</v>
      </c>
      <c r="J76" s="32">
        <v>800</v>
      </c>
      <c r="K76" s="33">
        <f t="shared" si="10"/>
        <v>50.56</v>
      </c>
      <c r="L76" s="47">
        <f t="shared" si="10"/>
        <v>58.8</v>
      </c>
      <c r="M76" s="303">
        <v>1988</v>
      </c>
      <c r="N76" s="303">
        <v>620</v>
      </c>
      <c r="O76" s="303">
        <v>620</v>
      </c>
      <c r="P76" s="303">
        <v>1355</v>
      </c>
      <c r="Q76" s="35"/>
      <c r="R76" s="48"/>
      <c r="S76" s="36"/>
      <c r="T76" s="36"/>
      <c r="U76" s="37"/>
      <c r="V76" s="38"/>
      <c r="W76" s="39"/>
      <c r="X76" s="39"/>
      <c r="Y76" s="40"/>
      <c r="Z76" s="40"/>
      <c r="AA76" s="41"/>
      <c r="AB76" s="42"/>
      <c r="AC76" s="43"/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140</v>
      </c>
      <c r="E77" s="28"/>
      <c r="F77" s="29">
        <v>690109</v>
      </c>
      <c r="G77" s="45">
        <v>0</v>
      </c>
      <c r="H77" s="31">
        <v>720</v>
      </c>
      <c r="I77" s="46">
        <v>800</v>
      </c>
      <c r="J77" s="32">
        <v>800</v>
      </c>
      <c r="K77" s="33">
        <f t="shared" si="10"/>
        <v>0</v>
      </c>
      <c r="L77" s="47">
        <f t="shared" si="10"/>
        <v>57.6</v>
      </c>
      <c r="M77" s="303">
        <v>79</v>
      </c>
      <c r="N77" s="303">
        <v>79</v>
      </c>
      <c r="O77" s="303">
        <v>79</v>
      </c>
      <c r="P77" s="303">
        <v>720</v>
      </c>
      <c r="Q77" s="35"/>
      <c r="R77" s="48"/>
      <c r="S77" s="36"/>
      <c r="T77" s="36"/>
      <c r="U77" s="37"/>
      <c r="V77" s="38"/>
      <c r="W77" s="39"/>
      <c r="X77" s="39"/>
      <c r="Y77" s="40"/>
      <c r="Z77" s="40"/>
      <c r="AA77" s="41"/>
      <c r="AB77" s="42"/>
      <c r="AC77" s="43"/>
      <c r="AD77" s="43"/>
    </row>
    <row r="78" spans="1:30" ht="23.25" customHeight="1" x14ac:dyDescent="0.4">
      <c r="A78" s="249" t="s">
        <v>143</v>
      </c>
      <c r="B78" s="246" t="s">
        <v>85</v>
      </c>
      <c r="C78" s="253" t="s">
        <v>234</v>
      </c>
      <c r="D78" s="256" t="s">
        <v>140</v>
      </c>
      <c r="E78" s="28"/>
      <c r="F78" s="29">
        <v>690106</v>
      </c>
      <c r="G78" s="45">
        <v>0</v>
      </c>
      <c r="H78" s="31">
        <v>792</v>
      </c>
      <c r="I78" s="46">
        <v>800</v>
      </c>
      <c r="J78" s="32">
        <v>800</v>
      </c>
      <c r="K78" s="33">
        <f t="shared" si="10"/>
        <v>0</v>
      </c>
      <c r="L78" s="47">
        <f t="shared" si="10"/>
        <v>63.36</v>
      </c>
      <c r="M78" s="303">
        <v>1655</v>
      </c>
      <c r="N78" s="303">
        <v>0</v>
      </c>
      <c r="O78" s="303">
        <v>0</v>
      </c>
      <c r="P78" s="303">
        <v>792</v>
      </c>
      <c r="Q78" s="35"/>
      <c r="R78" s="48"/>
      <c r="S78" s="36"/>
      <c r="T78" s="36"/>
      <c r="U78" s="37"/>
      <c r="V78" s="38"/>
      <c r="W78" s="39"/>
      <c r="X78" s="39"/>
      <c r="Y78" s="40"/>
      <c r="Z78" s="40"/>
      <c r="AA78" s="41"/>
      <c r="AB78" s="42"/>
      <c r="AC78" s="43"/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140</v>
      </c>
      <c r="E79" s="28"/>
      <c r="F79" s="29">
        <v>690109</v>
      </c>
      <c r="G79" s="45">
        <v>850</v>
      </c>
      <c r="H79" s="31">
        <v>842</v>
      </c>
      <c r="I79" s="46">
        <v>800</v>
      </c>
      <c r="J79" s="32">
        <v>800</v>
      </c>
      <c r="K79" s="33"/>
      <c r="L79" s="47">
        <f t="shared" si="10"/>
        <v>67.36</v>
      </c>
      <c r="M79" s="303">
        <v>338</v>
      </c>
      <c r="N79" s="303">
        <v>1188</v>
      </c>
      <c r="O79" s="303">
        <v>1188</v>
      </c>
      <c r="P79" s="303">
        <v>30</v>
      </c>
      <c r="Q79" s="48"/>
      <c r="R79" s="48"/>
      <c r="S79" s="36"/>
      <c r="T79" s="36"/>
      <c r="U79" s="37"/>
      <c r="V79" s="38"/>
      <c r="W79" s="39"/>
      <c r="X79" s="39"/>
      <c r="Y79" s="40"/>
      <c r="Z79" s="40"/>
      <c r="AA79" s="41"/>
      <c r="AB79" s="42"/>
      <c r="AC79" s="43"/>
      <c r="AD79" s="43"/>
    </row>
    <row r="80" spans="1:30" ht="28.5" customHeight="1" x14ac:dyDescent="0.4">
      <c r="A80" s="249" t="s">
        <v>145</v>
      </c>
      <c r="B80" s="246" t="s">
        <v>116</v>
      </c>
      <c r="C80" s="253" t="s">
        <v>63</v>
      </c>
      <c r="D80" s="256" t="s">
        <v>140</v>
      </c>
      <c r="E80" s="28"/>
      <c r="F80" s="29">
        <v>690109</v>
      </c>
      <c r="G80" s="45">
        <v>941</v>
      </c>
      <c r="H80" s="31">
        <v>770</v>
      </c>
      <c r="I80" s="46">
        <v>800</v>
      </c>
      <c r="J80" s="32">
        <v>800</v>
      </c>
      <c r="K80" s="33">
        <f t="shared" si="10"/>
        <v>75.28</v>
      </c>
      <c r="L80" s="47">
        <f t="shared" si="10"/>
        <v>61.6</v>
      </c>
      <c r="M80" s="303">
        <v>684</v>
      </c>
      <c r="N80" s="303">
        <v>1625</v>
      </c>
      <c r="O80" s="303">
        <v>1625</v>
      </c>
      <c r="P80" s="303">
        <v>395</v>
      </c>
      <c r="Q80" s="35"/>
      <c r="R80" s="48"/>
      <c r="S80" s="36"/>
      <c r="T80" s="36"/>
      <c r="U80" s="37"/>
      <c r="V80" s="38"/>
      <c r="W80" s="39"/>
      <c r="X80" s="39"/>
      <c r="Y80" s="40"/>
      <c r="Z80" s="40"/>
      <c r="AA80" s="41"/>
      <c r="AB80" s="42"/>
      <c r="AC80" s="43"/>
      <c r="AD80" s="43"/>
    </row>
    <row r="81" spans="1:34" ht="28.5" customHeight="1" x14ac:dyDescent="0.4">
      <c r="A81" s="249" t="s">
        <v>147</v>
      </c>
      <c r="B81" s="246" t="s">
        <v>116</v>
      </c>
      <c r="C81" s="253" t="s">
        <v>63</v>
      </c>
      <c r="D81" s="256" t="s">
        <v>140</v>
      </c>
      <c r="E81" s="28"/>
      <c r="F81" s="29">
        <v>690109</v>
      </c>
      <c r="G81" s="45">
        <v>805</v>
      </c>
      <c r="H81" s="31">
        <v>821</v>
      </c>
      <c r="I81" s="46">
        <v>800</v>
      </c>
      <c r="J81" s="32">
        <v>800</v>
      </c>
      <c r="K81" s="33">
        <f t="shared" si="10"/>
        <v>64.400000000000006</v>
      </c>
      <c r="L81" s="47">
        <f t="shared" si="10"/>
        <v>65.680000000000007</v>
      </c>
      <c r="M81" s="303">
        <v>258</v>
      </c>
      <c r="N81" s="303">
        <v>1063</v>
      </c>
      <c r="O81" s="303">
        <v>1063</v>
      </c>
      <c r="P81" s="303">
        <v>1884</v>
      </c>
      <c r="Q81" s="35"/>
      <c r="R81" s="48"/>
      <c r="S81" s="36"/>
      <c r="T81" s="36"/>
      <c r="U81" s="37"/>
      <c r="V81" s="38"/>
      <c r="W81" s="39"/>
      <c r="X81" s="39"/>
      <c r="Y81" s="40"/>
      <c r="Z81" s="40"/>
      <c r="AA81" s="41"/>
      <c r="AB81" s="42"/>
      <c r="AC81" s="43"/>
      <c r="AD81" s="43"/>
    </row>
    <row r="82" spans="1:34" ht="48" customHeight="1" x14ac:dyDescent="0.4">
      <c r="A82" s="249" t="s">
        <v>148</v>
      </c>
      <c r="B82" s="246" t="s">
        <v>116</v>
      </c>
      <c r="C82" s="253" t="s">
        <v>63</v>
      </c>
      <c r="D82" s="256" t="s">
        <v>140</v>
      </c>
      <c r="E82" s="28"/>
      <c r="F82" s="29">
        <v>690109</v>
      </c>
      <c r="G82" s="45">
        <v>900</v>
      </c>
      <c r="H82" s="31">
        <v>819</v>
      </c>
      <c r="I82" s="46">
        <v>800</v>
      </c>
      <c r="J82" s="32">
        <v>800</v>
      </c>
      <c r="K82" s="33">
        <f t="shared" si="10"/>
        <v>72</v>
      </c>
      <c r="L82" s="47">
        <f t="shared" si="10"/>
        <v>65.52</v>
      </c>
      <c r="M82" s="303">
        <v>646</v>
      </c>
      <c r="N82" s="303">
        <v>1546</v>
      </c>
      <c r="O82" s="303">
        <v>1546</v>
      </c>
      <c r="P82" s="303">
        <v>365</v>
      </c>
      <c r="Q82" s="35"/>
      <c r="R82" s="48"/>
      <c r="S82" s="36"/>
      <c r="T82" s="36"/>
      <c r="U82" s="37"/>
      <c r="V82" s="38"/>
      <c r="W82" s="39"/>
      <c r="X82" s="39"/>
      <c r="Y82" s="40"/>
      <c r="Z82" s="40"/>
      <c r="AA82" s="41"/>
      <c r="AB82" s="42"/>
      <c r="AC82" s="43"/>
      <c r="AD82" s="43"/>
    </row>
    <row r="83" spans="1:34" ht="24" customHeight="1" x14ac:dyDescent="0.4">
      <c r="A83" s="251" t="s">
        <v>136</v>
      </c>
      <c r="B83" s="246" t="s">
        <v>64</v>
      </c>
      <c r="C83" s="253" t="s">
        <v>34</v>
      </c>
      <c r="D83" s="256" t="s">
        <v>272</v>
      </c>
      <c r="E83" s="28">
        <v>69010909</v>
      </c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16">G83*8/100</f>
        <v>0</v>
      </c>
      <c r="L83" s="47">
        <f t="shared" si="16"/>
        <v>0</v>
      </c>
      <c r="M83" s="303">
        <v>230</v>
      </c>
      <c r="N83" s="303">
        <v>230</v>
      </c>
      <c r="O83" s="303">
        <v>230</v>
      </c>
      <c r="P83" s="31"/>
      <c r="Q83" s="35">
        <v>2100</v>
      </c>
      <c r="R83" s="48"/>
      <c r="S83" s="36">
        <v>138.9</v>
      </c>
      <c r="T83" s="36"/>
      <c r="U83" s="37"/>
      <c r="V83" s="38"/>
      <c r="W83" s="39">
        <f>S83*1000/39.37/Q83*29.5</f>
        <v>49.560941979026822</v>
      </c>
      <c r="X83" s="39"/>
      <c r="Y83" s="40">
        <f t="shared" ref="Y83" si="17">(AC83+W83)/2</f>
        <v>50.57047098951341</v>
      </c>
      <c r="Z83" s="40"/>
      <c r="AA83" s="41"/>
      <c r="AB83" s="42"/>
      <c r="AC83" s="43">
        <v>51.58</v>
      </c>
      <c r="AD83" s="43"/>
    </row>
    <row r="84" spans="1:34" ht="24" customHeight="1" x14ac:dyDescent="0.4">
      <c r="A84" s="251" t="s">
        <v>132</v>
      </c>
      <c r="B84" s="246" t="s">
        <v>51</v>
      </c>
      <c r="C84" s="253" t="s">
        <v>233</v>
      </c>
      <c r="D84" s="256" t="s">
        <v>47</v>
      </c>
      <c r="E84" s="28"/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03">
        <v>34</v>
      </c>
      <c r="O84" s="303">
        <v>34</v>
      </c>
      <c r="P84" s="31"/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54"/>
      <c r="D85" s="256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18">G85*8/100</f>
        <v>0</v>
      </c>
      <c r="L85" s="47">
        <f t="shared" si="18"/>
        <v>0</v>
      </c>
      <c r="M85" s="311">
        <v>62</v>
      </c>
      <c r="N85" s="311">
        <v>62</v>
      </c>
      <c r="O85" s="311">
        <v>62</v>
      </c>
      <c r="P85" s="81"/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8.5" customHeight="1" thickBot="1" x14ac:dyDescent="0.45">
      <c r="A86" s="71"/>
      <c r="B86" s="26"/>
      <c r="C86" s="254"/>
      <c r="D86" s="257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18"/>
        <v>0</v>
      </c>
      <c r="L86" s="47">
        <f t="shared" si="18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8.5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40364</v>
      </c>
      <c r="H87" s="86">
        <f>SUM(H6:H82)</f>
        <v>43889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37748</v>
      </c>
      <c r="R87" s="89">
        <f>SUM(R6:R86)</f>
        <v>27333</v>
      </c>
      <c r="S87" s="90">
        <f>SUM(S6:S86)</f>
        <v>3147.0000000000005</v>
      </c>
      <c r="T87" s="91">
        <f>SUM(T6:T86)</f>
        <v>2317.3000000000002</v>
      </c>
      <c r="U87" s="89">
        <f>SUM(U6:U86)</f>
        <v>240</v>
      </c>
      <c r="V87" s="89">
        <f>SUM(V6:V84)</f>
        <v>240</v>
      </c>
      <c r="W87" s="92">
        <f>SUM(W6:W86)</f>
        <v>1544.9563213261397</v>
      </c>
      <c r="X87" s="93">
        <f>SUM(X6:X86)</f>
        <v>1209.2277253718007</v>
      </c>
      <c r="Y87" s="94">
        <f>SUM(Y6:Y86)</f>
        <v>1566.3741606630697</v>
      </c>
      <c r="Z87" s="95">
        <f>SUM(Z6:Z86)</f>
        <v>1135.9469095890781</v>
      </c>
      <c r="AA87" s="96">
        <f>SUM(AA6:AA82)</f>
        <v>0</v>
      </c>
      <c r="AB87" s="97">
        <f>SUM(AB6:AB82)</f>
        <v>84.43</v>
      </c>
      <c r="AC87" s="98">
        <f>SUM(AC6:AC86)</f>
        <v>1587.7919999999999</v>
      </c>
      <c r="AD87" s="98">
        <f>SUM(AD6:AD86)</f>
        <v>1231.5</v>
      </c>
    </row>
    <row r="88" spans="1:34" ht="28.5" customHeight="1" thickBot="1" x14ac:dyDescent="0.45">
      <c r="A88" s="334"/>
      <c r="B88" s="83">
        <v>63</v>
      </c>
      <c r="C88" s="83">
        <v>63</v>
      </c>
      <c r="D88" s="84"/>
      <c r="E88" s="84"/>
      <c r="F88" s="84"/>
      <c r="G88" s="341">
        <f>G87+H87</f>
        <v>84253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Q87+R87+Q133+Q149</f>
        <v>69561</v>
      </c>
      <c r="R88" s="342"/>
      <c r="S88" s="375">
        <f>S87+T87+S133+S149</f>
        <v>6063.5000000000009</v>
      </c>
      <c r="T88" s="376"/>
      <c r="U88" s="341">
        <f>U87+V87+U133+U149</f>
        <v>525</v>
      </c>
      <c r="V88" s="342"/>
      <c r="W88" s="375">
        <f>W87+X87+W133+W149</f>
        <v>3146.6028981013951</v>
      </c>
      <c r="X88" s="376"/>
      <c r="Y88" s="375">
        <f>Y87+Z87+Y133+Y149</f>
        <v>2969.6199642461452</v>
      </c>
      <c r="Z88" s="376"/>
      <c r="AA88" s="375">
        <f>AA87+AB87+AA133</f>
        <v>84.43</v>
      </c>
      <c r="AB88" s="376"/>
      <c r="AC88" s="375">
        <f>AC87+AD87+AC133+AC149</f>
        <v>2819.2919999999999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273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69561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480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40364</v>
      </c>
      <c r="O91" s="108" t="s">
        <v>158</v>
      </c>
      <c r="P91" s="108"/>
      <c r="Q91" s="108" t="s">
        <v>159</v>
      </c>
      <c r="R91" s="109"/>
      <c r="S91" s="120">
        <f>H87</f>
        <v>43889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240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 t="s">
        <v>281</v>
      </c>
      <c r="F92" s="124"/>
      <c r="G92" s="108" t="s">
        <v>162</v>
      </c>
      <c r="H92" s="125"/>
      <c r="I92" s="125">
        <v>2100</v>
      </c>
      <c r="J92" s="117" t="s">
        <v>154</v>
      </c>
      <c r="K92" s="108"/>
      <c r="L92" s="108" t="s">
        <v>163</v>
      </c>
      <c r="M92" s="108"/>
      <c r="N92" s="126">
        <f>G87/B88</f>
        <v>640.69841269841265</v>
      </c>
      <c r="O92" s="108" t="s">
        <v>158</v>
      </c>
      <c r="P92" s="108"/>
      <c r="Q92" s="108" t="s">
        <v>164</v>
      </c>
      <c r="S92" s="126">
        <f>H87/C88</f>
        <v>696.65079365079362</v>
      </c>
      <c r="T92" s="108"/>
      <c r="U92" s="108" t="s">
        <v>158</v>
      </c>
      <c r="W92" s="110"/>
      <c r="X92" s="108"/>
      <c r="Y92" s="127" t="s">
        <v>165</v>
      </c>
      <c r="AA92" s="122">
        <f>V87</f>
        <v>240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220</v>
      </c>
      <c r="F93" s="129"/>
      <c r="G93" s="108" t="s">
        <v>162</v>
      </c>
      <c r="H93" s="125"/>
      <c r="I93" s="125">
        <v>4620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>
        <v>5330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169</v>
      </c>
      <c r="F95" s="116"/>
      <c r="G95" s="108" t="s">
        <v>162</v>
      </c>
      <c r="H95" s="125"/>
      <c r="I95" s="125">
        <v>2365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>
        <v>8000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247</v>
      </c>
      <c r="F97" s="129"/>
      <c r="G97" s="108" t="s">
        <v>162</v>
      </c>
      <c r="H97" s="125"/>
      <c r="I97" s="125">
        <v>1448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63</v>
      </c>
      <c r="P97" s="108" t="s">
        <v>25</v>
      </c>
      <c r="Q97" s="108"/>
      <c r="R97" s="108"/>
      <c r="S97" s="130" t="s">
        <v>177</v>
      </c>
      <c r="T97" s="138">
        <f>C88</f>
        <v>63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30331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3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/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222</v>
      </c>
      <c r="F100" s="148"/>
      <c r="G100" s="108" t="s">
        <v>162</v>
      </c>
      <c r="H100" s="125"/>
      <c r="I100" s="125">
        <v>1980</v>
      </c>
      <c r="J100" s="117" t="s">
        <v>154</v>
      </c>
      <c r="K100" s="8"/>
      <c r="L100" s="149" t="s">
        <v>188</v>
      </c>
      <c r="M100" s="150" t="s">
        <v>277</v>
      </c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190</v>
      </c>
      <c r="F101" s="155"/>
      <c r="G101" s="108" t="s">
        <v>162</v>
      </c>
      <c r="H101" s="125"/>
      <c r="I101" s="125"/>
      <c r="J101" s="117" t="s">
        <v>154</v>
      </c>
      <c r="K101" s="108"/>
      <c r="L101" s="149"/>
      <c r="M101" s="150" t="s">
        <v>261</v>
      </c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246</v>
      </c>
      <c r="F102" s="262"/>
      <c r="G102" s="108" t="s">
        <v>162</v>
      </c>
      <c r="H102" s="125"/>
      <c r="I102" s="125">
        <v>4480</v>
      </c>
      <c r="J102" s="117" t="s">
        <v>154</v>
      </c>
      <c r="K102" s="108"/>
      <c r="L102" s="149"/>
      <c r="M102" s="150" t="s">
        <v>278</v>
      </c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>
        <v>6564</v>
      </c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269</v>
      </c>
      <c r="F105" s="155"/>
      <c r="G105" s="108" t="s">
        <v>162</v>
      </c>
      <c r="H105" s="125"/>
      <c r="I105" s="125">
        <v>1333</v>
      </c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>
        <v>1010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202</v>
      </c>
      <c r="F107" s="155"/>
      <c r="G107" s="108" t="s">
        <v>162</v>
      </c>
      <c r="H107" s="125"/>
      <c r="I107" s="125"/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280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 t="s">
        <v>228</v>
      </c>
      <c r="AB108" s="149" t="s">
        <v>229</v>
      </c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 t="s">
        <v>228</v>
      </c>
      <c r="AB109" s="149" t="s">
        <v>230</v>
      </c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72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54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19">SUM(Q122:Q131)</f>
        <v>0</v>
      </c>
      <c r="R132" s="237">
        <f t="shared" si="19"/>
        <v>0</v>
      </c>
      <c r="S132" s="238">
        <f t="shared" si="19"/>
        <v>0</v>
      </c>
      <c r="T132" s="238">
        <f t="shared" si="19"/>
        <v>0</v>
      </c>
      <c r="U132" s="237">
        <f t="shared" si="19"/>
        <v>0</v>
      </c>
      <c r="V132" s="237">
        <f t="shared" si="19"/>
        <v>0</v>
      </c>
      <c r="W132" s="238">
        <f t="shared" si="19"/>
        <v>0</v>
      </c>
      <c r="X132" s="238">
        <f t="shared" si="19"/>
        <v>0</v>
      </c>
      <c r="Y132" s="95">
        <f t="shared" si="19"/>
        <v>0</v>
      </c>
      <c r="Z132" s="95">
        <f t="shared" si="19"/>
        <v>0</v>
      </c>
      <c r="AA132" s="238">
        <f t="shared" si="19"/>
        <v>0</v>
      </c>
      <c r="AB132" s="238">
        <f t="shared" si="19"/>
        <v>0</v>
      </c>
      <c r="AC132" s="98"/>
      <c r="AD132" s="98">
        <f t="shared" si="19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  <row r="134" spans="1:30" ht="18.75" thickBot="1" x14ac:dyDescent="0.45"/>
    <row r="135" spans="1:30" x14ac:dyDescent="0.4">
      <c r="A135" s="368" t="s">
        <v>1</v>
      </c>
      <c r="B135" s="349" t="s">
        <v>2</v>
      </c>
      <c r="C135" s="350"/>
      <c r="D135" s="5" t="s">
        <v>3</v>
      </c>
      <c r="E135" s="7"/>
      <c r="F135" s="7"/>
      <c r="G135" s="349" t="s">
        <v>4</v>
      </c>
      <c r="H135" s="350"/>
      <c r="I135" s="349" t="s">
        <v>5</v>
      </c>
      <c r="J135" s="350"/>
      <c r="K135" s="349" t="s">
        <v>6</v>
      </c>
      <c r="L135" s="350"/>
      <c r="M135" s="370" t="s">
        <v>7</v>
      </c>
      <c r="N135" s="371"/>
      <c r="O135" s="362" t="s">
        <v>7</v>
      </c>
      <c r="P135" s="363"/>
      <c r="Q135" s="364" t="s">
        <v>8</v>
      </c>
      <c r="R135" s="365"/>
      <c r="S135" s="349" t="s">
        <v>9</v>
      </c>
      <c r="T135" s="350"/>
      <c r="U135" s="366" t="s">
        <v>10</v>
      </c>
      <c r="V135" s="367"/>
      <c r="W135" s="349" t="s">
        <v>11</v>
      </c>
      <c r="X135" s="350"/>
      <c r="Y135" s="349" t="s">
        <v>12</v>
      </c>
      <c r="Z135" s="350"/>
      <c r="AA135" s="349" t="s">
        <v>13</v>
      </c>
      <c r="AB135" s="350"/>
      <c r="AC135" s="349" t="s">
        <v>14</v>
      </c>
      <c r="AD135" s="353"/>
    </row>
    <row r="136" spans="1:30" ht="21" x14ac:dyDescent="0.4">
      <c r="A136" s="369"/>
      <c r="B136" s="351"/>
      <c r="C136" s="352"/>
      <c r="D136" s="8" t="s">
        <v>15</v>
      </c>
      <c r="E136" s="205" t="s">
        <v>16</v>
      </c>
      <c r="F136" s="9" t="s">
        <v>17</v>
      </c>
      <c r="G136" s="351"/>
      <c r="H136" s="352"/>
      <c r="I136" s="351"/>
      <c r="J136" s="352"/>
      <c r="K136" s="351"/>
      <c r="L136" s="352"/>
      <c r="M136" s="354" t="s">
        <v>18</v>
      </c>
      <c r="N136" s="355"/>
      <c r="O136" s="356" t="s">
        <v>19</v>
      </c>
      <c r="P136" s="357"/>
      <c r="Q136" s="358" t="s">
        <v>20</v>
      </c>
      <c r="R136" s="359"/>
      <c r="S136" s="351" t="s">
        <v>21</v>
      </c>
      <c r="T136" s="352"/>
      <c r="U136" s="360" t="s">
        <v>22</v>
      </c>
      <c r="V136" s="359"/>
      <c r="W136" s="351" t="s">
        <v>23</v>
      </c>
      <c r="X136" s="352"/>
      <c r="Y136" s="351"/>
      <c r="Z136" s="352"/>
      <c r="AA136" s="351"/>
      <c r="AB136" s="352"/>
      <c r="AC136" s="351" t="s">
        <v>24</v>
      </c>
      <c r="AD136" s="361"/>
    </row>
    <row r="137" spans="1:30" ht="18.75" thickBot="1" x14ac:dyDescent="0.45">
      <c r="A137" s="10" t="s">
        <v>25</v>
      </c>
      <c r="B137" s="206" t="s">
        <v>207</v>
      </c>
      <c r="C137" s="12" t="s">
        <v>208</v>
      </c>
      <c r="D137" s="13" t="s">
        <v>28</v>
      </c>
      <c r="E137" s="207"/>
      <c r="F137" s="207"/>
      <c r="G137" s="12" t="s">
        <v>26</v>
      </c>
      <c r="H137" s="12" t="s">
        <v>27</v>
      </c>
      <c r="I137" s="11" t="s">
        <v>26</v>
      </c>
      <c r="J137" s="12" t="s">
        <v>27</v>
      </c>
      <c r="K137" s="11" t="s">
        <v>29</v>
      </c>
      <c r="L137" s="14" t="s">
        <v>30</v>
      </c>
      <c r="M137" s="208" t="s">
        <v>31</v>
      </c>
      <c r="N137" s="209" t="s">
        <v>32</v>
      </c>
      <c r="O137" s="210" t="s">
        <v>31</v>
      </c>
      <c r="P137" s="211" t="s">
        <v>32</v>
      </c>
      <c r="Q137" s="19" t="s">
        <v>26</v>
      </c>
      <c r="R137" s="12" t="s">
        <v>27</v>
      </c>
      <c r="S137" s="20" t="s">
        <v>26</v>
      </c>
      <c r="T137" s="12" t="s">
        <v>27</v>
      </c>
      <c r="U137" s="19" t="s">
        <v>26</v>
      </c>
      <c r="V137" s="12" t="s">
        <v>27</v>
      </c>
      <c r="W137" s="21" t="s">
        <v>26</v>
      </c>
      <c r="X137" s="12" t="s">
        <v>27</v>
      </c>
      <c r="Y137" s="22" t="s">
        <v>26</v>
      </c>
      <c r="Z137" s="23" t="s">
        <v>27</v>
      </c>
      <c r="AA137" s="19" t="s">
        <v>26</v>
      </c>
      <c r="AB137" s="12" t="s">
        <v>27</v>
      </c>
      <c r="AC137" s="11" t="s">
        <v>26</v>
      </c>
      <c r="AD137" s="24" t="s">
        <v>27</v>
      </c>
    </row>
    <row r="138" spans="1:30" ht="32.25" thickBot="1" x14ac:dyDescent="0.55000000000000004">
      <c r="A138" s="212" t="s">
        <v>130</v>
      </c>
      <c r="B138" s="213" t="s">
        <v>209</v>
      </c>
      <c r="C138" s="213" t="s">
        <v>210</v>
      </c>
      <c r="D138" s="258" t="s">
        <v>237</v>
      </c>
      <c r="E138" s="215">
        <v>69010911</v>
      </c>
      <c r="F138" s="73">
        <v>690133</v>
      </c>
      <c r="G138" s="216"/>
      <c r="H138" s="217"/>
      <c r="I138" s="46">
        <v>800</v>
      </c>
      <c r="J138" s="32">
        <v>800</v>
      </c>
      <c r="K138" s="218"/>
      <c r="L138" s="218"/>
      <c r="M138" s="219"/>
      <c r="N138" s="220"/>
      <c r="O138" s="220"/>
      <c r="P138" s="221"/>
      <c r="Q138" s="222">
        <v>1510</v>
      </c>
      <c r="R138" s="223"/>
      <c r="S138" s="224">
        <v>206.6</v>
      </c>
      <c r="T138" s="57"/>
      <c r="U138" s="59">
        <v>15</v>
      </c>
      <c r="V138" s="59"/>
      <c r="W138" s="39">
        <f>S138*1000/39.37/Q138*38.5</f>
        <v>133.79771130403188</v>
      </c>
      <c r="X138" s="39"/>
      <c r="Y138" s="40">
        <f t="shared" ref="Y138:Y139" si="20">(AC138+W138)/2</f>
        <v>133.64385565201593</v>
      </c>
      <c r="Z138" s="40"/>
      <c r="AA138" s="225"/>
      <c r="AB138" s="226"/>
      <c r="AC138" s="227">
        <v>133.49</v>
      </c>
      <c r="AD138" s="228"/>
    </row>
    <row r="139" spans="1:30" ht="32.25" thickBot="1" x14ac:dyDescent="0.55000000000000004">
      <c r="A139" s="212" t="s">
        <v>72</v>
      </c>
      <c r="B139" s="213" t="s">
        <v>209</v>
      </c>
      <c r="C139" s="213" t="s">
        <v>210</v>
      </c>
      <c r="D139" s="258" t="s">
        <v>237</v>
      </c>
      <c r="E139" s="215">
        <v>69010910</v>
      </c>
      <c r="F139" s="73">
        <v>690133</v>
      </c>
      <c r="G139" s="216"/>
      <c r="H139" s="217"/>
      <c r="I139" s="46">
        <v>800</v>
      </c>
      <c r="J139" s="32">
        <v>800</v>
      </c>
      <c r="K139" s="218"/>
      <c r="L139" s="218"/>
      <c r="M139" s="219"/>
      <c r="N139" s="220"/>
      <c r="O139" s="220"/>
      <c r="P139" s="221"/>
      <c r="Q139" s="222">
        <v>1470</v>
      </c>
      <c r="R139" s="67"/>
      <c r="S139" s="229">
        <v>200.8</v>
      </c>
      <c r="T139" s="57"/>
      <c r="U139" s="58">
        <v>15</v>
      </c>
      <c r="V139" s="59"/>
      <c r="W139" s="39">
        <f>S139*1000/39.37/Q139*38.5</f>
        <v>133.58007668396291</v>
      </c>
      <c r="X139" s="39"/>
      <c r="Y139" s="40">
        <f t="shared" si="20"/>
        <v>133.65503834198145</v>
      </c>
      <c r="Z139" s="40"/>
      <c r="AA139" s="225"/>
      <c r="AB139" s="226"/>
      <c r="AC139" s="227">
        <v>133.72999999999999</v>
      </c>
      <c r="AD139" s="228"/>
    </row>
    <row r="140" spans="1:30" ht="32.25" thickBot="1" x14ac:dyDescent="0.55000000000000004">
      <c r="A140" s="212" t="s">
        <v>54</v>
      </c>
      <c r="B140" s="213" t="s">
        <v>209</v>
      </c>
      <c r="C140" s="213" t="s">
        <v>210</v>
      </c>
      <c r="D140" s="258" t="s">
        <v>237</v>
      </c>
      <c r="E140" s="215">
        <v>69010912</v>
      </c>
      <c r="F140" s="73">
        <v>690133</v>
      </c>
      <c r="G140" s="216"/>
      <c r="H140" s="217"/>
      <c r="I140" s="46">
        <v>800</v>
      </c>
      <c r="J140" s="32">
        <v>800</v>
      </c>
      <c r="K140" s="218"/>
      <c r="L140" s="218"/>
      <c r="M140" s="219"/>
      <c r="N140" s="220"/>
      <c r="O140" s="220"/>
      <c r="P140" s="221"/>
      <c r="Q140" s="230">
        <v>1500</v>
      </c>
      <c r="R140" s="56"/>
      <c r="S140" s="231">
        <v>191.8</v>
      </c>
      <c r="T140" s="57"/>
      <c r="U140" s="58">
        <v>15</v>
      </c>
      <c r="V140" s="59"/>
      <c r="W140" s="39">
        <f>S140*1000/39.37/Q140*38.5</f>
        <v>125.04106341546019</v>
      </c>
      <c r="X140" s="39"/>
      <c r="Y140" s="40"/>
      <c r="Z140" s="40"/>
      <c r="AA140" s="232">
        <v>126.77</v>
      </c>
      <c r="AB140" s="226"/>
      <c r="AC140" s="233">
        <v>128.49</v>
      </c>
      <c r="AD140" s="234"/>
    </row>
    <row r="141" spans="1:30" ht="32.25" thickBot="1" x14ac:dyDescent="0.55000000000000004">
      <c r="A141" s="212" t="s">
        <v>86</v>
      </c>
      <c r="B141" s="213" t="s">
        <v>209</v>
      </c>
      <c r="C141" s="213" t="s">
        <v>210</v>
      </c>
      <c r="D141" s="258" t="s">
        <v>237</v>
      </c>
      <c r="E141" s="215"/>
      <c r="F141" s="73">
        <v>690133</v>
      </c>
      <c r="G141" s="216"/>
      <c r="H141" s="217"/>
      <c r="I141" s="46">
        <v>800</v>
      </c>
      <c r="J141" s="32">
        <v>800</v>
      </c>
      <c r="K141" s="218"/>
      <c r="L141" s="218"/>
      <c r="M141" s="219"/>
      <c r="N141" s="220"/>
      <c r="O141" s="220"/>
      <c r="P141" s="221"/>
      <c r="Q141" s="230"/>
      <c r="R141" s="56"/>
      <c r="S141" s="231"/>
      <c r="T141" s="57"/>
      <c r="U141" s="58"/>
      <c r="V141" s="59"/>
      <c r="W141" s="39"/>
      <c r="X141" s="39"/>
      <c r="Y141" s="40"/>
      <c r="Z141" s="40"/>
      <c r="AA141" s="232"/>
      <c r="AB141" s="226"/>
      <c r="AC141" s="233"/>
      <c r="AD141" s="234"/>
    </row>
    <row r="142" spans="1:30" ht="32.25" thickBot="1" x14ac:dyDescent="0.55000000000000004">
      <c r="A142" s="212" t="s">
        <v>38</v>
      </c>
      <c r="B142" s="213" t="s">
        <v>209</v>
      </c>
      <c r="C142" s="213" t="s">
        <v>210</v>
      </c>
      <c r="D142" s="258" t="s">
        <v>237</v>
      </c>
      <c r="E142" s="215"/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30"/>
      <c r="R142" s="56"/>
      <c r="S142" s="231"/>
      <c r="T142" s="57"/>
      <c r="U142" s="58"/>
      <c r="V142" s="59"/>
      <c r="W142" s="39"/>
      <c r="X142" s="39"/>
      <c r="Y142" s="40"/>
      <c r="Z142" s="40"/>
      <c r="AA142" s="232"/>
      <c r="AB142" s="226"/>
      <c r="AC142" s="233"/>
      <c r="AD142" s="234"/>
    </row>
    <row r="143" spans="1:30" ht="32.25" thickBot="1" x14ac:dyDescent="0.55000000000000004">
      <c r="A143" s="212" t="s">
        <v>40</v>
      </c>
      <c r="B143" s="213" t="s">
        <v>209</v>
      </c>
      <c r="C143" s="213" t="s">
        <v>210</v>
      </c>
      <c r="D143" s="258" t="s">
        <v>237</v>
      </c>
      <c r="E143" s="215"/>
      <c r="F143" s="73">
        <v>690133</v>
      </c>
      <c r="G143" s="216"/>
      <c r="H143" s="217"/>
      <c r="I143" s="46">
        <v>800</v>
      </c>
      <c r="J143" s="32">
        <v>800</v>
      </c>
      <c r="K143" s="218"/>
      <c r="L143" s="218"/>
      <c r="M143" s="219"/>
      <c r="N143" s="220"/>
      <c r="O143" s="220"/>
      <c r="P143" s="221"/>
      <c r="Q143" s="222"/>
      <c r="R143" s="67"/>
      <c r="S143" s="229"/>
      <c r="T143" s="57"/>
      <c r="U143" s="58"/>
      <c r="V143" s="59"/>
      <c r="W143" s="39"/>
      <c r="X143" s="39"/>
      <c r="Y143" s="40"/>
      <c r="Z143" s="40"/>
      <c r="AA143" s="225"/>
      <c r="AB143" s="226"/>
      <c r="AC143" s="227"/>
      <c r="AD143" s="228"/>
    </row>
    <row r="144" spans="1:30" ht="32.25" thickBot="1" x14ac:dyDescent="0.55000000000000004">
      <c r="A144" s="212" t="s">
        <v>125</v>
      </c>
      <c r="B144" s="213" t="s">
        <v>209</v>
      </c>
      <c r="C144" s="213" t="s">
        <v>210</v>
      </c>
      <c r="D144" s="258" t="s">
        <v>237</v>
      </c>
      <c r="E144" s="215"/>
      <c r="F144" s="73">
        <v>690133</v>
      </c>
      <c r="G144" s="216"/>
      <c r="H144" s="217"/>
      <c r="I144" s="46">
        <v>800</v>
      </c>
      <c r="J144" s="32">
        <v>800</v>
      </c>
      <c r="K144" s="218"/>
      <c r="L144" s="218"/>
      <c r="M144" s="219"/>
      <c r="N144" s="220"/>
      <c r="O144" s="220"/>
      <c r="P144" s="221"/>
      <c r="Q144" s="230"/>
      <c r="R144" s="56"/>
      <c r="S144" s="231"/>
      <c r="T144" s="57"/>
      <c r="U144" s="58"/>
      <c r="V144" s="59"/>
      <c r="W144" s="39"/>
      <c r="X144" s="39"/>
      <c r="Y144" s="40"/>
      <c r="Z144" s="40"/>
      <c r="AA144" s="232"/>
      <c r="AB144" s="226"/>
      <c r="AC144" s="233"/>
      <c r="AD144" s="234"/>
    </row>
    <row r="145" spans="1:30" ht="32.25" thickBot="1" x14ac:dyDescent="0.55000000000000004">
      <c r="A145" s="212" t="s">
        <v>86</v>
      </c>
      <c r="B145" s="213" t="s">
        <v>209</v>
      </c>
      <c r="C145" s="213" t="s">
        <v>210</v>
      </c>
      <c r="D145" s="258" t="s">
        <v>237</v>
      </c>
      <c r="E145" s="215"/>
      <c r="F145" s="73">
        <v>690133</v>
      </c>
      <c r="G145" s="216"/>
      <c r="H145" s="217"/>
      <c r="I145" s="46">
        <v>800</v>
      </c>
      <c r="J145" s="32">
        <v>800</v>
      </c>
      <c r="K145" s="218"/>
      <c r="L145" s="218"/>
      <c r="M145" s="219"/>
      <c r="N145" s="220"/>
      <c r="O145" s="220"/>
      <c r="P145" s="221"/>
      <c r="Q145" s="222"/>
      <c r="R145" s="67"/>
      <c r="S145" s="229"/>
      <c r="T145" s="57"/>
      <c r="U145" s="58"/>
      <c r="V145" s="59"/>
      <c r="W145" s="39"/>
      <c r="X145" s="39"/>
      <c r="Y145" s="40"/>
      <c r="Z145" s="40"/>
      <c r="AA145" s="232"/>
      <c r="AB145" s="226"/>
      <c r="AC145" s="233"/>
      <c r="AD145" s="234"/>
    </row>
    <row r="146" spans="1:30" ht="32.25" thickBot="1" x14ac:dyDescent="0.55000000000000004">
      <c r="A146" s="212" t="s">
        <v>74</v>
      </c>
      <c r="B146" s="213" t="s">
        <v>209</v>
      </c>
      <c r="C146" s="213" t="s">
        <v>210</v>
      </c>
      <c r="D146" s="258" t="s">
        <v>237</v>
      </c>
      <c r="E146" s="215"/>
      <c r="F146" s="73">
        <v>690133</v>
      </c>
      <c r="G146" s="216"/>
      <c r="H146" s="217"/>
      <c r="I146" s="46">
        <v>800</v>
      </c>
      <c r="J146" s="32">
        <v>800</v>
      </c>
      <c r="K146" s="218"/>
      <c r="L146" s="218"/>
      <c r="M146" s="219"/>
      <c r="N146" s="220"/>
      <c r="O146" s="220"/>
      <c r="P146" s="221"/>
      <c r="Q146" s="230"/>
      <c r="R146" s="56"/>
      <c r="S146" s="231"/>
      <c r="T146" s="57"/>
      <c r="U146" s="58"/>
      <c r="V146" s="59"/>
      <c r="W146" s="39"/>
      <c r="X146" s="39"/>
      <c r="Y146" s="40"/>
      <c r="Z146" s="40"/>
      <c r="AA146" s="232"/>
      <c r="AB146" s="226"/>
      <c r="AC146" s="233"/>
      <c r="AD146" s="234"/>
    </row>
    <row r="147" spans="1:30" ht="32.25" thickBot="1" x14ac:dyDescent="0.55000000000000004">
      <c r="A147" s="212" t="s">
        <v>102</v>
      </c>
      <c r="B147" s="213" t="s">
        <v>209</v>
      </c>
      <c r="C147" s="213" t="s">
        <v>210</v>
      </c>
      <c r="D147" s="258" t="s">
        <v>211</v>
      </c>
      <c r="E147" s="215"/>
      <c r="F147" s="73">
        <v>690134</v>
      </c>
      <c r="G147" s="216"/>
      <c r="H147" s="217"/>
      <c r="I147" s="46">
        <v>800</v>
      </c>
      <c r="J147" s="32">
        <v>800</v>
      </c>
      <c r="K147" s="218"/>
      <c r="L147" s="218"/>
      <c r="M147" s="219"/>
      <c r="N147" s="220"/>
      <c r="O147" s="220"/>
      <c r="P147" s="221"/>
      <c r="Q147" s="222"/>
      <c r="R147" s="223"/>
      <c r="S147" s="224"/>
      <c r="T147" s="57"/>
      <c r="U147" s="59"/>
      <c r="V147" s="59"/>
      <c r="W147" s="39"/>
      <c r="X147" s="39"/>
      <c r="Y147" s="40"/>
      <c r="Z147" s="40"/>
      <c r="AA147" s="225"/>
      <c r="AB147" s="235"/>
      <c r="AC147" s="233"/>
      <c r="AD147" s="234"/>
    </row>
    <row r="148" spans="1:30" ht="24" thickBot="1" x14ac:dyDescent="0.45">
      <c r="A148" s="333" t="s">
        <v>150</v>
      </c>
      <c r="B148" s="83" t="s">
        <v>25</v>
      </c>
      <c r="C148" s="83" t="s">
        <v>25</v>
      </c>
      <c r="D148" s="84"/>
      <c r="E148" s="85"/>
      <c r="F148" s="84"/>
      <c r="G148" s="236">
        <f>SUM(G134:G134)</f>
        <v>0</v>
      </c>
      <c r="H148" s="236">
        <f>SUM(H134:H134)</f>
        <v>0</v>
      </c>
      <c r="I148" s="87"/>
      <c r="J148" s="87"/>
      <c r="K148" s="87"/>
      <c r="L148" s="88"/>
      <c r="M148" s="335"/>
      <c r="N148" s="336"/>
      <c r="O148" s="336"/>
      <c r="P148" s="337"/>
      <c r="Q148" s="237">
        <f t="shared" ref="Q148:AB148" si="21">SUM(Q138:Q147)</f>
        <v>4480</v>
      </c>
      <c r="R148" s="237">
        <f t="shared" si="21"/>
        <v>0</v>
      </c>
      <c r="S148" s="238">
        <f t="shared" si="21"/>
        <v>599.20000000000005</v>
      </c>
      <c r="T148" s="238">
        <f t="shared" si="21"/>
        <v>0</v>
      </c>
      <c r="U148" s="237">
        <f t="shared" si="21"/>
        <v>45</v>
      </c>
      <c r="V148" s="237">
        <f t="shared" si="21"/>
        <v>0</v>
      </c>
      <c r="W148" s="238">
        <f t="shared" si="21"/>
        <v>392.41885140345499</v>
      </c>
      <c r="X148" s="238">
        <f t="shared" si="21"/>
        <v>0</v>
      </c>
      <c r="Y148" s="95">
        <f t="shared" si="21"/>
        <v>267.29889399399735</v>
      </c>
      <c r="Z148" s="95">
        <f t="shared" si="21"/>
        <v>0</v>
      </c>
      <c r="AA148" s="238">
        <f t="shared" si="21"/>
        <v>126.77</v>
      </c>
      <c r="AB148" s="238">
        <f t="shared" si="21"/>
        <v>0</v>
      </c>
      <c r="AC148" s="98"/>
      <c r="AD148" s="98">
        <f t="shared" ref="AD148" si="22">SUM(AD138:AD147)</f>
        <v>0</v>
      </c>
    </row>
    <row r="149" spans="1:30" ht="27" thickBot="1" x14ac:dyDescent="0.45">
      <c r="A149" s="334"/>
      <c r="B149" s="83">
        <v>2</v>
      </c>
      <c r="C149" s="83">
        <v>2</v>
      </c>
      <c r="D149" s="84"/>
      <c r="E149" s="84"/>
      <c r="F149" s="84"/>
      <c r="G149" s="99">
        <v>0</v>
      </c>
      <c r="H149" s="100"/>
      <c r="I149" s="99"/>
      <c r="J149" s="100"/>
      <c r="K149" s="341"/>
      <c r="L149" s="342"/>
      <c r="M149" s="338"/>
      <c r="N149" s="339"/>
      <c r="O149" s="339"/>
      <c r="P149" s="340"/>
      <c r="Q149" s="343">
        <f>Q148+R148</f>
        <v>4480</v>
      </c>
      <c r="R149" s="344"/>
      <c r="S149" s="345">
        <f>S148+T148</f>
        <v>599.20000000000005</v>
      </c>
      <c r="T149" s="346"/>
      <c r="U149" s="347">
        <f>U148+V148</f>
        <v>45</v>
      </c>
      <c r="V149" s="348"/>
      <c r="W149" s="327">
        <f>W148+X148</f>
        <v>392.41885140345499</v>
      </c>
      <c r="X149" s="328"/>
      <c r="Y149" s="329">
        <f>Y148+Z148</f>
        <v>267.29889399399735</v>
      </c>
      <c r="Z149" s="330"/>
      <c r="AA149" s="327">
        <f>AA148+AB148</f>
        <v>126.77</v>
      </c>
      <c r="AB149" s="328"/>
      <c r="AC149" s="331">
        <f>AC148+AD148</f>
        <v>0</v>
      </c>
      <c r="AD149" s="332"/>
    </row>
  </sheetData>
  <autoFilter ref="A5:AD112" xr:uid="{3D257094-AFCF-44D4-9CB6-CF8FC9C29795}"/>
  <mergeCells count="104"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A119:A120"/>
    <mergeCell ref="B119:C120"/>
    <mergeCell ref="G119:H120"/>
    <mergeCell ref="I119:J120"/>
    <mergeCell ref="K119:L120"/>
    <mergeCell ref="M119:N119"/>
    <mergeCell ref="E90:J90"/>
    <mergeCell ref="M112:Q112"/>
    <mergeCell ref="X112:AD112"/>
    <mergeCell ref="M113:Q113"/>
    <mergeCell ref="X113:AD113"/>
    <mergeCell ref="F114:G114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U119:V119"/>
    <mergeCell ref="W119:X119"/>
    <mergeCell ref="Y119:Z120"/>
    <mergeCell ref="W133:X133"/>
    <mergeCell ref="Y133:Z133"/>
    <mergeCell ref="AA133:AB133"/>
    <mergeCell ref="AC133:AD133"/>
    <mergeCell ref="A135:A136"/>
    <mergeCell ref="B135:C136"/>
    <mergeCell ref="G135:H136"/>
    <mergeCell ref="I135:J136"/>
    <mergeCell ref="K135:L136"/>
    <mergeCell ref="M135:N135"/>
    <mergeCell ref="A132:A133"/>
    <mergeCell ref="M132:P133"/>
    <mergeCell ref="K133:L133"/>
    <mergeCell ref="Q133:R133"/>
    <mergeCell ref="S133:T133"/>
    <mergeCell ref="U133:V133"/>
    <mergeCell ref="AA135:AB136"/>
    <mergeCell ref="AC135:AD135"/>
    <mergeCell ref="M136:N136"/>
    <mergeCell ref="O136:P136"/>
    <mergeCell ref="Q136:R136"/>
    <mergeCell ref="S136:T136"/>
    <mergeCell ref="U136:V136"/>
    <mergeCell ref="W136:X136"/>
    <mergeCell ref="AC136:AD136"/>
    <mergeCell ref="O135:P135"/>
    <mergeCell ref="Q135:R135"/>
    <mergeCell ref="S135:T135"/>
    <mergeCell ref="U135:V135"/>
    <mergeCell ref="W135:X135"/>
    <mergeCell ref="Y135:Z136"/>
    <mergeCell ref="W149:X149"/>
    <mergeCell ref="Y149:Z149"/>
    <mergeCell ref="AA149:AB149"/>
    <mergeCell ref="AC149:AD149"/>
    <mergeCell ref="A148:A149"/>
    <mergeCell ref="M148:P149"/>
    <mergeCell ref="K149:L149"/>
    <mergeCell ref="Q149:R149"/>
    <mergeCell ref="S149:T149"/>
    <mergeCell ref="U149:V149"/>
  </mergeCells>
  <dataValidations count="1">
    <dataValidation type="list" allowBlank="1" showInputMessage="1" showErrorMessage="1" sqref="B10:C10 B54:C54" xr:uid="{3EE59BA4-7207-4535-99B9-B57B6CF5DF70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E3F0-9985-46F1-B218-0E5A031EADBD}">
  <sheetPr>
    <tabColor rgb="FF00B050"/>
  </sheetPr>
  <dimension ref="A1:AL149"/>
  <sheetViews>
    <sheetView zoomScale="78" zoomScaleNormal="78" zoomScaleSheetLayoutView="70" workbookViewId="0">
      <pane xSplit="4" ySplit="5" topLeftCell="E88" activePane="bottomRight" state="frozen"/>
      <selection activeCell="M107" sqref="M107"/>
      <selection pane="topRight" activeCell="M107" sqref="M107"/>
      <selection pane="bottomLeft" activeCell="M107" sqref="M107"/>
      <selection pane="bottomRight" activeCell="E88" sqref="E87:AD109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270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6" t="s">
        <v>241</v>
      </c>
      <c r="E6" s="28">
        <v>69010809</v>
      </c>
      <c r="F6" s="29">
        <v>690126</v>
      </c>
      <c r="G6" s="30">
        <v>560</v>
      </c>
      <c r="H6" s="31">
        <v>274</v>
      </c>
      <c r="I6" s="32">
        <v>750</v>
      </c>
      <c r="J6" s="32">
        <v>750</v>
      </c>
      <c r="K6" s="33">
        <f>G6*8/100</f>
        <v>44.8</v>
      </c>
      <c r="L6" s="34">
        <f>H6*8/100</f>
        <v>21.92</v>
      </c>
      <c r="M6" s="303">
        <v>740</v>
      </c>
      <c r="N6" s="303">
        <v>1300</v>
      </c>
      <c r="O6" s="303">
        <v>1300</v>
      </c>
      <c r="P6" s="303">
        <v>1574</v>
      </c>
      <c r="Q6" s="35">
        <v>2000</v>
      </c>
      <c r="R6" s="35"/>
      <c r="S6" s="36">
        <v>194.3</v>
      </c>
      <c r="T6" s="36"/>
      <c r="U6" s="37"/>
      <c r="V6" s="38"/>
      <c r="W6" s="39">
        <f>S6*1000/39.37/Q6*44.5</f>
        <v>109.80886461772924</v>
      </c>
      <c r="X6" s="39"/>
      <c r="Y6" s="40">
        <f t="shared" ref="Y6:Z9" si="0">(AC6+W6)/2</f>
        <v>110.74443230886462</v>
      </c>
      <c r="Z6" s="40"/>
      <c r="AA6" s="41"/>
      <c r="AB6" s="42"/>
      <c r="AC6" s="43">
        <v>111.68</v>
      </c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36</v>
      </c>
      <c r="E7" s="28"/>
      <c r="F7" s="29">
        <v>690126</v>
      </c>
      <c r="G7" s="45">
        <v>615</v>
      </c>
      <c r="H7" s="31">
        <v>243</v>
      </c>
      <c r="I7" s="46">
        <v>750</v>
      </c>
      <c r="J7" s="32">
        <v>750</v>
      </c>
      <c r="K7" s="33">
        <f t="shared" ref="K7:L38" si="1">G7*8/100</f>
        <v>49.2</v>
      </c>
      <c r="L7" s="47">
        <f t="shared" si="1"/>
        <v>19.440000000000001</v>
      </c>
      <c r="M7" s="303">
        <v>1138</v>
      </c>
      <c r="N7" s="303">
        <v>1753</v>
      </c>
      <c r="O7" s="303">
        <v>1753</v>
      </c>
      <c r="P7" s="303">
        <v>1996</v>
      </c>
      <c r="Q7" s="35"/>
      <c r="R7" s="48"/>
      <c r="S7" s="36"/>
      <c r="T7" s="36"/>
      <c r="U7" s="37"/>
      <c r="V7" s="38"/>
      <c r="W7" s="39"/>
      <c r="X7" s="39"/>
      <c r="Y7" s="40"/>
      <c r="Z7" s="40"/>
      <c r="AA7" s="41"/>
      <c r="AB7" s="42"/>
      <c r="AC7" s="43"/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69010837</v>
      </c>
      <c r="F8" s="29">
        <v>690111</v>
      </c>
      <c r="G8" s="45">
        <v>721</v>
      </c>
      <c r="H8" s="31">
        <v>720</v>
      </c>
      <c r="I8" s="46">
        <v>750</v>
      </c>
      <c r="J8" s="32">
        <v>750</v>
      </c>
      <c r="K8" s="33">
        <f t="shared" si="1"/>
        <v>57.68</v>
      </c>
      <c r="L8" s="47">
        <f t="shared" si="1"/>
        <v>57.6</v>
      </c>
      <c r="M8" s="303">
        <v>1367</v>
      </c>
      <c r="N8" s="303">
        <v>188</v>
      </c>
      <c r="O8" s="303">
        <v>188</v>
      </c>
      <c r="P8" s="303">
        <v>908</v>
      </c>
      <c r="Q8" s="35"/>
      <c r="R8" s="48">
        <v>1900</v>
      </c>
      <c r="S8" s="36"/>
      <c r="T8" s="36">
        <v>126.9</v>
      </c>
      <c r="U8" s="37"/>
      <c r="V8" s="38">
        <v>20</v>
      </c>
      <c r="W8" s="39"/>
      <c r="X8" s="39">
        <f>T8*1000/39.37/R8*38.5</f>
        <v>65.313556942903361</v>
      </c>
      <c r="Y8" s="40"/>
      <c r="Z8" s="40">
        <f t="shared" si="0"/>
        <v>66.511778471451677</v>
      </c>
      <c r="AA8" s="41"/>
      <c r="AB8" s="42"/>
      <c r="AC8" s="43"/>
      <c r="AD8" s="43">
        <v>67.709999999999994</v>
      </c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>
        <v>69010853</v>
      </c>
      <c r="F9" s="29">
        <v>690109</v>
      </c>
      <c r="G9" s="45">
        <v>715</v>
      </c>
      <c r="H9" s="31">
        <v>851</v>
      </c>
      <c r="I9" s="46">
        <v>110</v>
      </c>
      <c r="J9" s="32">
        <v>110</v>
      </c>
      <c r="K9" s="33">
        <f t="shared" si="1"/>
        <v>57.2</v>
      </c>
      <c r="L9" s="47">
        <f t="shared" si="1"/>
        <v>68.08</v>
      </c>
      <c r="M9" s="303">
        <v>1581</v>
      </c>
      <c r="N9" s="303">
        <v>295</v>
      </c>
      <c r="O9" s="303">
        <v>295</v>
      </c>
      <c r="P9" s="303">
        <v>1146</v>
      </c>
      <c r="Q9" s="35"/>
      <c r="R9" s="48">
        <v>2001</v>
      </c>
      <c r="S9" s="36"/>
      <c r="T9" s="36">
        <v>164.8</v>
      </c>
      <c r="U9" s="37"/>
      <c r="V9" s="38">
        <v>20</v>
      </c>
      <c r="W9" s="39"/>
      <c r="X9" s="39">
        <f>T9*1000/39.37/R9*38.5</f>
        <v>80.538851732376131</v>
      </c>
      <c r="Y9" s="40"/>
      <c r="Z9" s="40">
        <f t="shared" si="0"/>
        <v>80.634425866188067</v>
      </c>
      <c r="AA9" s="41"/>
      <c r="AB9" s="42"/>
      <c r="AC9" s="43"/>
      <c r="AD9" s="43">
        <v>80.73</v>
      </c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43</v>
      </c>
      <c r="E10" s="28">
        <v>69010812</v>
      </c>
      <c r="F10" s="29">
        <v>690119</v>
      </c>
      <c r="G10" s="51">
        <v>945</v>
      </c>
      <c r="H10" s="31">
        <v>800</v>
      </c>
      <c r="I10" s="46">
        <v>110</v>
      </c>
      <c r="J10" s="32">
        <v>110</v>
      </c>
      <c r="K10" s="33">
        <f t="shared" si="1"/>
        <v>75.599999999999994</v>
      </c>
      <c r="L10" s="47">
        <f t="shared" si="1"/>
        <v>64</v>
      </c>
      <c r="M10" s="303">
        <v>525</v>
      </c>
      <c r="N10" s="303">
        <v>1470</v>
      </c>
      <c r="O10" s="303">
        <v>1470</v>
      </c>
      <c r="P10" s="303">
        <v>2270</v>
      </c>
      <c r="Q10" s="35">
        <v>2500</v>
      </c>
      <c r="R10" s="48"/>
      <c r="S10" s="36">
        <v>200.7</v>
      </c>
      <c r="T10" s="36"/>
      <c r="U10" s="37">
        <v>25</v>
      </c>
      <c r="V10" s="38"/>
      <c r="W10" s="39">
        <f>S10*1000/39.37/Q10*38.5</f>
        <v>78.505969011938035</v>
      </c>
      <c r="X10" s="39"/>
      <c r="Y10" s="40">
        <f t="shared" ref="Y10" si="2">(AC10+W10)/2</f>
        <v>79.452984505969027</v>
      </c>
      <c r="Z10" s="52"/>
      <c r="AA10" s="41"/>
      <c r="AB10" s="42"/>
      <c r="AC10" s="43">
        <v>80.400000000000006</v>
      </c>
      <c r="AD10" s="43"/>
      <c r="AE10" s="260" t="s">
        <v>263</v>
      </c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36</v>
      </c>
      <c r="E11" s="28"/>
      <c r="F11" s="29">
        <v>690126</v>
      </c>
      <c r="G11" s="45">
        <v>338</v>
      </c>
      <c r="H11" s="31">
        <v>0</v>
      </c>
      <c r="I11" s="46">
        <v>800</v>
      </c>
      <c r="J11" s="32">
        <v>800</v>
      </c>
      <c r="K11" s="33">
        <f t="shared" si="1"/>
        <v>27.04</v>
      </c>
      <c r="L11" s="47">
        <f>H11*8/100</f>
        <v>0</v>
      </c>
      <c r="M11" s="304">
        <v>458</v>
      </c>
      <c r="N11" s="304">
        <v>796</v>
      </c>
      <c r="O11" s="304">
        <v>796</v>
      </c>
      <c r="P11" s="304">
        <v>796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52</v>
      </c>
      <c r="E12" s="28"/>
      <c r="F12" s="29">
        <v>690113</v>
      </c>
      <c r="G12" s="45">
        <v>401</v>
      </c>
      <c r="H12" s="31">
        <v>482</v>
      </c>
      <c r="I12" s="46">
        <v>800</v>
      </c>
      <c r="J12" s="32">
        <v>800</v>
      </c>
      <c r="K12" s="33">
        <f t="shared" si="1"/>
        <v>32.08</v>
      </c>
      <c r="L12" s="47">
        <f t="shared" si="1"/>
        <v>38.56</v>
      </c>
      <c r="M12" s="303">
        <v>998</v>
      </c>
      <c r="N12" s="303">
        <v>1399</v>
      </c>
      <c r="O12" s="303">
        <v>1399</v>
      </c>
      <c r="P12" s="303">
        <v>1881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52</v>
      </c>
      <c r="E13" s="28"/>
      <c r="F13" s="29">
        <v>690113</v>
      </c>
      <c r="G13" s="45">
        <v>531</v>
      </c>
      <c r="H13" s="31">
        <v>346</v>
      </c>
      <c r="I13" s="46">
        <v>800</v>
      </c>
      <c r="J13" s="32">
        <v>800</v>
      </c>
      <c r="K13" s="33">
        <f t="shared" si="1"/>
        <v>42.48</v>
      </c>
      <c r="L13" s="47">
        <f t="shared" si="1"/>
        <v>27.68</v>
      </c>
      <c r="M13" s="303">
        <v>215</v>
      </c>
      <c r="N13" s="303">
        <v>746</v>
      </c>
      <c r="O13" s="303">
        <v>746</v>
      </c>
      <c r="P13" s="303">
        <v>1092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425</v>
      </c>
      <c r="H14" s="31">
        <v>394</v>
      </c>
      <c r="I14" s="46">
        <v>800</v>
      </c>
      <c r="J14" s="32">
        <v>800</v>
      </c>
      <c r="K14" s="33">
        <f t="shared" si="1"/>
        <v>34</v>
      </c>
      <c r="L14" s="47">
        <f t="shared" si="1"/>
        <v>31.52</v>
      </c>
      <c r="M14" s="303">
        <v>764</v>
      </c>
      <c r="N14" s="303">
        <v>1189</v>
      </c>
      <c r="O14" s="303">
        <v>1189</v>
      </c>
      <c r="P14" s="303">
        <v>83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47</v>
      </c>
      <c r="E15" s="28"/>
      <c r="F15" s="29">
        <v>690119</v>
      </c>
      <c r="G15" s="55">
        <v>0</v>
      </c>
      <c r="H15" s="31">
        <v>0</v>
      </c>
      <c r="I15" s="46">
        <v>800</v>
      </c>
      <c r="J15" s="32">
        <v>800</v>
      </c>
      <c r="K15" s="33">
        <f t="shared" si="1"/>
        <v>0</v>
      </c>
      <c r="L15" s="47">
        <f t="shared" si="1"/>
        <v>0</v>
      </c>
      <c r="M15" s="303">
        <v>0</v>
      </c>
      <c r="N15" s="303">
        <v>0</v>
      </c>
      <c r="O15" s="303">
        <v>0</v>
      </c>
      <c r="P15" s="303">
        <v>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>
        <v>69010836</v>
      </c>
      <c r="F16" s="29">
        <v>690106</v>
      </c>
      <c r="G16" s="55">
        <v>508</v>
      </c>
      <c r="H16" s="31">
        <v>0</v>
      </c>
      <c r="I16" s="46">
        <v>800</v>
      </c>
      <c r="J16" s="32">
        <v>800</v>
      </c>
      <c r="K16" s="33">
        <f t="shared" si="1"/>
        <v>40.64</v>
      </c>
      <c r="L16" s="47">
        <f t="shared" si="1"/>
        <v>0</v>
      </c>
      <c r="M16" s="303">
        <v>2236</v>
      </c>
      <c r="N16" s="303">
        <v>244</v>
      </c>
      <c r="O16" s="303">
        <v>244</v>
      </c>
      <c r="P16" s="303">
        <v>244</v>
      </c>
      <c r="Q16" s="35"/>
      <c r="R16" s="48">
        <v>2500</v>
      </c>
      <c r="S16" s="36"/>
      <c r="T16" s="36">
        <v>197.4</v>
      </c>
      <c r="U16" s="37"/>
      <c r="V16" s="38">
        <v>25</v>
      </c>
      <c r="W16" s="39"/>
      <c r="X16" s="39">
        <f>T16*1000/39.37/R16*31.5</f>
        <v>63.176022352044704</v>
      </c>
      <c r="Y16" s="40"/>
      <c r="Z16" s="40">
        <f t="shared" ref="Z16:Z17" si="3">(AD16+X16)/2</f>
        <v>64.74301117602235</v>
      </c>
      <c r="AA16" s="41"/>
      <c r="AB16" s="42"/>
      <c r="AC16" s="43"/>
      <c r="AD16" s="43">
        <v>66.31</v>
      </c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>
        <v>69010845</v>
      </c>
      <c r="F17" s="29">
        <v>690106</v>
      </c>
      <c r="G17" s="55">
        <v>752</v>
      </c>
      <c r="H17" s="31">
        <v>0</v>
      </c>
      <c r="I17" s="46">
        <v>800</v>
      </c>
      <c r="J17" s="32">
        <v>800</v>
      </c>
      <c r="K17" s="33">
        <f t="shared" si="1"/>
        <v>60.16</v>
      </c>
      <c r="L17" s="47">
        <f t="shared" si="1"/>
        <v>0</v>
      </c>
      <c r="M17" s="303">
        <v>1487</v>
      </c>
      <c r="N17" s="303">
        <v>239</v>
      </c>
      <c r="O17" s="303">
        <v>239</v>
      </c>
      <c r="P17" s="303">
        <v>239</v>
      </c>
      <c r="Q17" s="35"/>
      <c r="R17" s="48">
        <v>2000</v>
      </c>
      <c r="S17" s="36"/>
      <c r="T17" s="36">
        <v>157</v>
      </c>
      <c r="U17" s="37"/>
      <c r="V17" s="38"/>
      <c r="W17" s="39"/>
      <c r="X17" s="39">
        <f>T17*1000/39.37/R17*38.5</f>
        <v>76.765303530607056</v>
      </c>
      <c r="Y17" s="40"/>
      <c r="Z17" s="40">
        <f t="shared" si="3"/>
        <v>76.537651765303536</v>
      </c>
      <c r="AA17" s="41"/>
      <c r="AB17" s="42"/>
      <c r="AC17" s="43"/>
      <c r="AD17" s="43">
        <v>76.31</v>
      </c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>
        <v>69010831</v>
      </c>
      <c r="F18" s="29">
        <v>690106</v>
      </c>
      <c r="G18" s="55">
        <v>800</v>
      </c>
      <c r="H18" s="31">
        <v>0</v>
      </c>
      <c r="I18" s="46">
        <v>800</v>
      </c>
      <c r="J18" s="32">
        <v>800</v>
      </c>
      <c r="K18" s="33">
        <f t="shared" si="1"/>
        <v>64</v>
      </c>
      <c r="L18" s="47">
        <f t="shared" si="1"/>
        <v>0</v>
      </c>
      <c r="M18" s="303">
        <v>1898</v>
      </c>
      <c r="N18" s="303">
        <v>698</v>
      </c>
      <c r="O18" s="303">
        <v>698</v>
      </c>
      <c r="P18" s="303">
        <v>698</v>
      </c>
      <c r="Q18" s="35"/>
      <c r="R18" s="48">
        <v>2000</v>
      </c>
      <c r="S18" s="36"/>
      <c r="T18" s="36">
        <v>156.69999999999999</v>
      </c>
      <c r="U18" s="37"/>
      <c r="V18" s="38"/>
      <c r="W18" s="39"/>
      <c r="X18" s="39">
        <f>T18*1000/39.37/R18*38.5</f>
        <v>76.61861823723649</v>
      </c>
      <c r="Y18" s="40"/>
      <c r="Z18" s="40">
        <f t="shared" ref="Y18:Z19" si="4">(AD18+X18)/2</f>
        <v>76.514309118618243</v>
      </c>
      <c r="AA18" s="41"/>
      <c r="AB18" s="42"/>
      <c r="AC18" s="43"/>
      <c r="AD18" s="43">
        <v>76.41</v>
      </c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61</v>
      </c>
      <c r="E19" s="28">
        <v>69010808</v>
      </c>
      <c r="F19" s="29">
        <v>690112</v>
      </c>
      <c r="G19" s="45">
        <v>805</v>
      </c>
      <c r="H19" s="31">
        <v>424</v>
      </c>
      <c r="I19" s="46">
        <v>750</v>
      </c>
      <c r="J19" s="32">
        <v>750</v>
      </c>
      <c r="K19" s="33">
        <f t="shared" si="1"/>
        <v>64.400000000000006</v>
      </c>
      <c r="L19" s="47">
        <f t="shared" si="1"/>
        <v>33.92</v>
      </c>
      <c r="M19" s="303">
        <v>720</v>
      </c>
      <c r="N19" s="303">
        <v>1525</v>
      </c>
      <c r="O19" s="303">
        <v>1525</v>
      </c>
      <c r="P19" s="303">
        <v>1949</v>
      </c>
      <c r="Q19" s="35">
        <v>2000</v>
      </c>
      <c r="R19" s="48"/>
      <c r="S19" s="36">
        <v>156.80000000000001</v>
      </c>
      <c r="T19" s="36"/>
      <c r="U19" s="37"/>
      <c r="V19" s="38"/>
      <c r="W19" s="39">
        <f>S19*1000/39.37/Q19*38.5</f>
        <v>76.667513335026669</v>
      </c>
      <c r="X19" s="39"/>
      <c r="Y19" s="40">
        <f t="shared" si="4"/>
        <v>78.788756667513326</v>
      </c>
      <c r="Z19" s="40"/>
      <c r="AA19" s="41"/>
      <c r="AB19" s="42"/>
      <c r="AC19" s="43">
        <v>80.91</v>
      </c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47</v>
      </c>
      <c r="E20" s="28">
        <v>69010856</v>
      </c>
      <c r="F20" s="29">
        <v>690119</v>
      </c>
      <c r="G20" s="45">
        <v>750</v>
      </c>
      <c r="H20" s="31">
        <v>555</v>
      </c>
      <c r="I20" s="46">
        <v>750</v>
      </c>
      <c r="J20" s="32">
        <v>750</v>
      </c>
      <c r="K20" s="33">
        <f t="shared" si="1"/>
        <v>60</v>
      </c>
      <c r="L20" s="47">
        <f t="shared" si="1"/>
        <v>44.4</v>
      </c>
      <c r="M20" s="303">
        <v>1264</v>
      </c>
      <c r="N20" s="303">
        <v>0</v>
      </c>
      <c r="O20" s="303">
        <v>0</v>
      </c>
      <c r="P20" s="303">
        <v>555</v>
      </c>
      <c r="Q20" s="35"/>
      <c r="R20" s="48">
        <v>2014</v>
      </c>
      <c r="S20" s="36"/>
      <c r="T20" s="36">
        <v>166.9</v>
      </c>
      <c r="U20" s="37"/>
      <c r="V20" s="38">
        <v>20</v>
      </c>
      <c r="W20" s="39"/>
      <c r="X20" s="39">
        <f>T20*1000/39.37/R20*38.5</f>
        <v>81.038647678089802</v>
      </c>
      <c r="Y20" s="40"/>
      <c r="Z20" s="40">
        <v>81.45</v>
      </c>
      <c r="AA20" s="41"/>
      <c r="AB20" s="42"/>
      <c r="AC20" s="43"/>
      <c r="AD20" s="43">
        <v>81.849999999999994</v>
      </c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43</v>
      </c>
      <c r="E21" s="28">
        <v>69010816</v>
      </c>
      <c r="F21" s="29">
        <v>690119</v>
      </c>
      <c r="G21" s="45">
        <v>423</v>
      </c>
      <c r="H21" s="31">
        <v>0</v>
      </c>
      <c r="I21" s="46">
        <v>750</v>
      </c>
      <c r="J21" s="32">
        <v>750</v>
      </c>
      <c r="K21" s="33">
        <f t="shared" si="1"/>
        <v>33.840000000000003</v>
      </c>
      <c r="L21" s="47">
        <f t="shared" si="1"/>
        <v>0</v>
      </c>
      <c r="M21" s="303">
        <v>910</v>
      </c>
      <c r="N21" s="303">
        <v>1333</v>
      </c>
      <c r="O21" s="303">
        <v>1333</v>
      </c>
      <c r="P21" s="303">
        <v>1333</v>
      </c>
      <c r="Q21" s="35">
        <v>2500</v>
      </c>
      <c r="R21" s="48"/>
      <c r="S21" s="36">
        <v>199.7</v>
      </c>
      <c r="T21" s="36"/>
      <c r="U21" s="37">
        <v>25</v>
      </c>
      <c r="V21" s="38"/>
      <c r="W21" s="39">
        <f>S21*1000/39.37/Q21*38.5</f>
        <v>78.114808229616472</v>
      </c>
      <c r="X21" s="39"/>
      <c r="Y21" s="40">
        <f t="shared" ref="Y21:Y23" si="5">(AC21+W21)/2</f>
        <v>78.787404114808226</v>
      </c>
      <c r="Z21" s="40"/>
      <c r="AA21" s="41"/>
      <c r="AB21" s="42"/>
      <c r="AC21" s="43">
        <v>79.459999999999994</v>
      </c>
      <c r="AD21" s="43"/>
    </row>
    <row r="22" spans="1:35" ht="26.25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>
        <v>69010804</v>
      </c>
      <c r="F22" s="29">
        <v>690112</v>
      </c>
      <c r="G22" s="45">
        <v>754</v>
      </c>
      <c r="H22" s="31">
        <v>1073</v>
      </c>
      <c r="I22" s="46">
        <v>750</v>
      </c>
      <c r="J22" s="32">
        <v>750</v>
      </c>
      <c r="K22" s="33">
        <f t="shared" si="1"/>
        <v>60.32</v>
      </c>
      <c r="L22" s="47">
        <f t="shared" si="1"/>
        <v>85.84</v>
      </c>
      <c r="M22" s="305">
        <v>995</v>
      </c>
      <c r="N22" s="303">
        <v>1749</v>
      </c>
      <c r="O22" s="303">
        <v>1749</v>
      </c>
      <c r="P22" s="305">
        <v>822</v>
      </c>
      <c r="Q22" s="35">
        <v>2000</v>
      </c>
      <c r="R22" s="48"/>
      <c r="S22" s="36">
        <v>155.9</v>
      </c>
      <c r="T22" s="36"/>
      <c r="U22" s="37"/>
      <c r="V22" s="38"/>
      <c r="W22" s="39">
        <f>S22*1000/39.37/Q22*38.5</f>
        <v>76.227457454914912</v>
      </c>
      <c r="X22" s="39"/>
      <c r="Y22" s="40">
        <f t="shared" si="5"/>
        <v>76.998728727457461</v>
      </c>
      <c r="Z22" s="40"/>
      <c r="AA22" s="41"/>
      <c r="AB22" s="42"/>
      <c r="AC22" s="43">
        <v>77.77</v>
      </c>
      <c r="AD22" s="43"/>
    </row>
    <row r="23" spans="1:35" ht="24" customHeight="1" x14ac:dyDescent="0.4">
      <c r="A23" s="249" t="s">
        <v>70</v>
      </c>
      <c r="B23" s="246" t="s">
        <v>42</v>
      </c>
      <c r="C23" s="253" t="s">
        <v>41</v>
      </c>
      <c r="D23" s="256" t="s">
        <v>57</v>
      </c>
      <c r="E23" s="28">
        <v>69010820</v>
      </c>
      <c r="F23" s="29">
        <v>690104</v>
      </c>
      <c r="G23" s="45">
        <v>710</v>
      </c>
      <c r="H23" s="31">
        <v>940</v>
      </c>
      <c r="I23" s="46">
        <v>750</v>
      </c>
      <c r="J23" s="32">
        <v>750</v>
      </c>
      <c r="K23" s="33">
        <f t="shared" si="1"/>
        <v>56.8</v>
      </c>
      <c r="L23" s="47">
        <f t="shared" si="1"/>
        <v>75.2</v>
      </c>
      <c r="M23" s="303">
        <v>668</v>
      </c>
      <c r="N23" s="303">
        <v>1378</v>
      </c>
      <c r="O23" s="303">
        <v>1378</v>
      </c>
      <c r="P23" s="303">
        <v>2318</v>
      </c>
      <c r="Q23" s="35">
        <v>2470</v>
      </c>
      <c r="R23" s="48"/>
      <c r="S23" s="36">
        <v>195</v>
      </c>
      <c r="T23" s="36"/>
      <c r="U23" s="37">
        <v>25</v>
      </c>
      <c r="V23" s="38"/>
      <c r="W23" s="39">
        <f>S23*1000/39.37/Q23*31.5</f>
        <v>63.165915805515837</v>
      </c>
      <c r="X23" s="39"/>
      <c r="Y23" s="40">
        <f t="shared" si="5"/>
        <v>63.917957902757919</v>
      </c>
      <c r="Z23" s="40"/>
      <c r="AA23" s="41"/>
      <c r="AB23" s="42"/>
      <c r="AC23" s="43">
        <v>64.67</v>
      </c>
      <c r="AD23" s="43"/>
    </row>
    <row r="24" spans="1:35" ht="24" customHeight="1" x14ac:dyDescent="0.5">
      <c r="A24" s="249" t="s">
        <v>72</v>
      </c>
      <c r="B24" s="246" t="s">
        <v>42</v>
      </c>
      <c r="C24" s="253" t="s">
        <v>41</v>
      </c>
      <c r="D24" s="258" t="s">
        <v>237</v>
      </c>
      <c r="E24" s="28"/>
      <c r="F24" s="29">
        <v>690133</v>
      </c>
      <c r="G24" s="45">
        <v>711</v>
      </c>
      <c r="H24" s="31">
        <v>934</v>
      </c>
      <c r="I24" s="46">
        <v>750</v>
      </c>
      <c r="J24" s="32">
        <v>750</v>
      </c>
      <c r="K24" s="33">
        <f t="shared" si="1"/>
        <v>56.88</v>
      </c>
      <c r="L24" s="47">
        <f t="shared" si="1"/>
        <v>74.72</v>
      </c>
      <c r="M24" s="303">
        <v>112</v>
      </c>
      <c r="N24" s="303">
        <v>823</v>
      </c>
      <c r="O24" s="303">
        <v>823</v>
      </c>
      <c r="P24" s="303">
        <v>257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241</v>
      </c>
      <c r="E25" s="28">
        <v>69010805</v>
      </c>
      <c r="F25" s="29">
        <v>690126</v>
      </c>
      <c r="G25" s="45">
        <v>844</v>
      </c>
      <c r="H25" s="31">
        <v>925</v>
      </c>
      <c r="I25" s="46">
        <v>750</v>
      </c>
      <c r="J25" s="32">
        <v>750</v>
      </c>
      <c r="K25" s="33">
        <f t="shared" si="1"/>
        <v>67.52</v>
      </c>
      <c r="L25" s="47">
        <f t="shared" si="1"/>
        <v>74</v>
      </c>
      <c r="M25" s="306">
        <v>714</v>
      </c>
      <c r="N25" s="303">
        <v>1558</v>
      </c>
      <c r="O25" s="303">
        <v>1558</v>
      </c>
      <c r="P25" s="306">
        <v>483</v>
      </c>
      <c r="Q25" s="35">
        <v>1980</v>
      </c>
      <c r="R25" s="48"/>
      <c r="S25" s="36">
        <v>189.6</v>
      </c>
      <c r="T25" s="36"/>
      <c r="U25" s="37"/>
      <c r="V25" s="38"/>
      <c r="W25" s="39">
        <f>S25*1000/39.37/Q25*44.5</f>
        <v>108.23500434879659</v>
      </c>
      <c r="X25" s="39"/>
      <c r="Y25" s="40">
        <f t="shared" ref="Y25:Y26" si="6">(AC25+W25)/2</f>
        <v>110.1925021743983</v>
      </c>
      <c r="Z25" s="40"/>
      <c r="AA25" s="41"/>
      <c r="AB25" s="42"/>
      <c r="AC25" s="239">
        <v>112.15</v>
      </c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43</v>
      </c>
      <c r="E26" s="28">
        <v>69010815</v>
      </c>
      <c r="F26" s="29">
        <v>690119</v>
      </c>
      <c r="G26" s="55">
        <v>1106</v>
      </c>
      <c r="H26" s="31">
        <v>584</v>
      </c>
      <c r="I26" s="46">
        <v>800</v>
      </c>
      <c r="J26" s="32">
        <v>800</v>
      </c>
      <c r="K26" s="33">
        <f t="shared" si="1"/>
        <v>88.48</v>
      </c>
      <c r="L26" s="47">
        <f t="shared" si="1"/>
        <v>46.72</v>
      </c>
      <c r="M26" s="307">
        <v>509</v>
      </c>
      <c r="N26" s="303">
        <v>1615</v>
      </c>
      <c r="O26" s="303">
        <v>1615</v>
      </c>
      <c r="P26" s="307">
        <v>2199</v>
      </c>
      <c r="Q26" s="35">
        <v>2500</v>
      </c>
      <c r="R26" s="35"/>
      <c r="S26" s="36">
        <v>202.8</v>
      </c>
      <c r="T26" s="36"/>
      <c r="U26" s="37">
        <v>25</v>
      </c>
      <c r="V26" s="38"/>
      <c r="W26" s="39">
        <f>S26*1000/39.37/Q26*38.5</f>
        <v>79.327406654813316</v>
      </c>
      <c r="X26" s="39"/>
      <c r="Y26" s="40">
        <f t="shared" si="6"/>
        <v>79.838703327406648</v>
      </c>
      <c r="Z26" s="40"/>
      <c r="AA26" s="41"/>
      <c r="AB26" s="42"/>
      <c r="AC26" s="43">
        <v>80.349999999999994</v>
      </c>
      <c r="AD26" s="43"/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61</v>
      </c>
      <c r="E27" s="28">
        <v>69010832</v>
      </c>
      <c r="F27" s="29">
        <v>690112</v>
      </c>
      <c r="G27" s="55">
        <v>1255</v>
      </c>
      <c r="H27" s="31">
        <v>664</v>
      </c>
      <c r="I27" s="46">
        <v>800</v>
      </c>
      <c r="J27" s="32">
        <v>800</v>
      </c>
      <c r="K27" s="33">
        <f t="shared" si="1"/>
        <v>100.4</v>
      </c>
      <c r="L27" s="47">
        <f t="shared" si="1"/>
        <v>53.12</v>
      </c>
      <c r="M27" s="303">
        <v>1782</v>
      </c>
      <c r="N27" s="303">
        <v>1037</v>
      </c>
      <c r="O27" s="303">
        <v>1037</v>
      </c>
      <c r="P27" s="303">
        <v>1701</v>
      </c>
      <c r="Q27" s="35"/>
      <c r="R27" s="56">
        <v>2000</v>
      </c>
      <c r="S27" s="57"/>
      <c r="T27" s="57">
        <v>155</v>
      </c>
      <c r="U27" s="58"/>
      <c r="V27" s="59"/>
      <c r="W27" s="39"/>
      <c r="X27" s="39">
        <f>T27*1000/39.37/R27*38.5</f>
        <v>75.787401574803155</v>
      </c>
      <c r="Y27" s="40"/>
      <c r="Z27" s="40">
        <f t="shared" ref="Y27:Z30" si="7">(AD27+X27)/2</f>
        <v>75.843700787401588</v>
      </c>
      <c r="AA27" s="41"/>
      <c r="AB27" s="42"/>
      <c r="AC27" s="43"/>
      <c r="AD27" s="43">
        <v>75.900000000000006</v>
      </c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61</v>
      </c>
      <c r="E28" s="259" t="s">
        <v>262</v>
      </c>
      <c r="F28" s="29">
        <v>690112</v>
      </c>
      <c r="G28" s="45">
        <v>1366</v>
      </c>
      <c r="H28" s="31">
        <v>566</v>
      </c>
      <c r="I28" s="46">
        <v>800</v>
      </c>
      <c r="J28" s="32">
        <v>800</v>
      </c>
      <c r="K28" s="33">
        <f t="shared" si="1"/>
        <v>109.28</v>
      </c>
      <c r="L28" s="47">
        <f t="shared" si="1"/>
        <v>45.28</v>
      </c>
      <c r="M28" s="303">
        <v>0</v>
      </c>
      <c r="N28" s="303">
        <v>1366</v>
      </c>
      <c r="O28" s="303">
        <v>1366</v>
      </c>
      <c r="P28" s="303">
        <v>1932</v>
      </c>
      <c r="Q28" s="35">
        <v>2000</v>
      </c>
      <c r="R28" s="48">
        <v>450</v>
      </c>
      <c r="S28" s="36">
        <v>154.9</v>
      </c>
      <c r="T28" s="36">
        <v>34.200000000000003</v>
      </c>
      <c r="U28" s="37"/>
      <c r="V28" s="38"/>
      <c r="W28" s="39">
        <f>S28*1000/39.37/Q28*38.5</f>
        <v>75.738506477012962</v>
      </c>
      <c r="X28" s="39">
        <f>T28*1000/39.37/R28*38.5</f>
        <v>74.32054864109729</v>
      </c>
      <c r="Y28" s="40">
        <f t="shared" si="7"/>
        <v>77.169253238506485</v>
      </c>
      <c r="Z28" s="40">
        <f t="shared" si="7"/>
        <v>76.005274320548637</v>
      </c>
      <c r="AA28" s="41"/>
      <c r="AB28" s="42"/>
      <c r="AC28" s="43">
        <v>78.599999999999994</v>
      </c>
      <c r="AD28" s="43">
        <v>77.69</v>
      </c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43</v>
      </c>
      <c r="E29" s="28">
        <v>69010817</v>
      </c>
      <c r="F29" s="29">
        <v>690119</v>
      </c>
      <c r="G29" s="45">
        <v>1142</v>
      </c>
      <c r="H29" s="31">
        <v>512</v>
      </c>
      <c r="I29" s="46">
        <v>800</v>
      </c>
      <c r="J29" s="32">
        <v>800</v>
      </c>
      <c r="K29" s="33">
        <f t="shared" si="1"/>
        <v>91.36</v>
      </c>
      <c r="L29" s="47">
        <f t="shared" si="1"/>
        <v>40.96</v>
      </c>
      <c r="M29" s="303">
        <v>390</v>
      </c>
      <c r="N29" s="303">
        <v>1532</v>
      </c>
      <c r="O29" s="303">
        <v>1532</v>
      </c>
      <c r="P29" s="303">
        <v>2044</v>
      </c>
      <c r="Q29" s="35">
        <v>1945</v>
      </c>
      <c r="R29" s="48"/>
      <c r="S29" s="36">
        <v>156.69999999999999</v>
      </c>
      <c r="T29" s="36"/>
      <c r="U29" s="37">
        <v>20</v>
      </c>
      <c r="V29" s="38"/>
      <c r="W29" s="39">
        <f>S29*1000/39.37/Q29*38.5</f>
        <v>78.785211554998952</v>
      </c>
      <c r="X29" s="39"/>
      <c r="Y29" s="40">
        <f t="shared" si="7"/>
        <v>79.732605777499487</v>
      </c>
      <c r="Z29" s="40"/>
      <c r="AA29" s="41"/>
      <c r="AB29" s="42"/>
      <c r="AC29" s="43">
        <v>80.680000000000007</v>
      </c>
      <c r="AD29" s="43"/>
    </row>
    <row r="30" spans="1:35" ht="24" customHeight="1" x14ac:dyDescent="0.4">
      <c r="A30" s="249" t="s">
        <v>80</v>
      </c>
      <c r="B30" s="246" t="s">
        <v>76</v>
      </c>
      <c r="C30" s="253" t="s">
        <v>75</v>
      </c>
      <c r="D30" s="256" t="s">
        <v>43</v>
      </c>
      <c r="E30" s="28">
        <v>69010841</v>
      </c>
      <c r="F30" s="29">
        <v>690108</v>
      </c>
      <c r="G30" s="45">
        <v>1030</v>
      </c>
      <c r="H30" s="31">
        <v>382</v>
      </c>
      <c r="I30" s="46">
        <v>800</v>
      </c>
      <c r="J30" s="32">
        <v>800</v>
      </c>
      <c r="K30" s="33">
        <f t="shared" si="1"/>
        <v>82.4</v>
      </c>
      <c r="L30" s="47">
        <f t="shared" si="1"/>
        <v>30.56</v>
      </c>
      <c r="M30" s="303">
        <v>2208</v>
      </c>
      <c r="N30" s="303">
        <v>738</v>
      </c>
      <c r="O30" s="303">
        <v>738</v>
      </c>
      <c r="P30" s="303">
        <v>1120</v>
      </c>
      <c r="Q30" s="35"/>
      <c r="R30" s="35">
        <v>2500</v>
      </c>
      <c r="S30" s="36"/>
      <c r="T30" s="36">
        <v>201.5</v>
      </c>
      <c r="U30" s="37"/>
      <c r="V30" s="38">
        <v>25</v>
      </c>
      <c r="W30" s="39"/>
      <c r="X30" s="39">
        <f>T30*1000/39.37/R30*38.5</f>
        <v>78.818897637795288</v>
      </c>
      <c r="Y30" s="40"/>
      <c r="Z30" s="40">
        <f t="shared" si="7"/>
        <v>79.724448818897642</v>
      </c>
      <c r="AA30" s="41"/>
      <c r="AB30" s="42"/>
      <c r="AC30" s="43"/>
      <c r="AD30" s="43">
        <v>80.63</v>
      </c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1"/>
        <v>0</v>
      </c>
      <c r="L31" s="47">
        <f t="shared" si="1"/>
        <v>0</v>
      </c>
      <c r="M31" s="303">
        <v>0</v>
      </c>
      <c r="N31" s="303">
        <v>0</v>
      </c>
      <c r="O31" s="303">
        <v>0</v>
      </c>
      <c r="P31" s="303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43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1"/>
        <v>0</v>
      </c>
      <c r="L32" s="47">
        <f t="shared" si="1"/>
        <v>0</v>
      </c>
      <c r="M32" s="303">
        <v>0</v>
      </c>
      <c r="N32" s="303">
        <v>0</v>
      </c>
      <c r="O32" s="303">
        <v>0</v>
      </c>
      <c r="P32" s="303">
        <v>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1"/>
        <v>0</v>
      </c>
      <c r="L33" s="47">
        <f t="shared" si="1"/>
        <v>0</v>
      </c>
      <c r="M33" s="303">
        <v>0</v>
      </c>
      <c r="N33" s="303">
        <v>0</v>
      </c>
      <c r="O33" s="303">
        <v>0</v>
      </c>
      <c r="P33" s="303">
        <v>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/>
      <c r="F34" s="29">
        <v>690119</v>
      </c>
      <c r="G34" s="60">
        <v>611</v>
      </c>
      <c r="H34" s="31">
        <v>0</v>
      </c>
      <c r="I34" s="46">
        <v>110</v>
      </c>
      <c r="J34" s="32">
        <v>110</v>
      </c>
      <c r="K34" s="33">
        <f t="shared" si="1"/>
        <v>48.88</v>
      </c>
      <c r="L34" s="47">
        <f t="shared" si="1"/>
        <v>0</v>
      </c>
      <c r="M34" s="303">
        <v>1215</v>
      </c>
      <c r="N34" s="303">
        <v>1826</v>
      </c>
      <c r="O34" s="303">
        <v>1826</v>
      </c>
      <c r="P34" s="303">
        <v>1826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771</v>
      </c>
      <c r="H35" s="31">
        <v>0</v>
      </c>
      <c r="I35" s="46">
        <v>110</v>
      </c>
      <c r="J35" s="32">
        <v>110</v>
      </c>
      <c r="K35" s="33">
        <f t="shared" si="1"/>
        <v>61.68</v>
      </c>
      <c r="L35" s="47">
        <f t="shared" si="1"/>
        <v>0</v>
      </c>
      <c r="M35" s="303">
        <v>1130</v>
      </c>
      <c r="N35" s="303">
        <v>401</v>
      </c>
      <c r="O35" s="303">
        <v>401</v>
      </c>
      <c r="P35" s="303">
        <v>401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57</v>
      </c>
      <c r="E36" s="28"/>
      <c r="F36" s="29">
        <v>690106</v>
      </c>
      <c r="G36" s="45">
        <v>0</v>
      </c>
      <c r="H36" s="31">
        <v>0</v>
      </c>
      <c r="I36" s="46">
        <v>115</v>
      </c>
      <c r="J36" s="32">
        <v>115</v>
      </c>
      <c r="K36" s="33">
        <f t="shared" si="1"/>
        <v>0</v>
      </c>
      <c r="L36" s="47">
        <f t="shared" si="1"/>
        <v>0</v>
      </c>
      <c r="M36" s="303">
        <v>368</v>
      </c>
      <c r="N36" s="303">
        <v>368</v>
      </c>
      <c r="O36" s="303">
        <v>368</v>
      </c>
      <c r="P36" s="303">
        <v>368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57</v>
      </c>
      <c r="E37" s="28">
        <v>69010835</v>
      </c>
      <c r="F37" s="29">
        <v>690106</v>
      </c>
      <c r="G37" s="45">
        <v>0</v>
      </c>
      <c r="H37" s="31">
        <v>0</v>
      </c>
      <c r="I37" s="46">
        <v>115</v>
      </c>
      <c r="J37" s="32">
        <v>115</v>
      </c>
      <c r="K37" s="33">
        <f t="shared" si="1"/>
        <v>0</v>
      </c>
      <c r="L37" s="47">
        <f t="shared" si="1"/>
        <v>0</v>
      </c>
      <c r="M37" s="303">
        <v>1368</v>
      </c>
      <c r="N37" s="303">
        <v>0</v>
      </c>
      <c r="O37" s="303">
        <v>0</v>
      </c>
      <c r="P37" s="303">
        <v>0</v>
      </c>
      <c r="Q37" s="35"/>
      <c r="R37" s="67">
        <v>1379</v>
      </c>
      <c r="S37" s="36"/>
      <c r="T37" s="36">
        <v>109.3</v>
      </c>
      <c r="U37" s="37"/>
      <c r="V37" s="37">
        <v>10</v>
      </c>
      <c r="W37" s="39"/>
      <c r="X37" s="39">
        <f>T37*1000/39.37/R37*31.5</f>
        <v>63.41631972604047</v>
      </c>
      <c r="Y37" s="40"/>
      <c r="Z37" s="40">
        <f t="shared" ref="Z37:Z39" si="8">(AD37+X37)/2</f>
        <v>65.153159863020235</v>
      </c>
      <c r="AA37" s="41"/>
      <c r="AB37" s="42"/>
      <c r="AC37" s="43"/>
      <c r="AD37" s="43">
        <v>66.89</v>
      </c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71</v>
      </c>
      <c r="E38" s="28">
        <v>69010834</v>
      </c>
      <c r="F38" s="29">
        <v>690106</v>
      </c>
      <c r="G38" s="45">
        <v>0</v>
      </c>
      <c r="H38" s="31">
        <v>0</v>
      </c>
      <c r="I38" s="46">
        <v>115</v>
      </c>
      <c r="J38" s="32">
        <v>115</v>
      </c>
      <c r="K38" s="33">
        <f t="shared" si="1"/>
        <v>0</v>
      </c>
      <c r="L38" s="47">
        <f t="shared" si="1"/>
        <v>0</v>
      </c>
      <c r="M38" s="303">
        <v>2176</v>
      </c>
      <c r="N38" s="303">
        <v>0</v>
      </c>
      <c r="O38" s="303">
        <v>0</v>
      </c>
      <c r="P38" s="303">
        <v>0</v>
      </c>
      <c r="Q38" s="35"/>
      <c r="R38" s="35">
        <v>2180</v>
      </c>
      <c r="S38" s="67"/>
      <c r="T38" s="36">
        <v>157.6</v>
      </c>
      <c r="U38" s="37"/>
      <c r="V38" s="37">
        <v>20</v>
      </c>
      <c r="W38" s="39"/>
      <c r="X38" s="39">
        <f>T38*1000/39.37/R38*31.5</f>
        <v>57.842207427534127</v>
      </c>
      <c r="Y38" s="40"/>
      <c r="Z38" s="40">
        <f t="shared" si="8"/>
        <v>58.331103713767064</v>
      </c>
      <c r="AA38" s="41"/>
      <c r="AB38" s="42"/>
      <c r="AC38" s="43"/>
      <c r="AD38" s="43">
        <v>58.82</v>
      </c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>
        <v>69010848</v>
      </c>
      <c r="F39" s="29">
        <v>690107</v>
      </c>
      <c r="G39" s="45">
        <v>843</v>
      </c>
      <c r="H39" s="31">
        <v>0</v>
      </c>
      <c r="I39" s="63">
        <v>115</v>
      </c>
      <c r="J39" s="64">
        <v>115</v>
      </c>
      <c r="K39" s="65">
        <f t="shared" ref="K39:L55" si="9">G39*8/100</f>
        <v>67.44</v>
      </c>
      <c r="L39" s="68">
        <f t="shared" si="9"/>
        <v>0</v>
      </c>
      <c r="M39" s="303">
        <v>677</v>
      </c>
      <c r="N39" s="303">
        <v>240</v>
      </c>
      <c r="O39" s="303">
        <v>240</v>
      </c>
      <c r="P39" s="303">
        <v>240</v>
      </c>
      <c r="Q39" s="35"/>
      <c r="R39" s="67">
        <v>1280</v>
      </c>
      <c r="S39" s="36"/>
      <c r="T39" s="36">
        <v>92.7</v>
      </c>
      <c r="U39" s="37"/>
      <c r="V39" s="37">
        <v>10</v>
      </c>
      <c r="W39" s="39"/>
      <c r="X39" s="39">
        <f>T39*1000/39.37/R39*38.5</f>
        <v>70.821493205486419</v>
      </c>
      <c r="Y39" s="40"/>
      <c r="Z39" s="40">
        <f t="shared" si="8"/>
        <v>70.48074660274321</v>
      </c>
      <c r="AA39" s="41"/>
      <c r="AB39" s="42"/>
      <c r="AC39" s="43"/>
      <c r="AD39" s="43">
        <v>70.14</v>
      </c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43</v>
      </c>
      <c r="E40" s="28">
        <v>69010859</v>
      </c>
      <c r="F40" s="29">
        <v>690106</v>
      </c>
      <c r="G40" s="45">
        <v>761</v>
      </c>
      <c r="H40" s="31">
        <v>0</v>
      </c>
      <c r="I40" s="63">
        <v>115</v>
      </c>
      <c r="J40" s="64">
        <v>115</v>
      </c>
      <c r="K40" s="65">
        <f t="shared" si="9"/>
        <v>60.88</v>
      </c>
      <c r="L40" s="68">
        <f t="shared" si="9"/>
        <v>0</v>
      </c>
      <c r="M40" s="303">
        <v>1560</v>
      </c>
      <c r="N40" s="303">
        <v>66</v>
      </c>
      <c r="O40" s="303">
        <v>66</v>
      </c>
      <c r="P40" s="303">
        <v>66</v>
      </c>
      <c r="Q40" s="35"/>
      <c r="R40" s="67">
        <v>2255</v>
      </c>
      <c r="S40" s="36"/>
      <c r="T40" s="36">
        <v>180.4</v>
      </c>
      <c r="U40" s="37"/>
      <c r="V40" s="37">
        <v>20</v>
      </c>
      <c r="W40" s="39"/>
      <c r="X40" s="39">
        <f>T40*1000/39.37/R40*38.5</f>
        <v>78.232156464312936</v>
      </c>
      <c r="Y40" s="40"/>
      <c r="Z40" s="40">
        <v>79.28</v>
      </c>
      <c r="AA40" s="41"/>
      <c r="AB40" s="42"/>
      <c r="AC40" s="43"/>
      <c r="AD40" s="43">
        <v>80.319999999999993</v>
      </c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/>
      <c r="F41" s="29">
        <v>690119</v>
      </c>
      <c r="G41" s="45">
        <v>752</v>
      </c>
      <c r="H41" s="31">
        <v>0</v>
      </c>
      <c r="I41" s="46">
        <v>120</v>
      </c>
      <c r="J41" s="32">
        <v>120</v>
      </c>
      <c r="K41" s="33">
        <f t="shared" si="9"/>
        <v>60.16</v>
      </c>
      <c r="L41" s="47">
        <f t="shared" si="9"/>
        <v>0</v>
      </c>
      <c r="M41" s="303">
        <v>1172</v>
      </c>
      <c r="N41" s="303">
        <v>1924</v>
      </c>
      <c r="O41" s="303">
        <v>1924</v>
      </c>
      <c r="P41" s="303">
        <v>1924</v>
      </c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47</v>
      </c>
      <c r="E42" s="28"/>
      <c r="F42" s="29">
        <v>690119</v>
      </c>
      <c r="G42" s="45">
        <v>755</v>
      </c>
      <c r="H42" s="31">
        <v>541</v>
      </c>
      <c r="I42" s="46">
        <v>120</v>
      </c>
      <c r="J42" s="32">
        <v>120</v>
      </c>
      <c r="K42" s="33">
        <f t="shared" si="9"/>
        <v>60.4</v>
      </c>
      <c r="L42" s="47">
        <f t="shared" si="9"/>
        <v>43.28</v>
      </c>
      <c r="M42" s="303">
        <v>1145</v>
      </c>
      <c r="N42" s="303">
        <v>1900</v>
      </c>
      <c r="O42" s="303">
        <v>1900</v>
      </c>
      <c r="P42" s="303">
        <v>2441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47</v>
      </c>
      <c r="E43" s="28">
        <v>69010813</v>
      </c>
      <c r="F43" s="29">
        <v>690119</v>
      </c>
      <c r="G43" s="45">
        <v>576</v>
      </c>
      <c r="H43" s="31">
        <v>599</v>
      </c>
      <c r="I43" s="46">
        <v>120</v>
      </c>
      <c r="J43" s="32">
        <v>120</v>
      </c>
      <c r="K43" s="33">
        <f t="shared" si="9"/>
        <v>46.08</v>
      </c>
      <c r="L43" s="47">
        <f t="shared" si="9"/>
        <v>47.92</v>
      </c>
      <c r="M43" s="303">
        <v>0</v>
      </c>
      <c r="N43" s="303">
        <v>576</v>
      </c>
      <c r="O43" s="303">
        <v>576</v>
      </c>
      <c r="P43" s="303">
        <v>1175</v>
      </c>
      <c r="Q43" s="35">
        <v>2724</v>
      </c>
      <c r="R43" s="48"/>
      <c r="S43" s="36">
        <v>229.9</v>
      </c>
      <c r="T43" s="36"/>
      <c r="U43" s="37">
        <v>25</v>
      </c>
      <c r="V43" s="38"/>
      <c r="W43" s="39">
        <f>S43*1000/39.37/Q43*38.5</f>
        <v>82.532914698722209</v>
      </c>
      <c r="X43" s="39"/>
      <c r="Y43" s="40">
        <f t="shared" ref="Y43" si="10">(AC43+W43)/2</f>
        <v>84.221457349361103</v>
      </c>
      <c r="Z43" s="40"/>
      <c r="AA43" s="41"/>
      <c r="AB43" s="42"/>
      <c r="AC43" s="43">
        <v>85.91</v>
      </c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/>
      <c r="F44" s="29">
        <v>690128</v>
      </c>
      <c r="G44" s="69">
        <v>626</v>
      </c>
      <c r="H44" s="31">
        <v>473</v>
      </c>
      <c r="I44" s="46">
        <v>120</v>
      </c>
      <c r="J44" s="32">
        <v>120</v>
      </c>
      <c r="K44" s="33">
        <f t="shared" si="9"/>
        <v>50.08</v>
      </c>
      <c r="L44" s="47">
        <f t="shared" si="9"/>
        <v>37.840000000000003</v>
      </c>
      <c r="M44" s="303">
        <v>325</v>
      </c>
      <c r="N44" s="303">
        <v>951</v>
      </c>
      <c r="O44" s="303">
        <v>951</v>
      </c>
      <c r="P44" s="303">
        <v>1424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47</v>
      </c>
      <c r="E45" s="28"/>
      <c r="F45" s="29">
        <v>690119</v>
      </c>
      <c r="G45" s="45">
        <v>0</v>
      </c>
      <c r="H45" s="31">
        <v>522</v>
      </c>
      <c r="I45" s="63">
        <v>120</v>
      </c>
      <c r="J45" s="64">
        <v>120</v>
      </c>
      <c r="K45" s="65">
        <f t="shared" si="9"/>
        <v>0</v>
      </c>
      <c r="L45" s="68">
        <f t="shared" si="9"/>
        <v>41.76</v>
      </c>
      <c r="M45" s="308">
        <v>194</v>
      </c>
      <c r="N45" s="303">
        <v>194</v>
      </c>
      <c r="O45" s="303">
        <v>194</v>
      </c>
      <c r="P45" s="308">
        <v>716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>
        <v>69010854</v>
      </c>
      <c r="F46" s="29">
        <v>690128</v>
      </c>
      <c r="G46" s="45">
        <v>653</v>
      </c>
      <c r="H46" s="31">
        <v>0</v>
      </c>
      <c r="I46" s="46">
        <v>650</v>
      </c>
      <c r="J46" s="32">
        <v>650</v>
      </c>
      <c r="K46" s="33">
        <f t="shared" si="9"/>
        <v>52.24</v>
      </c>
      <c r="L46" s="47">
        <f t="shared" si="9"/>
        <v>0</v>
      </c>
      <c r="M46" s="305">
        <v>1051</v>
      </c>
      <c r="N46" s="303">
        <v>204</v>
      </c>
      <c r="O46" s="303">
        <v>204</v>
      </c>
      <c r="P46" s="305">
        <v>204</v>
      </c>
      <c r="Q46" s="35"/>
      <c r="R46" s="48">
        <v>1500</v>
      </c>
      <c r="S46" s="36"/>
      <c r="T46" s="36">
        <v>169.9</v>
      </c>
      <c r="U46" s="37"/>
      <c r="V46" s="38">
        <v>15</v>
      </c>
      <c r="W46" s="39"/>
      <c r="X46" s="39">
        <f>T46*1000/39.37/R46*42.5</f>
        <v>122.27161120988907</v>
      </c>
      <c r="Y46" s="40"/>
      <c r="Z46" s="40">
        <v>122.18</v>
      </c>
      <c r="AA46" s="41"/>
      <c r="AB46" s="42"/>
      <c r="AC46" s="239"/>
      <c r="AD46" s="43">
        <v>122.09</v>
      </c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59" t="s">
        <v>265</v>
      </c>
      <c r="F47" s="29">
        <v>690128</v>
      </c>
      <c r="G47" s="45">
        <v>590</v>
      </c>
      <c r="H47" s="31">
        <v>0</v>
      </c>
      <c r="I47" s="63">
        <v>650</v>
      </c>
      <c r="J47" s="64">
        <v>650</v>
      </c>
      <c r="K47" s="65">
        <f t="shared" si="9"/>
        <v>47.2</v>
      </c>
      <c r="L47" s="68">
        <f t="shared" si="9"/>
        <v>0</v>
      </c>
      <c r="M47" s="303">
        <v>773</v>
      </c>
      <c r="N47" s="303">
        <v>44</v>
      </c>
      <c r="O47" s="303">
        <v>44</v>
      </c>
      <c r="P47" s="303">
        <v>44</v>
      </c>
      <c r="Q47" s="35">
        <v>1450</v>
      </c>
      <c r="R47" s="48">
        <v>1319</v>
      </c>
      <c r="S47" s="36">
        <v>162.1</v>
      </c>
      <c r="T47" s="36">
        <v>148.30000000000001</v>
      </c>
      <c r="U47" s="37">
        <v>15</v>
      </c>
      <c r="V47" s="38">
        <v>10</v>
      </c>
      <c r="W47" s="39">
        <f>S47*1000/39.37/Q47*42.5</f>
        <v>120.68089653420685</v>
      </c>
      <c r="X47" s="39">
        <f>T47*1000/39.37/R47*42.5</f>
        <v>121.37238072808218</v>
      </c>
      <c r="Y47" s="40">
        <f t="shared" ref="Y47:Y48" si="11">(AC47+W47)/2</f>
        <v>121.57544826710343</v>
      </c>
      <c r="Z47" s="40">
        <v>123.18</v>
      </c>
      <c r="AA47" s="41"/>
      <c r="AB47" s="42"/>
      <c r="AC47" s="239">
        <v>122.47</v>
      </c>
      <c r="AD47" s="43">
        <v>124.99</v>
      </c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>
        <v>69010821</v>
      </c>
      <c r="F48" s="29">
        <v>690128</v>
      </c>
      <c r="G48" s="69">
        <v>591</v>
      </c>
      <c r="H48" s="31">
        <v>0</v>
      </c>
      <c r="I48" s="63">
        <v>650</v>
      </c>
      <c r="J48" s="64">
        <v>650</v>
      </c>
      <c r="K48" s="65">
        <f t="shared" si="9"/>
        <v>47.28</v>
      </c>
      <c r="L48" s="68">
        <f t="shared" si="9"/>
        <v>0</v>
      </c>
      <c r="M48" s="303">
        <v>821</v>
      </c>
      <c r="N48" s="303">
        <v>1412</v>
      </c>
      <c r="O48" s="303">
        <v>1412</v>
      </c>
      <c r="P48" s="303">
        <v>1412</v>
      </c>
      <c r="Q48" s="35">
        <v>1495</v>
      </c>
      <c r="R48" s="48"/>
      <c r="S48" s="36">
        <v>166.8</v>
      </c>
      <c r="T48" s="36"/>
      <c r="U48" s="37">
        <v>15</v>
      </c>
      <c r="V48" s="38"/>
      <c r="W48" s="39">
        <f>S48*1000/39.37/Q48*42.5</f>
        <v>120.44211379392659</v>
      </c>
      <c r="X48" s="39"/>
      <c r="Y48" s="40">
        <f t="shared" si="11"/>
        <v>122.48605689696331</v>
      </c>
      <c r="Z48" s="40"/>
      <c r="AA48" s="41"/>
      <c r="AB48" s="42"/>
      <c r="AC48" s="239">
        <v>124.53</v>
      </c>
      <c r="AD48" s="43"/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47</v>
      </c>
      <c r="E49" s="28">
        <v>69010840</v>
      </c>
      <c r="F49" s="29">
        <v>690119</v>
      </c>
      <c r="G49" s="73">
        <v>733</v>
      </c>
      <c r="H49" s="31">
        <v>370</v>
      </c>
      <c r="I49" s="46">
        <v>650</v>
      </c>
      <c r="J49" s="32">
        <v>650</v>
      </c>
      <c r="K49" s="33">
        <f t="shared" si="9"/>
        <v>58.64</v>
      </c>
      <c r="L49" s="47">
        <f t="shared" si="9"/>
        <v>29.6</v>
      </c>
      <c r="M49" s="303">
        <v>1753</v>
      </c>
      <c r="N49" s="303">
        <v>383</v>
      </c>
      <c r="O49" s="303">
        <v>383</v>
      </c>
      <c r="P49" s="303">
        <v>753</v>
      </c>
      <c r="Q49" s="35"/>
      <c r="R49" s="48">
        <v>2103</v>
      </c>
      <c r="S49" s="36"/>
      <c r="T49" s="36">
        <v>173.3</v>
      </c>
      <c r="U49" s="37"/>
      <c r="V49" s="38">
        <v>20</v>
      </c>
      <c r="W49" s="39"/>
      <c r="X49" s="39">
        <f>T49*1000/39.37/R49*38.5</f>
        <v>80.585073200579131</v>
      </c>
      <c r="Y49" s="40"/>
      <c r="Z49" s="40">
        <f t="shared" ref="Y49:Z52" si="12">(AD49+X49)/2</f>
        <v>81.077536600289562</v>
      </c>
      <c r="AA49" s="41"/>
      <c r="AB49" s="42"/>
      <c r="AC49" s="43"/>
      <c r="AD49" s="43">
        <v>81.569999999999993</v>
      </c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47</v>
      </c>
      <c r="E50" s="28">
        <v>69010810</v>
      </c>
      <c r="F50" s="29">
        <v>690119</v>
      </c>
      <c r="G50" s="74">
        <v>834</v>
      </c>
      <c r="H50" s="31">
        <v>0</v>
      </c>
      <c r="I50" s="46">
        <v>650</v>
      </c>
      <c r="J50" s="32">
        <v>650</v>
      </c>
      <c r="K50" s="33">
        <f t="shared" si="9"/>
        <v>66.72</v>
      </c>
      <c r="L50" s="47">
        <f t="shared" si="9"/>
        <v>0</v>
      </c>
      <c r="M50" s="309">
        <v>442</v>
      </c>
      <c r="N50" s="303">
        <v>1276</v>
      </c>
      <c r="O50" s="303">
        <v>1276</v>
      </c>
      <c r="P50" s="309">
        <v>1276</v>
      </c>
      <c r="Q50" s="35">
        <v>2500</v>
      </c>
      <c r="R50" s="48"/>
      <c r="S50" s="36">
        <v>206.2</v>
      </c>
      <c r="T50" s="36"/>
      <c r="U50" s="37">
        <v>25</v>
      </c>
      <c r="V50" s="38"/>
      <c r="W50" s="39">
        <f>S50*1000/39.37/Q50*38.5</f>
        <v>80.65735331470664</v>
      </c>
      <c r="X50" s="39"/>
      <c r="Y50" s="40">
        <f t="shared" si="12"/>
        <v>81.593676657353313</v>
      </c>
      <c r="Z50" s="40"/>
      <c r="AA50" s="41"/>
      <c r="AB50" s="42"/>
      <c r="AC50" s="43">
        <v>82.53</v>
      </c>
      <c r="AD50" s="43"/>
    </row>
    <row r="51" spans="1:35" ht="27.75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52</v>
      </c>
      <c r="E51" s="259" t="s">
        <v>267</v>
      </c>
      <c r="F51" s="29">
        <v>690113</v>
      </c>
      <c r="G51" s="45">
        <v>556</v>
      </c>
      <c r="H51" s="31">
        <v>512</v>
      </c>
      <c r="I51" s="46">
        <v>650</v>
      </c>
      <c r="J51" s="32">
        <v>650</v>
      </c>
      <c r="K51" s="33">
        <f t="shared" si="9"/>
        <v>44.48</v>
      </c>
      <c r="L51" s="47">
        <f t="shared" si="9"/>
        <v>40.96</v>
      </c>
      <c r="M51" s="310">
        <v>778</v>
      </c>
      <c r="N51" s="303">
        <v>204</v>
      </c>
      <c r="O51" s="303">
        <v>204</v>
      </c>
      <c r="P51" s="310">
        <v>716</v>
      </c>
      <c r="Q51" s="35">
        <v>2500</v>
      </c>
      <c r="R51" s="48">
        <v>1130</v>
      </c>
      <c r="S51" s="36">
        <v>181.8</v>
      </c>
      <c r="T51" s="36">
        <v>82.1</v>
      </c>
      <c r="U51" s="37">
        <v>25</v>
      </c>
      <c r="V51" s="38">
        <v>10</v>
      </c>
      <c r="W51" s="39">
        <f>S51*1000/39.37/Q51*35.5</f>
        <v>65.571755143510302</v>
      </c>
      <c r="X51" s="39">
        <f>T51*1000/39.37/R51*35.5</f>
        <v>65.513024831359402</v>
      </c>
      <c r="Y51" s="40">
        <f t="shared" si="12"/>
        <v>66.290877571755146</v>
      </c>
      <c r="Z51" s="40">
        <v>66.400000000000006</v>
      </c>
      <c r="AA51" s="41"/>
      <c r="AB51" s="42"/>
      <c r="AC51" s="43">
        <v>67.010000000000005</v>
      </c>
      <c r="AD51" s="43">
        <v>67.28</v>
      </c>
    </row>
    <row r="52" spans="1:35" ht="27.75" customHeight="1" x14ac:dyDescent="0.4">
      <c r="A52" s="251" t="s">
        <v>110</v>
      </c>
      <c r="B52" s="246" t="s">
        <v>46</v>
      </c>
      <c r="C52" s="253" t="s">
        <v>45</v>
      </c>
      <c r="D52" s="256" t="s">
        <v>47</v>
      </c>
      <c r="E52" s="28">
        <v>69010839</v>
      </c>
      <c r="F52" s="29">
        <v>690119</v>
      </c>
      <c r="G52" s="45">
        <v>915</v>
      </c>
      <c r="H52" s="31">
        <v>850</v>
      </c>
      <c r="I52" s="46">
        <v>125</v>
      </c>
      <c r="J52" s="32">
        <v>125</v>
      </c>
      <c r="K52" s="33">
        <f t="shared" si="9"/>
        <v>73.2</v>
      </c>
      <c r="L52" s="47">
        <f t="shared" si="9"/>
        <v>68</v>
      </c>
      <c r="M52" s="307">
        <v>2300</v>
      </c>
      <c r="N52" s="303">
        <v>715</v>
      </c>
      <c r="O52" s="303">
        <v>715</v>
      </c>
      <c r="P52" s="307">
        <v>1565</v>
      </c>
      <c r="Q52" s="35"/>
      <c r="R52" s="48">
        <v>2500</v>
      </c>
      <c r="S52" s="36"/>
      <c r="T52" s="36">
        <v>206.3</v>
      </c>
      <c r="U52" s="37"/>
      <c r="V52" s="38">
        <v>25</v>
      </c>
      <c r="W52" s="39"/>
      <c r="X52" s="39">
        <f>T52*1000/39.37/R52*38.5</f>
        <v>80.696469392938781</v>
      </c>
      <c r="Y52" s="40"/>
      <c r="Z52" s="40">
        <f t="shared" si="12"/>
        <v>80.83323469646939</v>
      </c>
      <c r="AA52" s="41"/>
      <c r="AB52" s="42"/>
      <c r="AC52" s="43"/>
      <c r="AD52" s="43">
        <v>80.97</v>
      </c>
    </row>
    <row r="53" spans="1:35" ht="27.75" customHeight="1" x14ac:dyDescent="0.4">
      <c r="A53" s="251" t="s">
        <v>111</v>
      </c>
      <c r="B53" s="246" t="s">
        <v>46</v>
      </c>
      <c r="C53" s="253" t="s">
        <v>45</v>
      </c>
      <c r="D53" s="256" t="s">
        <v>52</v>
      </c>
      <c r="E53" s="28">
        <v>69010863</v>
      </c>
      <c r="F53" s="29">
        <v>690113</v>
      </c>
      <c r="G53" s="69">
        <v>780</v>
      </c>
      <c r="H53" s="31">
        <v>800</v>
      </c>
      <c r="I53" s="46">
        <v>125</v>
      </c>
      <c r="J53" s="32">
        <v>125</v>
      </c>
      <c r="K53" s="33">
        <f t="shared" si="9"/>
        <v>62.4</v>
      </c>
      <c r="L53" s="47">
        <f t="shared" si="9"/>
        <v>64</v>
      </c>
      <c r="M53" s="303">
        <v>2400</v>
      </c>
      <c r="N53" s="303">
        <v>380</v>
      </c>
      <c r="O53" s="303">
        <v>380</v>
      </c>
      <c r="P53" s="303">
        <v>1180</v>
      </c>
      <c r="Q53" s="35"/>
      <c r="R53" s="48">
        <v>2800</v>
      </c>
      <c r="S53" s="36"/>
      <c r="T53" s="36">
        <v>201.2</v>
      </c>
      <c r="U53" s="37"/>
      <c r="V53" s="38">
        <v>25</v>
      </c>
      <c r="W53" s="39"/>
      <c r="X53" s="39">
        <f>T53*1000/39.37/R53*35.5</f>
        <v>64.793715301716318</v>
      </c>
      <c r="Y53" s="40"/>
      <c r="Z53" s="40">
        <v>65.14</v>
      </c>
      <c r="AA53" s="41"/>
      <c r="AB53" s="42"/>
      <c r="AC53" s="43"/>
      <c r="AD53" s="43">
        <v>65.489999999999995</v>
      </c>
    </row>
    <row r="54" spans="1:35" ht="27.75" customHeight="1" x14ac:dyDescent="0.4">
      <c r="A54" s="251" t="s">
        <v>112</v>
      </c>
      <c r="B54" s="246" t="s">
        <v>46</v>
      </c>
      <c r="C54" s="253" t="s">
        <v>45</v>
      </c>
      <c r="D54" s="256" t="s">
        <v>47</v>
      </c>
      <c r="E54" s="28"/>
      <c r="F54" s="29">
        <v>690106</v>
      </c>
      <c r="G54" s="69">
        <v>785</v>
      </c>
      <c r="H54" s="31">
        <v>805</v>
      </c>
      <c r="I54" s="63">
        <v>125</v>
      </c>
      <c r="J54" s="64">
        <v>125</v>
      </c>
      <c r="K54" s="65">
        <f t="shared" si="9"/>
        <v>62.8</v>
      </c>
      <c r="L54" s="68">
        <f t="shared" si="9"/>
        <v>64.400000000000006</v>
      </c>
      <c r="M54" s="303">
        <v>950</v>
      </c>
      <c r="N54" s="303">
        <v>1735</v>
      </c>
      <c r="O54" s="303">
        <v>1735</v>
      </c>
      <c r="P54" s="303">
        <v>0</v>
      </c>
      <c r="Q54" s="35"/>
      <c r="R54" s="48"/>
      <c r="S54" s="36"/>
      <c r="T54" s="36"/>
      <c r="U54" s="37"/>
      <c r="V54" s="38"/>
      <c r="W54" s="39"/>
      <c r="X54" s="39"/>
      <c r="Y54" s="40"/>
      <c r="Z54" s="40"/>
      <c r="AA54" s="41"/>
      <c r="AB54" s="42"/>
      <c r="AC54" s="43"/>
      <c r="AD54" s="43"/>
    </row>
    <row r="55" spans="1:35" ht="27.75" customHeight="1" x14ac:dyDescent="0.4">
      <c r="A55" s="251" t="s">
        <v>113</v>
      </c>
      <c r="B55" s="246" t="s">
        <v>46</v>
      </c>
      <c r="C55" s="253" t="s">
        <v>45</v>
      </c>
      <c r="D55" s="256" t="s">
        <v>47</v>
      </c>
      <c r="E55" s="28">
        <v>69010811</v>
      </c>
      <c r="F55" s="29">
        <v>690106</v>
      </c>
      <c r="G55" s="45">
        <v>920</v>
      </c>
      <c r="H55" s="31">
        <v>800</v>
      </c>
      <c r="I55" s="46">
        <v>125</v>
      </c>
      <c r="J55" s="32">
        <v>125</v>
      </c>
      <c r="K55" s="33">
        <f t="shared" si="9"/>
        <v>73.599999999999994</v>
      </c>
      <c r="L55" s="47">
        <f t="shared" si="9"/>
        <v>64</v>
      </c>
      <c r="M55" s="303">
        <v>340</v>
      </c>
      <c r="N55" s="303">
        <v>1260</v>
      </c>
      <c r="O55" s="303">
        <v>1260</v>
      </c>
      <c r="P55" s="303">
        <v>2060</v>
      </c>
      <c r="Q55" s="35">
        <v>2500</v>
      </c>
      <c r="R55" s="48"/>
      <c r="S55" s="36">
        <v>206.3</v>
      </c>
      <c r="T55" s="36"/>
      <c r="U55" s="37">
        <v>25</v>
      </c>
      <c r="V55" s="38"/>
      <c r="W55" s="39">
        <f>S55*1000/39.37/Q55*38.5</f>
        <v>80.696469392938781</v>
      </c>
      <c r="X55" s="39"/>
      <c r="Y55" s="40">
        <f t="shared" ref="Y55:Z58" si="13">(AC55+W55)/2</f>
        <v>80.798234696469393</v>
      </c>
      <c r="Z55" s="40"/>
      <c r="AA55" s="41"/>
      <c r="AB55" s="42"/>
      <c r="AC55" s="43">
        <v>80.900000000000006</v>
      </c>
      <c r="AD55" s="43"/>
    </row>
    <row r="56" spans="1:35" ht="27.75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>
        <v>69010838</v>
      </c>
      <c r="F56" s="29">
        <v>690106</v>
      </c>
      <c r="G56" s="45">
        <v>545</v>
      </c>
      <c r="H56" s="31">
        <v>0</v>
      </c>
      <c r="I56" s="63">
        <v>115</v>
      </c>
      <c r="J56" s="64">
        <v>115</v>
      </c>
      <c r="K56" s="65">
        <v>0</v>
      </c>
      <c r="L56" s="68">
        <v>0</v>
      </c>
      <c r="M56" s="303">
        <v>1955</v>
      </c>
      <c r="N56" s="303">
        <v>240</v>
      </c>
      <c r="O56" s="303">
        <v>240</v>
      </c>
      <c r="P56" s="303">
        <v>240</v>
      </c>
      <c r="Q56" s="35"/>
      <c r="R56" s="48">
        <v>2260</v>
      </c>
      <c r="S56" s="36"/>
      <c r="T56" s="36">
        <v>189.4</v>
      </c>
      <c r="U56" s="37"/>
      <c r="V56" s="38">
        <v>20</v>
      </c>
      <c r="W56" s="39"/>
      <c r="X56" s="39">
        <f>T56*1000/39.37/R56*38.5</f>
        <v>81.953376296133115</v>
      </c>
      <c r="Y56" s="40"/>
      <c r="Z56" s="40">
        <f t="shared" si="13"/>
        <v>82.771688148066559</v>
      </c>
      <c r="AA56" s="41"/>
      <c r="AB56" s="41"/>
      <c r="AC56" s="43"/>
      <c r="AD56" s="43">
        <v>83.59</v>
      </c>
    </row>
    <row r="57" spans="1:35" ht="27.75" customHeight="1" thickBot="1" x14ac:dyDescent="0.55000000000000004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620</v>
      </c>
      <c r="H57" s="31">
        <v>0</v>
      </c>
      <c r="I57" s="46">
        <v>115</v>
      </c>
      <c r="J57" s="32">
        <v>115</v>
      </c>
      <c r="K57" s="33">
        <f t="shared" ref="K57:L82" si="14">G57*8/100</f>
        <v>49.6</v>
      </c>
      <c r="L57" s="47">
        <f t="shared" si="14"/>
        <v>0</v>
      </c>
      <c r="M57" s="308">
        <v>74</v>
      </c>
      <c r="N57" s="303">
        <v>694</v>
      </c>
      <c r="O57" s="303">
        <v>694</v>
      </c>
      <c r="P57" s="308">
        <v>694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>
        <v>69010849</v>
      </c>
      <c r="F58" s="29">
        <v>690107</v>
      </c>
      <c r="G58" s="45">
        <v>1020</v>
      </c>
      <c r="H58" s="31">
        <v>714</v>
      </c>
      <c r="I58" s="46">
        <v>135</v>
      </c>
      <c r="J58" s="32">
        <v>135</v>
      </c>
      <c r="K58" s="33">
        <f t="shared" si="14"/>
        <v>81.599999999999994</v>
      </c>
      <c r="L58" s="47">
        <f t="shared" si="14"/>
        <v>57.12</v>
      </c>
      <c r="M58" s="305">
        <v>1450</v>
      </c>
      <c r="N58" s="303">
        <v>300</v>
      </c>
      <c r="O58" s="303">
        <v>300</v>
      </c>
      <c r="P58" s="305">
        <v>1014</v>
      </c>
      <c r="Q58" s="35"/>
      <c r="R58" s="48">
        <v>2170</v>
      </c>
      <c r="S58" s="36"/>
      <c r="T58" s="36">
        <v>157</v>
      </c>
      <c r="U58" s="37"/>
      <c r="V58" s="38">
        <v>20</v>
      </c>
      <c r="W58" s="39"/>
      <c r="X58" s="39">
        <f>T58*1000/39.37/R58*38.5</f>
        <v>70.7514318254443</v>
      </c>
      <c r="Y58" s="40"/>
      <c r="Z58" s="40">
        <f t="shared" si="13"/>
        <v>68.645715912722153</v>
      </c>
      <c r="AA58" s="41"/>
      <c r="AB58" s="41"/>
      <c r="AC58" s="43"/>
      <c r="AD58" s="43">
        <v>66.540000000000006</v>
      </c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>
        <v>69010861</v>
      </c>
      <c r="F59" s="29">
        <v>690106</v>
      </c>
      <c r="G59" s="45">
        <v>880</v>
      </c>
      <c r="H59" s="31">
        <v>581</v>
      </c>
      <c r="I59" s="46">
        <v>135</v>
      </c>
      <c r="J59" s="32">
        <v>135</v>
      </c>
      <c r="K59" s="33">
        <f t="shared" si="14"/>
        <v>70.400000000000006</v>
      </c>
      <c r="L59" s="47">
        <f t="shared" si="14"/>
        <v>46.48</v>
      </c>
      <c r="M59" s="303">
        <v>1120</v>
      </c>
      <c r="N59" s="303">
        <v>140</v>
      </c>
      <c r="O59" s="303">
        <v>140</v>
      </c>
      <c r="P59" s="303">
        <v>721</v>
      </c>
      <c r="Q59" s="35"/>
      <c r="R59" s="48">
        <v>1860</v>
      </c>
      <c r="S59" s="36"/>
      <c r="T59" s="36">
        <v>146.69999999999999</v>
      </c>
      <c r="U59" s="37"/>
      <c r="V59" s="38">
        <v>15</v>
      </c>
      <c r="W59" s="39"/>
      <c r="X59" s="39">
        <f>T59*1000/39.37/R59*31.5</f>
        <v>63.10478749989759</v>
      </c>
      <c r="Y59" s="40"/>
      <c r="Z59" s="40">
        <v>65.41</v>
      </c>
      <c r="AA59" s="41"/>
      <c r="AB59" s="42"/>
      <c r="AC59" s="43"/>
      <c r="AD59" s="43">
        <v>67.709999999999994</v>
      </c>
      <c r="AI59" s="75"/>
    </row>
    <row r="60" spans="1:35" ht="26.25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59" t="s">
        <v>266</v>
      </c>
      <c r="F60" s="29">
        <v>690106</v>
      </c>
      <c r="G60" s="45">
        <v>895</v>
      </c>
      <c r="H60" s="31">
        <v>616</v>
      </c>
      <c r="I60" s="46">
        <v>135</v>
      </c>
      <c r="J60" s="64">
        <v>135</v>
      </c>
      <c r="K60" s="65">
        <f t="shared" si="14"/>
        <v>71.599999999999994</v>
      </c>
      <c r="L60" s="68">
        <f t="shared" si="14"/>
        <v>49.28</v>
      </c>
      <c r="M60" s="303">
        <v>340</v>
      </c>
      <c r="N60" s="303">
        <v>115</v>
      </c>
      <c r="O60" s="303">
        <v>115</v>
      </c>
      <c r="P60" s="303">
        <v>731</v>
      </c>
      <c r="Q60" s="35">
        <v>2530</v>
      </c>
      <c r="R60" s="48">
        <v>1120</v>
      </c>
      <c r="S60" s="36">
        <v>199.2</v>
      </c>
      <c r="T60" s="36">
        <v>89.3</v>
      </c>
      <c r="U60" s="37">
        <v>25</v>
      </c>
      <c r="V60" s="38">
        <v>10</v>
      </c>
      <c r="W60" s="39">
        <f>S60*1000/39.37/Q60*31.5</f>
        <v>62.996141802560288</v>
      </c>
      <c r="X60" s="39">
        <f>T60*1000/39.37/R60*31.5</f>
        <v>63.793815087630193</v>
      </c>
      <c r="Y60" s="40">
        <f t="shared" ref="Y60:Z62" si="15">(AC60+W60)/2</f>
        <v>64.123070901280144</v>
      </c>
      <c r="Z60" s="40">
        <v>64.47</v>
      </c>
      <c r="AA60" s="41"/>
      <c r="AB60" s="42"/>
      <c r="AC60" s="43">
        <v>65.25</v>
      </c>
      <c r="AD60" s="43" t="s">
        <v>0</v>
      </c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47</v>
      </c>
      <c r="E61" s="28">
        <v>69010852</v>
      </c>
      <c r="F61" s="29">
        <v>690106</v>
      </c>
      <c r="G61" s="45">
        <v>875</v>
      </c>
      <c r="H61" s="31">
        <v>472</v>
      </c>
      <c r="I61" s="46">
        <v>135</v>
      </c>
      <c r="J61" s="64">
        <v>135</v>
      </c>
      <c r="K61" s="65">
        <f t="shared" si="14"/>
        <v>70</v>
      </c>
      <c r="L61" s="68">
        <f t="shared" si="14"/>
        <v>37.76</v>
      </c>
      <c r="M61" s="303">
        <v>995</v>
      </c>
      <c r="N61" s="303">
        <v>270</v>
      </c>
      <c r="O61" s="303">
        <v>270</v>
      </c>
      <c r="P61" s="303">
        <v>742</v>
      </c>
      <c r="Q61" s="35"/>
      <c r="R61" s="48">
        <v>1600</v>
      </c>
      <c r="S61" s="36"/>
      <c r="T61" s="36">
        <v>134.1</v>
      </c>
      <c r="U61" s="37"/>
      <c r="V61" s="38">
        <v>15</v>
      </c>
      <c r="W61" s="39"/>
      <c r="X61" s="39">
        <f>T61*1000/39.37/R61*38.5</f>
        <v>81.960407670815343</v>
      </c>
      <c r="Y61" s="40"/>
      <c r="Z61" s="40">
        <f t="shared" si="15"/>
        <v>83.725203835407669</v>
      </c>
      <c r="AA61" s="41"/>
      <c r="AB61" s="42"/>
      <c r="AC61" s="43"/>
      <c r="AD61" s="43">
        <v>85.49</v>
      </c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47</v>
      </c>
      <c r="E62" s="28" t="s">
        <v>264</v>
      </c>
      <c r="F62" s="29">
        <v>690108</v>
      </c>
      <c r="G62" s="45">
        <v>930</v>
      </c>
      <c r="H62" s="31">
        <v>210</v>
      </c>
      <c r="I62" s="46">
        <v>135</v>
      </c>
      <c r="J62" s="32">
        <v>135</v>
      </c>
      <c r="K62" s="33">
        <f t="shared" si="14"/>
        <v>74.400000000000006</v>
      </c>
      <c r="L62" s="47">
        <f t="shared" si="14"/>
        <v>16.8</v>
      </c>
      <c r="M62" s="306">
        <v>1050</v>
      </c>
      <c r="N62" s="303">
        <v>380</v>
      </c>
      <c r="O62" s="303">
        <v>380</v>
      </c>
      <c r="P62" s="306">
        <v>590</v>
      </c>
      <c r="Q62" s="35">
        <v>515</v>
      </c>
      <c r="R62" s="48">
        <v>1600</v>
      </c>
      <c r="S62" s="36">
        <v>43.8</v>
      </c>
      <c r="T62" s="36">
        <v>131.4</v>
      </c>
      <c r="U62" s="37"/>
      <c r="V62" s="38">
        <v>15</v>
      </c>
      <c r="W62" s="39">
        <f>S62*1000/39.37/Q62*38.5</f>
        <v>83.169137212060832</v>
      </c>
      <c r="X62" s="39">
        <f>T62*1000/39.37/R62*38.5</f>
        <v>80.310198120396251</v>
      </c>
      <c r="Y62" s="40">
        <f t="shared" ref="Y62" si="16">(AC62+W62)/2</f>
        <v>82.554568606030415</v>
      </c>
      <c r="Z62" s="40">
        <f t="shared" si="15"/>
        <v>82.020099060198135</v>
      </c>
      <c r="AA62" s="41"/>
      <c r="AB62" s="42"/>
      <c r="AC62" s="43">
        <v>81.94</v>
      </c>
      <c r="AD62" s="43">
        <v>83.73</v>
      </c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57</v>
      </c>
      <c r="E63" s="28"/>
      <c r="F63" s="29">
        <v>690106</v>
      </c>
      <c r="G63" s="45">
        <v>950</v>
      </c>
      <c r="H63" s="31">
        <v>700</v>
      </c>
      <c r="I63" s="46">
        <v>135</v>
      </c>
      <c r="J63" s="64">
        <v>135</v>
      </c>
      <c r="K63" s="65">
        <f t="shared" si="14"/>
        <v>76</v>
      </c>
      <c r="L63" s="68">
        <f t="shared" si="14"/>
        <v>56</v>
      </c>
      <c r="M63" s="303">
        <v>880</v>
      </c>
      <c r="N63" s="303">
        <v>1830</v>
      </c>
      <c r="O63" s="303">
        <v>1830</v>
      </c>
      <c r="P63" s="303">
        <v>0</v>
      </c>
      <c r="Q63" s="35"/>
      <c r="R63" s="48"/>
      <c r="S63" s="36"/>
      <c r="T63" s="36"/>
      <c r="U63" s="37"/>
      <c r="V63" s="38"/>
      <c r="W63" s="39"/>
      <c r="X63" s="39"/>
      <c r="Y63" s="40"/>
      <c r="Z63" s="40"/>
      <c r="AA63" s="41"/>
      <c r="AB63" s="42"/>
      <c r="AC63" s="43"/>
      <c r="AD63" s="43"/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>
        <v>69010850</v>
      </c>
      <c r="F64" s="29">
        <v>690106</v>
      </c>
      <c r="G64" s="45">
        <v>1060</v>
      </c>
      <c r="H64" s="31">
        <v>900</v>
      </c>
      <c r="I64" s="46">
        <v>135</v>
      </c>
      <c r="J64" s="64">
        <v>135</v>
      </c>
      <c r="K64" s="65">
        <f t="shared" si="14"/>
        <v>84.8</v>
      </c>
      <c r="L64" s="76">
        <f t="shared" si="14"/>
        <v>72</v>
      </c>
      <c r="M64" s="303">
        <v>1565</v>
      </c>
      <c r="N64" s="303">
        <v>400</v>
      </c>
      <c r="O64" s="303">
        <v>400</v>
      </c>
      <c r="P64" s="303">
        <v>1300</v>
      </c>
      <c r="Q64" s="35"/>
      <c r="R64" s="48">
        <v>2225</v>
      </c>
      <c r="S64" s="36"/>
      <c r="T64" s="36">
        <v>178.6</v>
      </c>
      <c r="U64" s="37"/>
      <c r="V64" s="38">
        <v>20</v>
      </c>
      <c r="W64" s="39"/>
      <c r="X64" s="39">
        <f>T64*1000/39.37/R64*31.5</f>
        <v>64.223885751142305</v>
      </c>
      <c r="Y64" s="40"/>
      <c r="Z64" s="40">
        <f t="shared" ref="Y64:Z65" si="17">(AD64+X64)/2</f>
        <v>65.12694287557116</v>
      </c>
      <c r="AA64" s="41"/>
      <c r="AB64" s="42"/>
      <c r="AC64" s="43"/>
      <c r="AD64" s="43">
        <v>66.03</v>
      </c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>
        <v>69010819</v>
      </c>
      <c r="F65" s="29">
        <v>690106</v>
      </c>
      <c r="G65" s="69">
        <v>1000</v>
      </c>
      <c r="H65" s="31">
        <v>920</v>
      </c>
      <c r="I65" s="46">
        <v>135</v>
      </c>
      <c r="J65" s="32">
        <v>135</v>
      </c>
      <c r="K65" s="33">
        <f t="shared" si="14"/>
        <v>80</v>
      </c>
      <c r="L65" s="47">
        <f t="shared" si="14"/>
        <v>73.599999999999994</v>
      </c>
      <c r="M65" s="303">
        <v>200</v>
      </c>
      <c r="N65" s="303">
        <v>1200</v>
      </c>
      <c r="O65" s="303">
        <v>1200</v>
      </c>
      <c r="P65" s="303">
        <v>560</v>
      </c>
      <c r="Q65" s="35">
        <v>2610</v>
      </c>
      <c r="R65" s="48"/>
      <c r="S65" s="36">
        <v>205.5</v>
      </c>
      <c r="T65" s="36"/>
      <c r="U65" s="37">
        <v>25</v>
      </c>
      <c r="V65" s="38"/>
      <c r="W65" s="39">
        <f>S65*1000/39.37/Q65*31.5</f>
        <v>62.996505303355441</v>
      </c>
      <c r="X65" s="39"/>
      <c r="Y65" s="40">
        <f t="shared" si="17"/>
        <v>64.283252651677714</v>
      </c>
      <c r="Z65" s="40"/>
      <c r="AA65" s="41"/>
      <c r="AB65" s="42"/>
      <c r="AC65" s="43">
        <v>65.569999999999993</v>
      </c>
      <c r="AD65" s="43"/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1070</v>
      </c>
      <c r="H66" s="31">
        <v>850</v>
      </c>
      <c r="I66" s="46">
        <v>135</v>
      </c>
      <c r="J66" s="32">
        <v>135</v>
      </c>
      <c r="K66" s="33">
        <f t="shared" si="14"/>
        <v>85.6</v>
      </c>
      <c r="L66" s="47">
        <f t="shared" si="14"/>
        <v>68</v>
      </c>
      <c r="M66" s="303">
        <v>1380</v>
      </c>
      <c r="N66" s="303">
        <v>900</v>
      </c>
      <c r="O66" s="303">
        <v>900</v>
      </c>
      <c r="P66" s="303">
        <v>200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>
        <v>69010824</v>
      </c>
      <c r="F67" s="29">
        <v>690128</v>
      </c>
      <c r="G67" s="45">
        <v>940</v>
      </c>
      <c r="H67" s="31">
        <v>570</v>
      </c>
      <c r="I67" s="46">
        <v>135</v>
      </c>
      <c r="J67" s="32">
        <v>135</v>
      </c>
      <c r="K67" s="33">
        <f t="shared" si="14"/>
        <v>75.2</v>
      </c>
      <c r="L67" s="47">
        <f t="shared" si="14"/>
        <v>45.6</v>
      </c>
      <c r="M67" s="303">
        <v>90</v>
      </c>
      <c r="N67" s="303">
        <v>1030</v>
      </c>
      <c r="O67" s="303">
        <v>1030</v>
      </c>
      <c r="P67" s="303">
        <v>0</v>
      </c>
      <c r="Q67" s="35">
        <v>1700</v>
      </c>
      <c r="R67" s="48"/>
      <c r="S67" s="36">
        <v>190.5</v>
      </c>
      <c r="T67" s="36"/>
      <c r="U67" s="37">
        <v>15</v>
      </c>
      <c r="V67" s="38"/>
      <c r="W67" s="39">
        <f>S67*1000/39.37/Q67*42.5</f>
        <v>120.96774193548389</v>
      </c>
      <c r="X67" s="39"/>
      <c r="Y67" s="40">
        <f t="shared" ref="Y67:Z71" si="18">(AC67+W67)/2</f>
        <v>123.19387096774194</v>
      </c>
      <c r="Z67" s="40"/>
      <c r="AA67" s="41"/>
      <c r="AB67" s="235"/>
      <c r="AC67" s="239">
        <v>125.42</v>
      </c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43</v>
      </c>
      <c r="E68" s="28"/>
      <c r="F68" s="29">
        <v>690119</v>
      </c>
      <c r="G68" s="69">
        <v>630</v>
      </c>
      <c r="H68" s="31">
        <v>436</v>
      </c>
      <c r="I68" s="46">
        <v>130</v>
      </c>
      <c r="J68" s="32">
        <v>130</v>
      </c>
      <c r="K68" s="33">
        <f t="shared" si="14"/>
        <v>50.4</v>
      </c>
      <c r="L68" s="47">
        <f t="shared" si="14"/>
        <v>34.880000000000003</v>
      </c>
      <c r="M68" s="303">
        <v>733</v>
      </c>
      <c r="N68" s="303">
        <v>1363</v>
      </c>
      <c r="O68" s="303">
        <v>1363</v>
      </c>
      <c r="P68" s="303">
        <v>1799</v>
      </c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47</v>
      </c>
      <c r="E69" s="28">
        <v>69010843</v>
      </c>
      <c r="F69" s="29">
        <v>690119</v>
      </c>
      <c r="G69" s="69">
        <v>577</v>
      </c>
      <c r="H69" s="31">
        <v>550</v>
      </c>
      <c r="I69" s="46">
        <v>780</v>
      </c>
      <c r="J69" s="32">
        <v>780</v>
      </c>
      <c r="K69" s="33">
        <f t="shared" si="14"/>
        <v>46.16</v>
      </c>
      <c r="L69" s="47">
        <f t="shared" si="14"/>
        <v>44</v>
      </c>
      <c r="M69" s="303">
        <v>2345</v>
      </c>
      <c r="N69" s="303">
        <v>422</v>
      </c>
      <c r="O69" s="303">
        <v>422</v>
      </c>
      <c r="P69" s="303">
        <v>972</v>
      </c>
      <c r="Q69" s="35"/>
      <c r="R69" s="48">
        <v>2500</v>
      </c>
      <c r="S69" s="36"/>
      <c r="T69" s="36">
        <v>205</v>
      </c>
      <c r="U69" s="37"/>
      <c r="V69" s="38">
        <v>25</v>
      </c>
      <c r="W69" s="39"/>
      <c r="X69" s="39">
        <f>T69*1000/39.37/R69*38.5</f>
        <v>80.187960375920753</v>
      </c>
      <c r="Y69" s="40"/>
      <c r="Z69" s="40">
        <f t="shared" si="18"/>
        <v>80.428980187960377</v>
      </c>
      <c r="AA69" s="41"/>
      <c r="AB69" s="42"/>
      <c r="AC69" s="43"/>
      <c r="AD69" s="43">
        <v>80.67</v>
      </c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47</v>
      </c>
      <c r="E70" s="28">
        <v>69010857</v>
      </c>
      <c r="F70" s="29">
        <v>690119</v>
      </c>
      <c r="G70" s="45">
        <v>604</v>
      </c>
      <c r="H70" s="31">
        <v>550</v>
      </c>
      <c r="I70" s="46">
        <v>780</v>
      </c>
      <c r="J70" s="32">
        <v>780</v>
      </c>
      <c r="K70" s="33">
        <f t="shared" si="14"/>
        <v>48.32</v>
      </c>
      <c r="L70" s="47">
        <f t="shared" si="14"/>
        <v>44</v>
      </c>
      <c r="M70" s="308">
        <v>1561</v>
      </c>
      <c r="N70" s="308">
        <v>15</v>
      </c>
      <c r="O70" s="308">
        <v>15</v>
      </c>
      <c r="P70" s="308">
        <v>565</v>
      </c>
      <c r="Q70" s="35"/>
      <c r="R70" s="48">
        <v>2150</v>
      </c>
      <c r="S70" s="36"/>
      <c r="T70" s="36">
        <v>176.6</v>
      </c>
      <c r="U70" s="37"/>
      <c r="V70" s="38">
        <v>20</v>
      </c>
      <c r="W70" s="39"/>
      <c r="X70" s="39">
        <f>T70*1000/39.37/R70*38.5</f>
        <v>80.324411811614311</v>
      </c>
      <c r="Y70" s="40"/>
      <c r="Z70" s="40">
        <v>81.38</v>
      </c>
      <c r="AA70" s="41"/>
      <c r="AB70" s="42"/>
      <c r="AC70" s="43"/>
      <c r="AD70" s="43">
        <v>82.43</v>
      </c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47</v>
      </c>
      <c r="E71" s="28">
        <v>69010842</v>
      </c>
      <c r="F71" s="29">
        <v>690106</v>
      </c>
      <c r="G71" s="45">
        <v>675</v>
      </c>
      <c r="H71" s="31">
        <v>552</v>
      </c>
      <c r="I71" s="46">
        <v>780</v>
      </c>
      <c r="J71" s="32">
        <v>780</v>
      </c>
      <c r="K71" s="33">
        <f t="shared" si="14"/>
        <v>54</v>
      </c>
      <c r="L71" s="47">
        <f t="shared" si="14"/>
        <v>44.16</v>
      </c>
      <c r="M71" s="305">
        <v>2081</v>
      </c>
      <c r="N71" s="305">
        <v>256</v>
      </c>
      <c r="O71" s="305">
        <v>256</v>
      </c>
      <c r="P71" s="305">
        <v>808</v>
      </c>
      <c r="Q71" s="35"/>
      <c r="R71" s="48">
        <v>2500</v>
      </c>
      <c r="S71" s="36"/>
      <c r="T71" s="36">
        <v>208.3</v>
      </c>
      <c r="U71" s="37"/>
      <c r="V71" s="38">
        <v>25</v>
      </c>
      <c r="W71" s="39"/>
      <c r="X71" s="39">
        <f>T71*1000/39.37/R71*38.5</f>
        <v>81.478790957581921</v>
      </c>
      <c r="Y71" s="40"/>
      <c r="Z71" s="40">
        <f t="shared" si="18"/>
        <v>81.589395478790962</v>
      </c>
      <c r="AA71" s="41"/>
      <c r="AB71" s="42"/>
      <c r="AC71" s="43"/>
      <c r="AD71" s="43">
        <v>81.7</v>
      </c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71</v>
      </c>
      <c r="E72" s="28"/>
      <c r="F72" s="29">
        <v>690104</v>
      </c>
      <c r="G72" s="77">
        <v>230</v>
      </c>
      <c r="H72" s="31">
        <v>558</v>
      </c>
      <c r="I72" s="63">
        <v>780</v>
      </c>
      <c r="J72" s="64">
        <v>780</v>
      </c>
      <c r="K72" s="65">
        <f t="shared" si="14"/>
        <v>18.399999999999999</v>
      </c>
      <c r="L72" s="47">
        <f t="shared" si="14"/>
        <v>44.64</v>
      </c>
      <c r="M72" s="303">
        <v>1870</v>
      </c>
      <c r="N72" s="303">
        <v>0</v>
      </c>
      <c r="O72" s="303">
        <v>0</v>
      </c>
      <c r="P72" s="303">
        <v>558</v>
      </c>
      <c r="Q72" s="35"/>
      <c r="R72" s="48"/>
      <c r="S72" s="36"/>
      <c r="T72" s="36"/>
      <c r="U72" s="37"/>
      <c r="V72" s="38"/>
      <c r="W72" s="39"/>
      <c r="X72" s="39"/>
      <c r="Y72" s="40"/>
      <c r="Z72" s="40"/>
      <c r="AA72" s="41"/>
      <c r="AB72" s="42"/>
      <c r="AC72" s="43"/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43</v>
      </c>
      <c r="E73" s="28">
        <v>69010858</v>
      </c>
      <c r="F73" s="29">
        <v>690107</v>
      </c>
      <c r="G73" s="78">
        <v>643</v>
      </c>
      <c r="H73" s="31">
        <v>525</v>
      </c>
      <c r="I73" s="63">
        <v>780</v>
      </c>
      <c r="J73" s="64">
        <v>780</v>
      </c>
      <c r="K73" s="65">
        <f t="shared" si="14"/>
        <v>51.44</v>
      </c>
      <c r="L73" s="47">
        <f t="shared" si="14"/>
        <v>42</v>
      </c>
      <c r="M73" s="303">
        <v>1697</v>
      </c>
      <c r="N73" s="303">
        <v>30</v>
      </c>
      <c r="O73" s="303">
        <v>30</v>
      </c>
      <c r="P73" s="303">
        <v>555</v>
      </c>
      <c r="Q73" s="35"/>
      <c r="R73" s="48">
        <v>2310</v>
      </c>
      <c r="S73" s="36"/>
      <c r="T73" s="36">
        <v>186.5</v>
      </c>
      <c r="U73" s="37"/>
      <c r="V73" s="38">
        <v>25</v>
      </c>
      <c r="W73" s="39"/>
      <c r="X73" s="39">
        <f>T73*1000/39.37/R73*38.5</f>
        <v>78.951824570315807</v>
      </c>
      <c r="Y73" s="40"/>
      <c r="Z73" s="40">
        <v>79.930000000000007</v>
      </c>
      <c r="AA73" s="41"/>
      <c r="AB73" s="42"/>
      <c r="AC73" s="43"/>
      <c r="AD73" s="43">
        <v>80.900000000000006</v>
      </c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94</v>
      </c>
      <c r="E74" s="28">
        <v>69010844</v>
      </c>
      <c r="F74" s="29">
        <v>690107</v>
      </c>
      <c r="G74" s="79">
        <v>572</v>
      </c>
      <c r="H74" s="31">
        <v>550</v>
      </c>
      <c r="I74" s="63">
        <v>780</v>
      </c>
      <c r="J74" s="64">
        <v>780</v>
      </c>
      <c r="K74" s="65">
        <f t="shared" si="14"/>
        <v>45.76</v>
      </c>
      <c r="L74" s="68">
        <f t="shared" si="14"/>
        <v>44</v>
      </c>
      <c r="M74" s="303">
        <v>1020</v>
      </c>
      <c r="N74" s="303">
        <v>1592</v>
      </c>
      <c r="O74" s="303">
        <v>1592</v>
      </c>
      <c r="P74" s="303">
        <v>2142</v>
      </c>
      <c r="Q74" s="35"/>
      <c r="R74" s="48">
        <v>894</v>
      </c>
      <c r="S74" s="36"/>
      <c r="T74" s="36">
        <v>65.900000000000006</v>
      </c>
      <c r="U74" s="37"/>
      <c r="V74" s="38">
        <v>10</v>
      </c>
      <c r="W74" s="39"/>
      <c r="X74" s="39">
        <f>T74*1000/39.37/R74*38.5</f>
        <v>72.08471911350982</v>
      </c>
      <c r="Y74" s="40"/>
      <c r="Z74" s="40">
        <f t="shared" ref="Y74:Z76" si="19">(AD74+X74)/2</f>
        <v>73.272359556754907</v>
      </c>
      <c r="AA74" s="41"/>
      <c r="AB74" s="42">
        <v>73.27</v>
      </c>
      <c r="AC74" s="43"/>
      <c r="AD74" s="43">
        <v>74.459999999999994</v>
      </c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140</v>
      </c>
      <c r="E75" s="28">
        <v>69010829</v>
      </c>
      <c r="F75" s="29">
        <v>690109</v>
      </c>
      <c r="G75" s="80">
        <v>924</v>
      </c>
      <c r="H75" s="31">
        <v>0</v>
      </c>
      <c r="I75" s="46">
        <v>800</v>
      </c>
      <c r="J75" s="32">
        <v>800</v>
      </c>
      <c r="K75" s="33">
        <f t="shared" si="14"/>
        <v>73.92</v>
      </c>
      <c r="L75" s="47">
        <f t="shared" si="14"/>
        <v>0</v>
      </c>
      <c r="M75" s="307">
        <v>1755</v>
      </c>
      <c r="N75" s="303">
        <v>679</v>
      </c>
      <c r="O75" s="303">
        <v>679</v>
      </c>
      <c r="P75" s="303">
        <v>679</v>
      </c>
      <c r="Q75" s="48">
        <v>2000</v>
      </c>
      <c r="R75" s="48"/>
      <c r="S75" s="36">
        <v>150.6</v>
      </c>
      <c r="T75" s="36"/>
      <c r="U75" s="37"/>
      <c r="V75" s="38"/>
      <c r="W75" s="39">
        <f>S75*1000/39.37/Q75*38.5</f>
        <v>73.63601727203455</v>
      </c>
      <c r="X75" s="39"/>
      <c r="Y75" s="40">
        <f t="shared" si="19"/>
        <v>74.898008636017266</v>
      </c>
      <c r="Z75" s="40"/>
      <c r="AA75" s="41"/>
      <c r="AB75" s="42"/>
      <c r="AC75" s="43">
        <v>76.16</v>
      </c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140</v>
      </c>
      <c r="E76" s="28">
        <v>69010846</v>
      </c>
      <c r="F76" s="29">
        <v>690109</v>
      </c>
      <c r="G76" s="45">
        <v>0</v>
      </c>
      <c r="H76" s="31">
        <v>0</v>
      </c>
      <c r="I76" s="46">
        <v>800</v>
      </c>
      <c r="J76" s="32">
        <v>800</v>
      </c>
      <c r="K76" s="33">
        <f t="shared" si="14"/>
        <v>0</v>
      </c>
      <c r="L76" s="47">
        <f t="shared" si="14"/>
        <v>0</v>
      </c>
      <c r="M76" s="303">
        <v>1988</v>
      </c>
      <c r="N76" s="303">
        <v>1988</v>
      </c>
      <c r="O76" s="303">
        <v>1988</v>
      </c>
      <c r="P76" s="303">
        <v>1988</v>
      </c>
      <c r="Q76" s="35"/>
      <c r="R76" s="48">
        <v>1988</v>
      </c>
      <c r="S76" s="36"/>
      <c r="T76" s="36">
        <v>151.69999999999999</v>
      </c>
      <c r="U76" s="37"/>
      <c r="V76" s="38"/>
      <c r="W76" s="39"/>
      <c r="X76" s="39">
        <f>T76*1000/39.37/R76*38.5</f>
        <v>74.621592905157655</v>
      </c>
      <c r="Y76" s="40"/>
      <c r="Z76" s="40">
        <f t="shared" si="19"/>
        <v>74.925796452578822</v>
      </c>
      <c r="AA76" s="41"/>
      <c r="AB76" s="42"/>
      <c r="AC76" s="43"/>
      <c r="AD76" s="43">
        <v>75.23</v>
      </c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140</v>
      </c>
      <c r="E77" s="28">
        <v>69010801</v>
      </c>
      <c r="F77" s="29">
        <v>690109</v>
      </c>
      <c r="G77" s="45">
        <v>0</v>
      </c>
      <c r="H77" s="31">
        <v>0</v>
      </c>
      <c r="I77" s="46">
        <v>800</v>
      </c>
      <c r="J77" s="32">
        <v>800</v>
      </c>
      <c r="K77" s="33">
        <f t="shared" si="14"/>
        <v>0</v>
      </c>
      <c r="L77" s="47">
        <f t="shared" si="14"/>
        <v>0</v>
      </c>
      <c r="M77" s="303">
        <v>79</v>
      </c>
      <c r="N77" s="303">
        <v>79</v>
      </c>
      <c r="O77" s="303">
        <v>79</v>
      </c>
      <c r="P77" s="303">
        <v>79</v>
      </c>
      <c r="Q77" s="35">
        <v>2000</v>
      </c>
      <c r="R77" s="48"/>
      <c r="S77" s="36">
        <v>147.69999999999999</v>
      </c>
      <c r="T77" s="36"/>
      <c r="U77" s="37"/>
      <c r="V77" s="38"/>
      <c r="W77" s="39">
        <f>S77*1000/39.37/Q77*38.5</f>
        <v>72.218059436118878</v>
      </c>
      <c r="X77" s="39"/>
      <c r="Y77" s="40">
        <f t="shared" ref="Y77:Z78" si="20">(AC77+W77)/2</f>
        <v>73.434029718059435</v>
      </c>
      <c r="Z77" s="40"/>
      <c r="AA77" s="41"/>
      <c r="AB77" s="42"/>
      <c r="AC77" s="43">
        <v>74.650000000000006</v>
      </c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140</v>
      </c>
      <c r="E78" s="28">
        <v>69010847</v>
      </c>
      <c r="F78" s="29">
        <v>690106</v>
      </c>
      <c r="G78" s="45">
        <v>0</v>
      </c>
      <c r="H78" s="31">
        <v>0</v>
      </c>
      <c r="I78" s="46">
        <v>800</v>
      </c>
      <c r="J78" s="32">
        <v>800</v>
      </c>
      <c r="K78" s="33">
        <f t="shared" si="14"/>
        <v>0</v>
      </c>
      <c r="L78" s="47">
        <f t="shared" si="14"/>
        <v>0</v>
      </c>
      <c r="M78" s="303">
        <v>1655</v>
      </c>
      <c r="N78" s="303">
        <v>1655</v>
      </c>
      <c r="O78" s="303">
        <v>1655</v>
      </c>
      <c r="P78" s="303">
        <v>1655</v>
      </c>
      <c r="Q78" s="35"/>
      <c r="R78" s="48">
        <v>1655</v>
      </c>
      <c r="S78" s="36"/>
      <c r="T78" s="36">
        <v>124.3</v>
      </c>
      <c r="U78" s="37"/>
      <c r="V78" s="38"/>
      <c r="W78" s="39"/>
      <c r="X78" s="39">
        <f>T78*1000/39.37/R78*38.5</f>
        <v>73.446050215363272</v>
      </c>
      <c r="Y78" s="40"/>
      <c r="Z78" s="40">
        <f t="shared" si="20"/>
        <v>74.333025107681635</v>
      </c>
      <c r="AA78" s="41"/>
      <c r="AB78" s="42"/>
      <c r="AC78" s="43"/>
      <c r="AD78" s="43">
        <v>75.22</v>
      </c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140</v>
      </c>
      <c r="E79" s="28">
        <v>69010830</v>
      </c>
      <c r="F79" s="29">
        <v>690109</v>
      </c>
      <c r="G79" s="45">
        <v>770</v>
      </c>
      <c r="H79" s="31">
        <v>0</v>
      </c>
      <c r="I79" s="46">
        <v>800</v>
      </c>
      <c r="J79" s="32">
        <v>800</v>
      </c>
      <c r="K79" s="33"/>
      <c r="L79" s="47">
        <f t="shared" si="14"/>
        <v>0</v>
      </c>
      <c r="M79" s="303">
        <v>1568</v>
      </c>
      <c r="N79" s="303">
        <v>338</v>
      </c>
      <c r="O79" s="303">
        <v>338</v>
      </c>
      <c r="P79" s="303">
        <v>338</v>
      </c>
      <c r="Q79" s="48">
        <v>2000</v>
      </c>
      <c r="R79" s="48"/>
      <c r="S79" s="36">
        <v>148.9</v>
      </c>
      <c r="T79" s="36"/>
      <c r="U79" s="37"/>
      <c r="V79" s="38"/>
      <c r="W79" s="39">
        <f>S79*1000/39.37/Q79*38.5</f>
        <v>72.804800609601216</v>
      </c>
      <c r="X79" s="39"/>
      <c r="Y79" s="40">
        <f t="shared" ref="Y79:Z81" si="21">(AC79+W79)/2</f>
        <v>74.602400304800611</v>
      </c>
      <c r="Z79" s="40"/>
      <c r="AA79" s="41"/>
      <c r="AB79" s="42"/>
      <c r="AC79" s="43">
        <v>76.400000000000006</v>
      </c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140</v>
      </c>
      <c r="E80" s="28">
        <v>69010803</v>
      </c>
      <c r="F80" s="29">
        <v>690109</v>
      </c>
      <c r="G80" s="45">
        <v>735</v>
      </c>
      <c r="H80" s="31">
        <v>0</v>
      </c>
      <c r="I80" s="46">
        <v>800</v>
      </c>
      <c r="J80" s="32">
        <v>800</v>
      </c>
      <c r="K80" s="33">
        <f t="shared" si="14"/>
        <v>58.8</v>
      </c>
      <c r="L80" s="47">
        <f t="shared" si="14"/>
        <v>0</v>
      </c>
      <c r="M80" s="303">
        <v>1910</v>
      </c>
      <c r="N80" s="303">
        <v>684</v>
      </c>
      <c r="O80" s="303">
        <v>684</v>
      </c>
      <c r="P80" s="303">
        <v>684</v>
      </c>
      <c r="Q80" s="35">
        <v>1961</v>
      </c>
      <c r="R80" s="48"/>
      <c r="S80" s="36">
        <v>146.5</v>
      </c>
      <c r="T80" s="36"/>
      <c r="U80" s="37"/>
      <c r="V80" s="38"/>
      <c r="W80" s="39">
        <f>S80*1000/39.37/Q80*38.5</f>
        <v>73.055908477956677</v>
      </c>
      <c r="X80" s="39"/>
      <c r="Y80" s="40">
        <f t="shared" si="21"/>
        <v>74.107954238978337</v>
      </c>
      <c r="Z80" s="40"/>
      <c r="AA80" s="41"/>
      <c r="AB80" s="42"/>
      <c r="AC80" s="43">
        <v>75.16</v>
      </c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140</v>
      </c>
      <c r="E81" s="28">
        <v>69010833</v>
      </c>
      <c r="F81" s="29">
        <v>690109</v>
      </c>
      <c r="G81" s="45">
        <v>770</v>
      </c>
      <c r="H81" s="31">
        <v>0</v>
      </c>
      <c r="I81" s="46">
        <v>800</v>
      </c>
      <c r="J81" s="32">
        <v>800</v>
      </c>
      <c r="K81" s="33">
        <f t="shared" si="14"/>
        <v>61.6</v>
      </c>
      <c r="L81" s="47">
        <f t="shared" si="14"/>
        <v>0</v>
      </c>
      <c r="M81" s="303">
        <v>1422</v>
      </c>
      <c r="N81" s="303">
        <v>258</v>
      </c>
      <c r="O81" s="303">
        <v>258</v>
      </c>
      <c r="P81" s="303">
        <v>258</v>
      </c>
      <c r="Q81" s="35"/>
      <c r="R81" s="48">
        <v>1934</v>
      </c>
      <c r="S81" s="36"/>
      <c r="T81" s="36">
        <v>147.4</v>
      </c>
      <c r="U81" s="37"/>
      <c r="V81" s="38"/>
      <c r="W81" s="39"/>
      <c r="X81" s="39">
        <f>T81*1000/39.37/R81*38.5</f>
        <v>74.53089363262491</v>
      </c>
      <c r="Y81" s="40"/>
      <c r="Z81" s="40">
        <f t="shared" si="21"/>
        <v>75.515446816312448</v>
      </c>
      <c r="AA81" s="41"/>
      <c r="AB81" s="42"/>
      <c r="AC81" s="43"/>
      <c r="AD81" s="43">
        <v>76.5</v>
      </c>
    </row>
    <row r="82" spans="1:34" ht="24" customHeight="1" x14ac:dyDescent="0.4">
      <c r="A82" s="249" t="s">
        <v>148</v>
      </c>
      <c r="B82" s="246" t="s">
        <v>116</v>
      </c>
      <c r="C82" s="253" t="s">
        <v>63</v>
      </c>
      <c r="D82" s="256" t="s">
        <v>140</v>
      </c>
      <c r="E82" s="28">
        <v>69010802</v>
      </c>
      <c r="F82" s="29">
        <v>690109</v>
      </c>
      <c r="G82" s="45">
        <v>685</v>
      </c>
      <c r="H82" s="31">
        <v>0</v>
      </c>
      <c r="I82" s="46">
        <v>800</v>
      </c>
      <c r="J82" s="32">
        <v>800</v>
      </c>
      <c r="K82" s="33">
        <f t="shared" si="14"/>
        <v>54.8</v>
      </c>
      <c r="L82" s="47">
        <f t="shared" si="14"/>
        <v>0</v>
      </c>
      <c r="M82" s="303">
        <v>1786</v>
      </c>
      <c r="N82" s="303">
        <v>646</v>
      </c>
      <c r="O82" s="303">
        <v>646</v>
      </c>
      <c r="P82" s="303">
        <v>646</v>
      </c>
      <c r="Q82" s="35">
        <v>1825</v>
      </c>
      <c r="R82" s="48"/>
      <c r="S82" s="36">
        <v>135.30000000000001</v>
      </c>
      <c r="T82" s="36"/>
      <c r="U82" s="37"/>
      <c r="V82" s="38"/>
      <c r="W82" s="39">
        <f>S82*1000/39.37/Q82*38.5</f>
        <v>72.498703901517402</v>
      </c>
      <c r="X82" s="39"/>
      <c r="Y82" s="40">
        <f t="shared" ref="Y82" si="22">(AC82+W82)/2</f>
        <v>74.049351950758705</v>
      </c>
      <c r="Z82" s="40"/>
      <c r="AA82" s="41"/>
      <c r="AB82" s="42"/>
      <c r="AC82" s="43">
        <v>75.599999999999994</v>
      </c>
      <c r="AD82" s="43"/>
    </row>
    <row r="83" spans="1:34" ht="24" customHeight="1" x14ac:dyDescent="0.4">
      <c r="A83" s="251" t="s">
        <v>143</v>
      </c>
      <c r="B83" s="246" t="s">
        <v>116</v>
      </c>
      <c r="C83" s="253" t="s">
        <v>63</v>
      </c>
      <c r="D83" s="256" t="s">
        <v>140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23">G83*8/100</f>
        <v>0</v>
      </c>
      <c r="L83" s="47">
        <f t="shared" si="23"/>
        <v>0</v>
      </c>
      <c r="M83" s="303">
        <v>230</v>
      </c>
      <c r="N83" s="303">
        <v>230</v>
      </c>
      <c r="O83" s="303">
        <v>230</v>
      </c>
      <c r="P83" s="303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251" t="s">
        <v>132</v>
      </c>
      <c r="B84" s="246" t="s">
        <v>51</v>
      </c>
      <c r="C84" s="253" t="s">
        <v>233</v>
      </c>
      <c r="D84" s="256" t="s">
        <v>47</v>
      </c>
      <c r="E84" s="28"/>
      <c r="F84" s="29">
        <v>690119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03">
        <v>34</v>
      </c>
      <c r="N84" s="303">
        <v>34</v>
      </c>
      <c r="O84" s="303">
        <v>34</v>
      </c>
      <c r="P84" s="303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54"/>
      <c r="D85" s="256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24">G85*8/100</f>
        <v>0</v>
      </c>
      <c r="L85" s="47">
        <f t="shared" si="24"/>
        <v>0</v>
      </c>
      <c r="M85" s="311">
        <v>62</v>
      </c>
      <c r="N85" s="311">
        <v>62</v>
      </c>
      <c r="O85" s="311">
        <v>62</v>
      </c>
      <c r="P85" s="31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54"/>
      <c r="D86" s="257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24"/>
        <v>0</v>
      </c>
      <c r="L86" s="47">
        <f t="shared" si="24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49859</v>
      </c>
      <c r="H87" s="86">
        <f>SUM(H6:H82)</f>
        <v>28195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52205</v>
      </c>
      <c r="R87" s="89">
        <f>SUM(R6:R86)</f>
        <v>64577</v>
      </c>
      <c r="S87" s="90">
        <f>SUM(S6:S86)</f>
        <v>4327.5000000000009</v>
      </c>
      <c r="T87" s="91">
        <f>SUM(T6:T86)</f>
        <v>5173.7</v>
      </c>
      <c r="U87" s="89">
        <f>SUM(U6:U86)</f>
        <v>315</v>
      </c>
      <c r="V87" s="89">
        <f>SUM(V6:V84)</f>
        <v>495</v>
      </c>
      <c r="W87" s="92">
        <f>SUM(W6:W86)</f>
        <v>2069.5011763190632</v>
      </c>
      <c r="X87" s="93">
        <f>SUM(X6:X86)</f>
        <v>2599.6464456484405</v>
      </c>
      <c r="Y87" s="94">
        <f>SUM(Y6:Y86)</f>
        <v>2097.8355881595317</v>
      </c>
      <c r="Z87" s="95">
        <f>SUM(Z6:Z86)</f>
        <v>2623.5650352327661</v>
      </c>
      <c r="AA87" s="96">
        <f>SUM(AA6:AA82)</f>
        <v>0</v>
      </c>
      <c r="AB87" s="97">
        <f>SUM(AB6:AB82)</f>
        <v>73.27</v>
      </c>
      <c r="AC87" s="98">
        <f>SUM(AC6:AC86)</f>
        <v>2126.17</v>
      </c>
      <c r="AD87" s="98">
        <f>SUM(AD6:AD86)</f>
        <v>2582.2999999999997</v>
      </c>
    </row>
    <row r="88" spans="1:34" ht="24" customHeight="1" thickBot="1" x14ac:dyDescent="0.45">
      <c r="A88" s="334"/>
      <c r="B88" s="83">
        <v>66</v>
      </c>
      <c r="C88" s="83">
        <v>46</v>
      </c>
      <c r="D88" s="84"/>
      <c r="E88" s="84"/>
      <c r="F88" s="84"/>
      <c r="G88" s="341">
        <f>G87+H87</f>
        <v>78054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Q87+R87+Q133+Q149</f>
        <v>122712</v>
      </c>
      <c r="R88" s="342"/>
      <c r="S88" s="375">
        <f>S87+T87+S133+S149</f>
        <v>10310.300000000001</v>
      </c>
      <c r="T88" s="376"/>
      <c r="U88" s="341">
        <f>U87+V87+U133+U149</f>
        <v>870</v>
      </c>
      <c r="V88" s="342"/>
      <c r="W88" s="375">
        <f>W87+X87+W133+W149</f>
        <v>5202.8629922669143</v>
      </c>
      <c r="X88" s="376"/>
      <c r="Y88" s="375">
        <f>Y87+Z87+Y133+Y149</f>
        <v>5256.8283085420026</v>
      </c>
      <c r="Z88" s="376"/>
      <c r="AA88" s="375">
        <f>AA87+AB87+AA133</f>
        <v>73.27</v>
      </c>
      <c r="AB88" s="376"/>
      <c r="AC88" s="375">
        <f>AC87+AD87+AC133+AC149</f>
        <v>4708.4699999999993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274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122712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810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49859</v>
      </c>
      <c r="O91" s="108" t="s">
        <v>158</v>
      </c>
      <c r="P91" s="108"/>
      <c r="Q91" s="108" t="s">
        <v>159</v>
      </c>
      <c r="R91" s="109"/>
      <c r="S91" s="120">
        <f>H87</f>
        <v>28195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315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1.19258</v>
      </c>
      <c r="F92" s="124"/>
      <c r="G92" s="108" t="s">
        <v>162</v>
      </c>
      <c r="H92" s="125"/>
      <c r="I92" s="125">
        <v>2180</v>
      </c>
      <c r="J92" s="117" t="s">
        <v>154</v>
      </c>
      <c r="K92" s="108"/>
      <c r="L92" s="108" t="s">
        <v>163</v>
      </c>
      <c r="M92" s="108"/>
      <c r="N92" s="126">
        <f>G87/B88</f>
        <v>755.43939393939399</v>
      </c>
      <c r="O92" s="108" t="s">
        <v>158</v>
      </c>
      <c r="P92" s="108"/>
      <c r="Q92" s="108" t="s">
        <v>164</v>
      </c>
      <c r="S92" s="126">
        <f>H87/C88</f>
        <v>612.93478260869563</v>
      </c>
      <c r="T92" s="108"/>
      <c r="U92" s="108" t="s">
        <v>158</v>
      </c>
      <c r="W92" s="110"/>
      <c r="X92" s="108"/>
      <c r="Y92" s="127" t="s">
        <v>165</v>
      </c>
      <c r="AA92" s="122">
        <f>V87</f>
        <v>495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220</v>
      </c>
      <c r="F93" s="129"/>
      <c r="G93" s="108" t="s">
        <v>162</v>
      </c>
      <c r="H93" s="125"/>
      <c r="I93" s="125">
        <v>7464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>
        <v>16694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169</v>
      </c>
      <c r="F95" s="116"/>
      <c r="G95" s="108" t="s">
        <v>162</v>
      </c>
      <c r="H95" s="125"/>
      <c r="I95" s="125">
        <v>16510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>
        <v>8450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247</v>
      </c>
      <c r="F97" s="129"/>
      <c r="G97" s="108" t="s">
        <v>162</v>
      </c>
      <c r="H97" s="125"/>
      <c r="I97" s="125">
        <v>1900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66</v>
      </c>
      <c r="P97" s="108" t="s">
        <v>25</v>
      </c>
      <c r="Q97" s="108"/>
      <c r="R97" s="108"/>
      <c r="S97" s="130" t="s">
        <v>177</v>
      </c>
      <c r="T97" s="138">
        <f>C88</f>
        <v>46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29467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3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/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222</v>
      </c>
      <c r="F100" s="148"/>
      <c r="G100" s="108" t="s">
        <v>162</v>
      </c>
      <c r="H100" s="125"/>
      <c r="I100" s="125">
        <v>6430</v>
      </c>
      <c r="J100" s="117" t="s">
        <v>154</v>
      </c>
      <c r="K100" s="8"/>
      <c r="L100" s="149" t="s">
        <v>188</v>
      </c>
      <c r="M100" s="150" t="s">
        <v>275</v>
      </c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190</v>
      </c>
      <c r="F101" s="155"/>
      <c r="G101" s="108" t="s">
        <v>162</v>
      </c>
      <c r="H101" s="125"/>
      <c r="I101" s="125">
        <v>4000</v>
      </c>
      <c r="J101" s="117" t="s">
        <v>154</v>
      </c>
      <c r="K101" s="108"/>
      <c r="L101" s="149"/>
      <c r="M101" s="150" t="s">
        <v>276</v>
      </c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246</v>
      </c>
      <c r="F102" s="262"/>
      <c r="G102" s="108" t="s">
        <v>162</v>
      </c>
      <c r="H102" s="125"/>
      <c r="I102" s="125">
        <v>5930</v>
      </c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>
        <v>3980</v>
      </c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269</v>
      </c>
      <c r="F105" s="155"/>
      <c r="G105" s="108" t="s">
        <v>162</v>
      </c>
      <c r="H105" s="125"/>
      <c r="I105" s="125">
        <v>15363</v>
      </c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>
        <v>4344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202</v>
      </c>
      <c r="F107" s="155"/>
      <c r="G107" s="108" t="s">
        <v>162</v>
      </c>
      <c r="H107" s="125"/>
      <c r="I107" s="125"/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268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 t="s">
        <v>228</v>
      </c>
      <c r="AB108" s="149" t="s">
        <v>229</v>
      </c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 t="s">
        <v>228</v>
      </c>
      <c r="AB109" s="149" t="s">
        <v>230</v>
      </c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72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54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25">SUM(Q122:Q131)</f>
        <v>0</v>
      </c>
      <c r="R132" s="237">
        <f t="shared" si="25"/>
        <v>0</v>
      </c>
      <c r="S132" s="238">
        <f t="shared" si="25"/>
        <v>0</v>
      </c>
      <c r="T132" s="238">
        <f t="shared" si="25"/>
        <v>0</v>
      </c>
      <c r="U132" s="237">
        <f t="shared" si="25"/>
        <v>0</v>
      </c>
      <c r="V132" s="237">
        <f t="shared" si="25"/>
        <v>0</v>
      </c>
      <c r="W132" s="238">
        <f t="shared" si="25"/>
        <v>0</v>
      </c>
      <c r="X132" s="238">
        <f t="shared" si="25"/>
        <v>0</v>
      </c>
      <c r="Y132" s="95">
        <f t="shared" si="25"/>
        <v>0</v>
      </c>
      <c r="Z132" s="95">
        <f t="shared" si="25"/>
        <v>0</v>
      </c>
      <c r="AA132" s="238">
        <f t="shared" si="25"/>
        <v>0</v>
      </c>
      <c r="AB132" s="238">
        <f t="shared" si="25"/>
        <v>0</v>
      </c>
      <c r="AC132" s="98"/>
      <c r="AD132" s="98">
        <f t="shared" si="25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  <row r="134" spans="1:30" ht="18.75" thickBot="1" x14ac:dyDescent="0.45"/>
    <row r="135" spans="1:30" x14ac:dyDescent="0.4">
      <c r="A135" s="368" t="s">
        <v>1</v>
      </c>
      <c r="B135" s="349" t="s">
        <v>2</v>
      </c>
      <c r="C135" s="350"/>
      <c r="D135" s="5" t="s">
        <v>3</v>
      </c>
      <c r="E135" s="7"/>
      <c r="F135" s="7"/>
      <c r="G135" s="349" t="s">
        <v>4</v>
      </c>
      <c r="H135" s="350"/>
      <c r="I135" s="349" t="s">
        <v>5</v>
      </c>
      <c r="J135" s="350"/>
      <c r="K135" s="349" t="s">
        <v>6</v>
      </c>
      <c r="L135" s="350"/>
      <c r="M135" s="370" t="s">
        <v>7</v>
      </c>
      <c r="N135" s="371"/>
      <c r="O135" s="362" t="s">
        <v>7</v>
      </c>
      <c r="P135" s="363"/>
      <c r="Q135" s="364" t="s">
        <v>8</v>
      </c>
      <c r="R135" s="365"/>
      <c r="S135" s="349" t="s">
        <v>9</v>
      </c>
      <c r="T135" s="350"/>
      <c r="U135" s="366" t="s">
        <v>10</v>
      </c>
      <c r="V135" s="367"/>
      <c r="W135" s="349" t="s">
        <v>11</v>
      </c>
      <c r="X135" s="350"/>
      <c r="Y135" s="349" t="s">
        <v>12</v>
      </c>
      <c r="Z135" s="350"/>
      <c r="AA135" s="349" t="s">
        <v>13</v>
      </c>
      <c r="AB135" s="350"/>
      <c r="AC135" s="349" t="s">
        <v>14</v>
      </c>
      <c r="AD135" s="353"/>
    </row>
    <row r="136" spans="1:30" ht="21" x14ac:dyDescent="0.4">
      <c r="A136" s="369"/>
      <c r="B136" s="351"/>
      <c r="C136" s="352"/>
      <c r="D136" s="8" t="s">
        <v>15</v>
      </c>
      <c r="E136" s="205" t="s">
        <v>16</v>
      </c>
      <c r="F136" s="9" t="s">
        <v>17</v>
      </c>
      <c r="G136" s="351"/>
      <c r="H136" s="352"/>
      <c r="I136" s="351"/>
      <c r="J136" s="352"/>
      <c r="K136" s="351"/>
      <c r="L136" s="352"/>
      <c r="M136" s="354" t="s">
        <v>18</v>
      </c>
      <c r="N136" s="355"/>
      <c r="O136" s="356" t="s">
        <v>19</v>
      </c>
      <c r="P136" s="357"/>
      <c r="Q136" s="358" t="s">
        <v>20</v>
      </c>
      <c r="R136" s="359"/>
      <c r="S136" s="351" t="s">
        <v>21</v>
      </c>
      <c r="T136" s="352"/>
      <c r="U136" s="360" t="s">
        <v>22</v>
      </c>
      <c r="V136" s="359"/>
      <c r="W136" s="351" t="s">
        <v>23</v>
      </c>
      <c r="X136" s="352"/>
      <c r="Y136" s="351"/>
      <c r="Z136" s="352"/>
      <c r="AA136" s="351"/>
      <c r="AB136" s="352"/>
      <c r="AC136" s="351" t="s">
        <v>24</v>
      </c>
      <c r="AD136" s="361"/>
    </row>
    <row r="137" spans="1:30" ht="18.75" thickBot="1" x14ac:dyDescent="0.45">
      <c r="A137" s="10" t="s">
        <v>25</v>
      </c>
      <c r="B137" s="206" t="s">
        <v>207</v>
      </c>
      <c r="C137" s="12" t="s">
        <v>208</v>
      </c>
      <c r="D137" s="13" t="s">
        <v>28</v>
      </c>
      <c r="E137" s="207"/>
      <c r="F137" s="207"/>
      <c r="G137" s="12" t="s">
        <v>26</v>
      </c>
      <c r="H137" s="12" t="s">
        <v>27</v>
      </c>
      <c r="I137" s="11" t="s">
        <v>26</v>
      </c>
      <c r="J137" s="12" t="s">
        <v>27</v>
      </c>
      <c r="K137" s="11" t="s">
        <v>29</v>
      </c>
      <c r="L137" s="14" t="s">
        <v>30</v>
      </c>
      <c r="M137" s="208" t="s">
        <v>31</v>
      </c>
      <c r="N137" s="209" t="s">
        <v>32</v>
      </c>
      <c r="O137" s="210" t="s">
        <v>31</v>
      </c>
      <c r="P137" s="211" t="s">
        <v>32</v>
      </c>
      <c r="Q137" s="19" t="s">
        <v>26</v>
      </c>
      <c r="R137" s="12" t="s">
        <v>27</v>
      </c>
      <c r="S137" s="20" t="s">
        <v>26</v>
      </c>
      <c r="T137" s="12" t="s">
        <v>27</v>
      </c>
      <c r="U137" s="19" t="s">
        <v>26</v>
      </c>
      <c r="V137" s="12" t="s">
        <v>27</v>
      </c>
      <c r="W137" s="21" t="s">
        <v>26</v>
      </c>
      <c r="X137" s="12" t="s">
        <v>27</v>
      </c>
      <c r="Y137" s="22" t="s">
        <v>26</v>
      </c>
      <c r="Z137" s="23" t="s">
        <v>27</v>
      </c>
      <c r="AA137" s="19" t="s">
        <v>26</v>
      </c>
      <c r="AB137" s="12" t="s">
        <v>27</v>
      </c>
      <c r="AC137" s="11" t="s">
        <v>26</v>
      </c>
      <c r="AD137" s="24" t="s">
        <v>27</v>
      </c>
    </row>
    <row r="138" spans="1:30" ht="32.25" thickBot="1" x14ac:dyDescent="0.55000000000000004">
      <c r="A138" s="212" t="s">
        <v>130</v>
      </c>
      <c r="B138" s="213" t="s">
        <v>209</v>
      </c>
      <c r="C138" s="213" t="s">
        <v>210</v>
      </c>
      <c r="D138" s="258" t="s">
        <v>237</v>
      </c>
      <c r="E138" s="215">
        <v>69010827</v>
      </c>
      <c r="F138" s="73">
        <v>690133</v>
      </c>
      <c r="G138" s="216"/>
      <c r="H138" s="217"/>
      <c r="I138" s="46">
        <v>800</v>
      </c>
      <c r="J138" s="32">
        <v>800</v>
      </c>
      <c r="K138" s="218"/>
      <c r="L138" s="218"/>
      <c r="M138" s="219"/>
      <c r="N138" s="220"/>
      <c r="O138" s="220"/>
      <c r="P138" s="221"/>
      <c r="Q138" s="222">
        <v>1510</v>
      </c>
      <c r="R138" s="223"/>
      <c r="S138" s="224">
        <v>205.7</v>
      </c>
      <c r="T138" s="57"/>
      <c r="U138" s="59">
        <v>15</v>
      </c>
      <c r="V138" s="59"/>
      <c r="W138" s="39">
        <f>S138*1000/39.37/Q138*38.5</f>
        <v>133.21485583368519</v>
      </c>
      <c r="X138" s="39"/>
      <c r="Y138" s="40">
        <f t="shared" ref="Y138:Y141" si="26">(AC138+W138)/2</f>
        <v>133.1674279168426</v>
      </c>
      <c r="Z138" s="40"/>
      <c r="AA138" s="225"/>
      <c r="AB138" s="226"/>
      <c r="AC138" s="227">
        <v>133.12</v>
      </c>
      <c r="AD138" s="228"/>
    </row>
    <row r="139" spans="1:30" ht="32.25" thickBot="1" x14ac:dyDescent="0.55000000000000004">
      <c r="A139" s="212" t="s">
        <v>72</v>
      </c>
      <c r="B139" s="213" t="s">
        <v>209</v>
      </c>
      <c r="C139" s="213" t="s">
        <v>210</v>
      </c>
      <c r="D139" s="258" t="s">
        <v>237</v>
      </c>
      <c r="E139" s="215">
        <v>69010825</v>
      </c>
      <c r="F139" s="73">
        <v>690133</v>
      </c>
      <c r="G139" s="216"/>
      <c r="H139" s="217"/>
      <c r="I139" s="46">
        <v>800</v>
      </c>
      <c r="J139" s="32">
        <v>800</v>
      </c>
      <c r="K139" s="218"/>
      <c r="L139" s="218"/>
      <c r="M139" s="219"/>
      <c r="N139" s="220"/>
      <c r="O139" s="220"/>
      <c r="P139" s="221"/>
      <c r="Q139" s="222">
        <v>1470</v>
      </c>
      <c r="R139" s="67"/>
      <c r="S139" s="229">
        <v>201</v>
      </c>
      <c r="T139" s="57"/>
      <c r="U139" s="58">
        <v>15</v>
      </c>
      <c r="V139" s="59"/>
      <c r="W139" s="39">
        <f>S139*1000/39.37/Q139*38.5</f>
        <v>133.7131245691063</v>
      </c>
      <c r="X139" s="39"/>
      <c r="Y139" s="40">
        <f t="shared" si="26"/>
        <v>133.77156228455317</v>
      </c>
      <c r="Z139" s="40"/>
      <c r="AA139" s="225"/>
      <c r="AB139" s="226"/>
      <c r="AC139" s="227">
        <v>133.83000000000001</v>
      </c>
      <c r="AD139" s="228"/>
    </row>
    <row r="140" spans="1:30" ht="32.25" thickBot="1" x14ac:dyDescent="0.55000000000000004">
      <c r="A140" s="212" t="s">
        <v>117</v>
      </c>
      <c r="B140" s="213" t="s">
        <v>209</v>
      </c>
      <c r="C140" s="213" t="s">
        <v>210</v>
      </c>
      <c r="D140" s="258" t="s">
        <v>237</v>
      </c>
      <c r="E140" s="215">
        <v>69010826</v>
      </c>
      <c r="F140" s="73">
        <v>690133</v>
      </c>
      <c r="G140" s="216"/>
      <c r="H140" s="217"/>
      <c r="I140" s="46">
        <v>800</v>
      </c>
      <c r="J140" s="32">
        <v>800</v>
      </c>
      <c r="K140" s="218"/>
      <c r="L140" s="218"/>
      <c r="M140" s="219"/>
      <c r="N140" s="220"/>
      <c r="O140" s="220"/>
      <c r="P140" s="221"/>
      <c r="Q140" s="230">
        <v>1500</v>
      </c>
      <c r="R140" s="56"/>
      <c r="S140" s="231">
        <v>204.5</v>
      </c>
      <c r="T140" s="57"/>
      <c r="U140" s="58">
        <v>15</v>
      </c>
      <c r="V140" s="59"/>
      <c r="W140" s="39">
        <f>S140*1000/39.37/Q140*38.5</f>
        <v>133.32063330793329</v>
      </c>
      <c r="X140" s="39"/>
      <c r="Y140" s="40">
        <f t="shared" si="26"/>
        <v>134.42031665396667</v>
      </c>
      <c r="Z140" s="40"/>
      <c r="AA140" s="232"/>
      <c r="AB140" s="226"/>
      <c r="AC140" s="233">
        <v>135.52000000000001</v>
      </c>
      <c r="AD140" s="234"/>
    </row>
    <row r="141" spans="1:30" ht="32.25" thickBot="1" x14ac:dyDescent="0.55000000000000004">
      <c r="A141" s="212" t="s">
        <v>86</v>
      </c>
      <c r="B141" s="213" t="s">
        <v>209</v>
      </c>
      <c r="C141" s="213" t="s">
        <v>210</v>
      </c>
      <c r="D141" s="258" t="s">
        <v>237</v>
      </c>
      <c r="E141" s="215">
        <v>69010828</v>
      </c>
      <c r="F141" s="73">
        <v>690133</v>
      </c>
      <c r="G141" s="216"/>
      <c r="H141" s="217"/>
      <c r="I141" s="46">
        <v>800</v>
      </c>
      <c r="J141" s="32">
        <v>800</v>
      </c>
      <c r="K141" s="218"/>
      <c r="L141" s="218"/>
      <c r="M141" s="219"/>
      <c r="N141" s="220"/>
      <c r="O141" s="220"/>
      <c r="P141" s="221"/>
      <c r="Q141" s="230">
        <v>1450</v>
      </c>
      <c r="R141" s="56"/>
      <c r="S141" s="231">
        <v>197.9</v>
      </c>
      <c r="T141" s="57"/>
      <c r="U141" s="58">
        <v>15</v>
      </c>
      <c r="V141" s="59"/>
      <c r="W141" s="39">
        <f>S141*1000/39.37/Q141*38.5</f>
        <v>133.4667565886856</v>
      </c>
      <c r="X141" s="39"/>
      <c r="Y141" s="40">
        <f t="shared" si="26"/>
        <v>134.06837829434278</v>
      </c>
      <c r="Z141" s="40"/>
      <c r="AA141" s="232"/>
      <c r="AB141" s="226"/>
      <c r="AC141" s="233">
        <v>134.66999999999999</v>
      </c>
      <c r="AD141" s="234"/>
    </row>
    <row r="142" spans="1:30" ht="32.25" thickBot="1" x14ac:dyDescent="0.55000000000000004">
      <c r="A142" s="212" t="s">
        <v>38</v>
      </c>
      <c r="B142" s="213" t="s">
        <v>209</v>
      </c>
      <c r="C142" s="213" t="s">
        <v>210</v>
      </c>
      <c r="D142" s="258" t="s">
        <v>237</v>
      </c>
      <c r="E142" s="215"/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30"/>
      <c r="R142" s="56"/>
      <c r="S142" s="231"/>
      <c r="T142" s="57"/>
      <c r="U142" s="58"/>
      <c r="V142" s="59"/>
      <c r="W142" s="39"/>
      <c r="X142" s="39"/>
      <c r="Y142" s="40"/>
      <c r="Z142" s="40"/>
      <c r="AA142" s="232"/>
      <c r="AB142" s="226"/>
      <c r="AC142" s="233"/>
      <c r="AD142" s="234"/>
    </row>
    <row r="143" spans="1:30" ht="32.25" thickBot="1" x14ac:dyDescent="0.55000000000000004">
      <c r="A143" s="212" t="s">
        <v>40</v>
      </c>
      <c r="B143" s="213" t="s">
        <v>209</v>
      </c>
      <c r="C143" s="213" t="s">
        <v>210</v>
      </c>
      <c r="D143" s="258" t="s">
        <v>237</v>
      </c>
      <c r="E143" s="215"/>
      <c r="F143" s="73">
        <v>690133</v>
      </c>
      <c r="G143" s="216"/>
      <c r="H143" s="217"/>
      <c r="I143" s="46">
        <v>800</v>
      </c>
      <c r="J143" s="32">
        <v>800</v>
      </c>
      <c r="K143" s="218"/>
      <c r="L143" s="218"/>
      <c r="M143" s="219"/>
      <c r="N143" s="220"/>
      <c r="O143" s="220"/>
      <c r="P143" s="221"/>
      <c r="Q143" s="222"/>
      <c r="R143" s="67"/>
      <c r="S143" s="229"/>
      <c r="T143" s="57"/>
      <c r="U143" s="58"/>
      <c r="V143" s="59"/>
      <c r="W143" s="39"/>
      <c r="X143" s="39"/>
      <c r="Y143" s="40"/>
      <c r="Z143" s="40"/>
      <c r="AA143" s="225"/>
      <c r="AB143" s="226"/>
      <c r="AC143" s="227"/>
      <c r="AD143" s="228"/>
    </row>
    <row r="144" spans="1:30" ht="32.25" thickBot="1" x14ac:dyDescent="0.55000000000000004">
      <c r="A144" s="212" t="s">
        <v>125</v>
      </c>
      <c r="B144" s="213" t="s">
        <v>209</v>
      </c>
      <c r="C144" s="213" t="s">
        <v>210</v>
      </c>
      <c r="D144" s="258" t="s">
        <v>237</v>
      </c>
      <c r="E144" s="215"/>
      <c r="F144" s="73">
        <v>690133</v>
      </c>
      <c r="G144" s="216"/>
      <c r="H144" s="217"/>
      <c r="I144" s="46">
        <v>800</v>
      </c>
      <c r="J144" s="32">
        <v>800</v>
      </c>
      <c r="K144" s="218"/>
      <c r="L144" s="218"/>
      <c r="M144" s="219"/>
      <c r="N144" s="220"/>
      <c r="O144" s="220"/>
      <c r="P144" s="221"/>
      <c r="Q144" s="230"/>
      <c r="R144" s="56"/>
      <c r="S144" s="231"/>
      <c r="T144" s="57"/>
      <c r="U144" s="58"/>
      <c r="V144" s="59"/>
      <c r="W144" s="39"/>
      <c r="X144" s="39"/>
      <c r="Y144" s="40"/>
      <c r="Z144" s="40"/>
      <c r="AA144" s="232"/>
      <c r="AB144" s="226"/>
      <c r="AC144" s="233"/>
      <c r="AD144" s="234"/>
    </row>
    <row r="145" spans="1:30" ht="32.25" thickBot="1" x14ac:dyDescent="0.55000000000000004">
      <c r="A145" s="212" t="s">
        <v>86</v>
      </c>
      <c r="B145" s="213" t="s">
        <v>209</v>
      </c>
      <c r="C145" s="213" t="s">
        <v>210</v>
      </c>
      <c r="D145" s="258" t="s">
        <v>237</v>
      </c>
      <c r="E145" s="215"/>
      <c r="F145" s="73">
        <v>690133</v>
      </c>
      <c r="G145" s="216"/>
      <c r="H145" s="217"/>
      <c r="I145" s="46">
        <v>800</v>
      </c>
      <c r="J145" s="32">
        <v>800</v>
      </c>
      <c r="K145" s="218"/>
      <c r="L145" s="218"/>
      <c r="M145" s="219"/>
      <c r="N145" s="220"/>
      <c r="O145" s="220"/>
      <c r="P145" s="221"/>
      <c r="Q145" s="222"/>
      <c r="R145" s="67"/>
      <c r="S145" s="229"/>
      <c r="T145" s="57"/>
      <c r="U145" s="58"/>
      <c r="V145" s="59"/>
      <c r="W145" s="39"/>
      <c r="X145" s="39"/>
      <c r="Y145" s="40"/>
      <c r="Z145" s="40"/>
      <c r="AA145" s="232"/>
      <c r="AB145" s="226"/>
      <c r="AC145" s="233"/>
      <c r="AD145" s="234"/>
    </row>
    <row r="146" spans="1:30" ht="32.25" thickBot="1" x14ac:dyDescent="0.55000000000000004">
      <c r="A146" s="212" t="s">
        <v>74</v>
      </c>
      <c r="B146" s="213" t="s">
        <v>209</v>
      </c>
      <c r="C146" s="213" t="s">
        <v>210</v>
      </c>
      <c r="D146" s="258" t="s">
        <v>237</v>
      </c>
      <c r="E146" s="215"/>
      <c r="F146" s="73">
        <v>690133</v>
      </c>
      <c r="G146" s="216"/>
      <c r="H146" s="217"/>
      <c r="I146" s="46">
        <v>800</v>
      </c>
      <c r="J146" s="32">
        <v>800</v>
      </c>
      <c r="K146" s="218"/>
      <c r="L146" s="218"/>
      <c r="M146" s="219"/>
      <c r="N146" s="220"/>
      <c r="O146" s="220"/>
      <c r="P146" s="221"/>
      <c r="Q146" s="230"/>
      <c r="R146" s="56"/>
      <c r="S146" s="231"/>
      <c r="T146" s="57"/>
      <c r="U146" s="58"/>
      <c r="V146" s="59"/>
      <c r="W146" s="39"/>
      <c r="X146" s="39"/>
      <c r="Y146" s="40"/>
      <c r="Z146" s="40"/>
      <c r="AA146" s="232"/>
      <c r="AB146" s="226"/>
      <c r="AC146" s="233"/>
      <c r="AD146" s="234"/>
    </row>
    <row r="147" spans="1:30" ht="32.25" thickBot="1" x14ac:dyDescent="0.55000000000000004">
      <c r="A147" s="212" t="s">
        <v>102</v>
      </c>
      <c r="B147" s="213" t="s">
        <v>209</v>
      </c>
      <c r="C147" s="213" t="s">
        <v>210</v>
      </c>
      <c r="D147" s="258" t="s">
        <v>211</v>
      </c>
      <c r="E147" s="215"/>
      <c r="F147" s="73">
        <v>690134</v>
      </c>
      <c r="G147" s="216"/>
      <c r="H147" s="217"/>
      <c r="I147" s="46">
        <v>800</v>
      </c>
      <c r="J147" s="32">
        <v>800</v>
      </c>
      <c r="K147" s="218"/>
      <c r="L147" s="218"/>
      <c r="M147" s="219"/>
      <c r="N147" s="220"/>
      <c r="O147" s="220"/>
      <c r="P147" s="221"/>
      <c r="Q147" s="222"/>
      <c r="R147" s="223"/>
      <c r="S147" s="224"/>
      <c r="T147" s="57"/>
      <c r="U147" s="59"/>
      <c r="V147" s="59"/>
      <c r="W147" s="39"/>
      <c r="X147" s="39"/>
      <c r="Y147" s="40"/>
      <c r="Z147" s="40"/>
      <c r="AA147" s="225"/>
      <c r="AB147" s="235"/>
      <c r="AC147" s="233"/>
      <c r="AD147" s="234"/>
    </row>
    <row r="148" spans="1:30" ht="24" thickBot="1" x14ac:dyDescent="0.45">
      <c r="A148" s="333" t="s">
        <v>150</v>
      </c>
      <c r="B148" s="83" t="s">
        <v>25</v>
      </c>
      <c r="C148" s="83" t="s">
        <v>25</v>
      </c>
      <c r="D148" s="84"/>
      <c r="E148" s="85"/>
      <c r="F148" s="84"/>
      <c r="G148" s="236">
        <f>SUM(G134:G134)</f>
        <v>0</v>
      </c>
      <c r="H148" s="236">
        <f>SUM(H134:H134)</f>
        <v>0</v>
      </c>
      <c r="I148" s="87"/>
      <c r="J148" s="87"/>
      <c r="K148" s="87"/>
      <c r="L148" s="88"/>
      <c r="M148" s="335"/>
      <c r="N148" s="336"/>
      <c r="O148" s="336"/>
      <c r="P148" s="337"/>
      <c r="Q148" s="237">
        <f t="shared" ref="Q148:AB148" si="27">SUM(Q138:Q147)</f>
        <v>5930</v>
      </c>
      <c r="R148" s="237">
        <f t="shared" si="27"/>
        <v>0</v>
      </c>
      <c r="S148" s="238">
        <f t="shared" si="27"/>
        <v>809.1</v>
      </c>
      <c r="T148" s="238">
        <f t="shared" si="27"/>
        <v>0</v>
      </c>
      <c r="U148" s="237">
        <f t="shared" si="27"/>
        <v>60</v>
      </c>
      <c r="V148" s="237">
        <f t="shared" si="27"/>
        <v>0</v>
      </c>
      <c r="W148" s="238">
        <f t="shared" si="27"/>
        <v>533.71537029941032</v>
      </c>
      <c r="X148" s="238">
        <f t="shared" si="27"/>
        <v>0</v>
      </c>
      <c r="Y148" s="95">
        <f t="shared" si="27"/>
        <v>535.42768514970521</v>
      </c>
      <c r="Z148" s="95">
        <f t="shared" si="27"/>
        <v>0</v>
      </c>
      <c r="AA148" s="238">
        <f t="shared" si="27"/>
        <v>0</v>
      </c>
      <c r="AB148" s="238">
        <f t="shared" si="27"/>
        <v>0</v>
      </c>
      <c r="AC148" s="98"/>
      <c r="AD148" s="98">
        <f t="shared" ref="AD148" si="28">SUM(AD138:AD147)</f>
        <v>0</v>
      </c>
    </row>
    <row r="149" spans="1:30" ht="27" thickBot="1" x14ac:dyDescent="0.45">
      <c r="A149" s="334"/>
      <c r="B149" s="83">
        <v>2</v>
      </c>
      <c r="C149" s="83">
        <v>2</v>
      </c>
      <c r="D149" s="84"/>
      <c r="E149" s="84"/>
      <c r="F149" s="84"/>
      <c r="G149" s="99">
        <v>0</v>
      </c>
      <c r="H149" s="100"/>
      <c r="I149" s="99"/>
      <c r="J149" s="100"/>
      <c r="K149" s="341"/>
      <c r="L149" s="342"/>
      <c r="M149" s="338"/>
      <c r="N149" s="339"/>
      <c r="O149" s="339"/>
      <c r="P149" s="340"/>
      <c r="Q149" s="343">
        <f>Q148+R148</f>
        <v>5930</v>
      </c>
      <c r="R149" s="344"/>
      <c r="S149" s="345">
        <f>S148+T148</f>
        <v>809.1</v>
      </c>
      <c r="T149" s="346"/>
      <c r="U149" s="347">
        <f>U148+V148</f>
        <v>60</v>
      </c>
      <c r="V149" s="348"/>
      <c r="W149" s="327">
        <f>W148+X148</f>
        <v>533.71537029941032</v>
      </c>
      <c r="X149" s="328"/>
      <c r="Y149" s="329">
        <f>Y148+Z148</f>
        <v>535.42768514970521</v>
      </c>
      <c r="Z149" s="330"/>
      <c r="AA149" s="327">
        <f>AA148+AB148</f>
        <v>0</v>
      </c>
      <c r="AB149" s="328"/>
      <c r="AC149" s="331">
        <f>AC148+AD148</f>
        <v>0</v>
      </c>
      <c r="AD149" s="332"/>
    </row>
  </sheetData>
  <autoFilter ref="A5:AD112" xr:uid="{3D257094-AFCF-44D4-9CB6-CF8FC9C29795}"/>
  <mergeCells count="104"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A119:A120"/>
    <mergeCell ref="B119:C120"/>
    <mergeCell ref="G119:H120"/>
    <mergeCell ref="I119:J120"/>
    <mergeCell ref="K119:L120"/>
    <mergeCell ref="M119:N119"/>
    <mergeCell ref="E90:J90"/>
    <mergeCell ref="M112:Q112"/>
    <mergeCell ref="X112:AD112"/>
    <mergeCell ref="M113:Q113"/>
    <mergeCell ref="X113:AD113"/>
    <mergeCell ref="F114:G114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U119:V119"/>
    <mergeCell ref="W119:X119"/>
    <mergeCell ref="Y119:Z120"/>
    <mergeCell ref="W133:X133"/>
    <mergeCell ref="Y133:Z133"/>
    <mergeCell ref="AA133:AB133"/>
    <mergeCell ref="AC133:AD133"/>
    <mergeCell ref="A135:A136"/>
    <mergeCell ref="B135:C136"/>
    <mergeCell ref="G135:H136"/>
    <mergeCell ref="I135:J136"/>
    <mergeCell ref="K135:L136"/>
    <mergeCell ref="M135:N135"/>
    <mergeCell ref="A132:A133"/>
    <mergeCell ref="M132:P133"/>
    <mergeCell ref="K133:L133"/>
    <mergeCell ref="Q133:R133"/>
    <mergeCell ref="S133:T133"/>
    <mergeCell ref="U133:V133"/>
    <mergeCell ref="AA135:AB136"/>
    <mergeCell ref="AC135:AD135"/>
    <mergeCell ref="M136:N136"/>
    <mergeCell ref="O136:P136"/>
    <mergeCell ref="Q136:R136"/>
    <mergeCell ref="S136:T136"/>
    <mergeCell ref="U136:V136"/>
    <mergeCell ref="W136:X136"/>
    <mergeCell ref="AC136:AD136"/>
    <mergeCell ref="O135:P135"/>
    <mergeCell ref="Q135:R135"/>
    <mergeCell ref="S135:T135"/>
    <mergeCell ref="U135:V135"/>
    <mergeCell ref="W135:X135"/>
    <mergeCell ref="Y135:Z136"/>
    <mergeCell ref="W149:X149"/>
    <mergeCell ref="Y149:Z149"/>
    <mergeCell ref="AA149:AB149"/>
    <mergeCell ref="AC149:AD149"/>
    <mergeCell ref="A148:A149"/>
    <mergeCell ref="M148:P149"/>
    <mergeCell ref="K149:L149"/>
    <mergeCell ref="Q149:R149"/>
    <mergeCell ref="S149:T149"/>
    <mergeCell ref="U149:V149"/>
  </mergeCells>
  <dataValidations count="1">
    <dataValidation type="list" allowBlank="1" showInputMessage="1" showErrorMessage="1" sqref="B10:C10 B54:C54" xr:uid="{F6ADC025-4CF3-40E2-A703-74B4BFE578EE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34DE-955B-4D95-B8BD-77D10F939707}">
  <sheetPr>
    <tabColor rgb="FF00B050"/>
  </sheetPr>
  <dimension ref="A1:AL144"/>
  <sheetViews>
    <sheetView zoomScale="78" zoomScaleNormal="78" zoomScaleSheetLayoutView="70" workbookViewId="0">
      <pane xSplit="4" ySplit="5" topLeftCell="E87" activePane="bottomRight" state="frozen"/>
      <selection activeCell="M107" sqref="M107"/>
      <selection pane="topRight" activeCell="M107" sqref="M107"/>
      <selection pane="bottomLeft" activeCell="M107" sqref="M107"/>
      <selection pane="bottomRight" activeCell="E88" sqref="E87:AD109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249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 t="s">
        <v>34</v>
      </c>
      <c r="D6" s="255" t="s">
        <v>36</v>
      </c>
      <c r="E6" s="28">
        <v>69010708</v>
      </c>
      <c r="F6" s="29">
        <v>690126</v>
      </c>
      <c r="G6" s="30"/>
      <c r="H6" s="31"/>
      <c r="I6" s="32">
        <v>750</v>
      </c>
      <c r="J6" s="32">
        <v>750</v>
      </c>
      <c r="K6" s="33">
        <f>G6*8/100</f>
        <v>0</v>
      </c>
      <c r="L6" s="34">
        <f>H6*8/100</f>
        <v>0</v>
      </c>
      <c r="M6" s="31">
        <v>940</v>
      </c>
      <c r="N6" s="31">
        <v>1950</v>
      </c>
      <c r="O6" s="31">
        <v>1950</v>
      </c>
      <c r="P6" s="303">
        <v>740</v>
      </c>
      <c r="Q6" s="35">
        <v>2000</v>
      </c>
      <c r="R6" s="35"/>
      <c r="S6" s="36">
        <v>194.1</v>
      </c>
      <c r="T6" s="36"/>
      <c r="U6" s="37"/>
      <c r="V6" s="38"/>
      <c r="W6" s="39">
        <f>S6*1000/39.37/Q6*44.5</f>
        <v>109.69583439166878</v>
      </c>
      <c r="X6" s="39"/>
      <c r="Y6" s="40">
        <f>(AC6+W6)/2</f>
        <v>112.3029171958344</v>
      </c>
      <c r="Z6" s="40"/>
      <c r="AA6" s="41"/>
      <c r="AB6" s="42"/>
      <c r="AC6" s="43">
        <v>114.91</v>
      </c>
      <c r="AD6" s="43"/>
    </row>
    <row r="7" spans="1:31" ht="24" customHeight="1" x14ac:dyDescent="0.4">
      <c r="A7" s="249" t="s">
        <v>37</v>
      </c>
      <c r="B7" s="246" t="s">
        <v>35</v>
      </c>
      <c r="C7" s="253" t="s">
        <v>34</v>
      </c>
      <c r="D7" s="256" t="s">
        <v>241</v>
      </c>
      <c r="E7" s="28">
        <v>69010744</v>
      </c>
      <c r="F7" s="29">
        <v>690126</v>
      </c>
      <c r="G7" s="45"/>
      <c r="H7" s="31"/>
      <c r="I7" s="46">
        <v>750</v>
      </c>
      <c r="J7" s="32">
        <v>750</v>
      </c>
      <c r="K7" s="33">
        <f t="shared" ref="K7:L38" si="0">G7*8/100</f>
        <v>0</v>
      </c>
      <c r="L7" s="47">
        <f t="shared" si="0"/>
        <v>0</v>
      </c>
      <c r="M7" s="31">
        <v>1394</v>
      </c>
      <c r="N7" s="31">
        <v>315</v>
      </c>
      <c r="O7" s="31">
        <v>315</v>
      </c>
      <c r="P7" s="303">
        <v>1138</v>
      </c>
      <c r="Q7" s="35"/>
      <c r="R7" s="48">
        <v>2000</v>
      </c>
      <c r="S7" s="36"/>
      <c r="T7" s="36">
        <v>193</v>
      </c>
      <c r="U7" s="37"/>
      <c r="V7" s="38"/>
      <c r="W7" s="39"/>
      <c r="X7" s="39">
        <f>T7*1000/39.37/R7*44.5</f>
        <v>109.0741681483363</v>
      </c>
      <c r="Y7" s="40"/>
      <c r="Z7" s="40">
        <v>109.99</v>
      </c>
      <c r="AA7" s="41"/>
      <c r="AB7" s="42"/>
      <c r="AC7" s="43"/>
      <c r="AD7" s="43">
        <v>110.9</v>
      </c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69010737</v>
      </c>
      <c r="F8" s="29">
        <v>690111</v>
      </c>
      <c r="G8" s="45"/>
      <c r="H8" s="31"/>
      <c r="I8" s="46">
        <v>750</v>
      </c>
      <c r="J8" s="32">
        <v>750</v>
      </c>
      <c r="K8" s="33">
        <f t="shared" si="0"/>
        <v>0</v>
      </c>
      <c r="L8" s="47">
        <f t="shared" si="0"/>
        <v>0</v>
      </c>
      <c r="M8" s="31">
        <v>1987</v>
      </c>
      <c r="N8" s="31">
        <v>451</v>
      </c>
      <c r="O8" s="31">
        <v>451</v>
      </c>
      <c r="P8" s="303">
        <v>1367</v>
      </c>
      <c r="Q8" s="35"/>
      <c r="R8" s="48">
        <v>2454</v>
      </c>
      <c r="S8" s="36"/>
      <c r="T8" s="36">
        <v>165.1</v>
      </c>
      <c r="U8" s="37"/>
      <c r="V8" s="38">
        <v>25</v>
      </c>
      <c r="W8" s="39"/>
      <c r="X8" s="39">
        <f>T8*1000/39.37/R8*38.5</f>
        <v>65.791203302048004</v>
      </c>
      <c r="Y8" s="40"/>
      <c r="Z8" s="40">
        <f>(AD8+X8)/2</f>
        <v>66.035601651023995</v>
      </c>
      <c r="AA8" s="41"/>
      <c r="AB8" s="42"/>
      <c r="AC8" s="43"/>
      <c r="AD8" s="43">
        <v>66.28</v>
      </c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>
        <v>69010739</v>
      </c>
      <c r="F9" s="29">
        <v>690109</v>
      </c>
      <c r="G9" s="45">
        <v>1010</v>
      </c>
      <c r="H9" s="31">
        <v>790</v>
      </c>
      <c r="I9" s="46">
        <v>110</v>
      </c>
      <c r="J9" s="32">
        <v>110</v>
      </c>
      <c r="K9" s="33">
        <f t="shared" si="0"/>
        <v>80.8</v>
      </c>
      <c r="L9" s="47">
        <f t="shared" si="0"/>
        <v>63.2</v>
      </c>
      <c r="M9" s="31">
        <v>1220</v>
      </c>
      <c r="N9" s="31">
        <v>537</v>
      </c>
      <c r="O9" s="31">
        <v>537</v>
      </c>
      <c r="P9" s="303">
        <v>1581</v>
      </c>
      <c r="Q9" s="35"/>
      <c r="R9" s="48">
        <v>2480</v>
      </c>
      <c r="S9" s="36"/>
      <c r="T9" s="36">
        <v>203.3</v>
      </c>
      <c r="U9" s="37"/>
      <c r="V9" s="38">
        <v>25</v>
      </c>
      <c r="W9" s="39"/>
      <c r="X9" s="39">
        <f>T9*1000/39.37/R9*38.5</f>
        <v>80.164301457635176</v>
      </c>
      <c r="Y9" s="40"/>
      <c r="Z9" s="40">
        <v>81.69</v>
      </c>
      <c r="AA9" s="41"/>
      <c r="AB9" s="42"/>
      <c r="AC9" s="43"/>
      <c r="AD9" s="43">
        <v>83.21</v>
      </c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47</v>
      </c>
      <c r="E10" s="28"/>
      <c r="F10" s="29">
        <v>690119</v>
      </c>
      <c r="G10" s="51">
        <v>921</v>
      </c>
      <c r="H10" s="31">
        <v>823</v>
      </c>
      <c r="I10" s="46">
        <v>110</v>
      </c>
      <c r="J10" s="32">
        <v>110</v>
      </c>
      <c r="K10" s="33">
        <f t="shared" si="0"/>
        <v>73.680000000000007</v>
      </c>
      <c r="L10" s="47">
        <f t="shared" si="0"/>
        <v>65.84</v>
      </c>
      <c r="M10" s="31">
        <v>1220</v>
      </c>
      <c r="N10" s="31">
        <v>2125</v>
      </c>
      <c r="O10" s="31">
        <v>2125</v>
      </c>
      <c r="P10" s="303">
        <v>525</v>
      </c>
      <c r="Q10" s="35"/>
      <c r="R10" s="48"/>
      <c r="S10" s="36"/>
      <c r="T10" s="36"/>
      <c r="U10" s="37"/>
      <c r="V10" s="38"/>
      <c r="W10" s="39"/>
      <c r="X10" s="39"/>
      <c r="Y10" s="40"/>
      <c r="Z10" s="52"/>
      <c r="AA10" s="41"/>
      <c r="AB10" s="42"/>
      <c r="AC10" s="43"/>
      <c r="AD10" s="43"/>
      <c r="AE10" s="260"/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36</v>
      </c>
      <c r="E11" s="28">
        <v>69010745</v>
      </c>
      <c r="F11" s="29">
        <v>690126</v>
      </c>
      <c r="G11" s="45">
        <v>918</v>
      </c>
      <c r="H11" s="31">
        <v>916</v>
      </c>
      <c r="I11" s="46">
        <v>800</v>
      </c>
      <c r="J11" s="32">
        <v>800</v>
      </c>
      <c r="K11" s="33">
        <f t="shared" si="0"/>
        <v>73.44</v>
      </c>
      <c r="L11" s="47">
        <f>H11*8/100</f>
        <v>73.28</v>
      </c>
      <c r="M11" s="53">
        <v>1670</v>
      </c>
      <c r="N11" s="31">
        <v>458</v>
      </c>
      <c r="O11" s="31">
        <v>458</v>
      </c>
      <c r="P11" s="304">
        <v>458</v>
      </c>
      <c r="Q11" s="35"/>
      <c r="R11" s="48">
        <v>2000</v>
      </c>
      <c r="S11" s="36"/>
      <c r="T11" s="36">
        <v>194.6</v>
      </c>
      <c r="U11" s="37"/>
      <c r="V11" s="38"/>
      <c r="W11" s="39"/>
      <c r="X11" s="39">
        <f>T11*1000/39.37/R11*44.5</f>
        <v>109.97840995681993</v>
      </c>
      <c r="Y11" s="40"/>
      <c r="Z11" s="52">
        <v>110.96</v>
      </c>
      <c r="AA11" s="41"/>
      <c r="AB11" s="42"/>
      <c r="AC11" s="43"/>
      <c r="AD11" s="43">
        <v>111.93</v>
      </c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52</v>
      </c>
      <c r="E12" s="28"/>
      <c r="F12" s="29">
        <v>690113</v>
      </c>
      <c r="G12" s="45">
        <v>896</v>
      </c>
      <c r="H12" s="31">
        <v>1044</v>
      </c>
      <c r="I12" s="46">
        <v>800</v>
      </c>
      <c r="J12" s="32">
        <v>800</v>
      </c>
      <c r="K12" s="33">
        <f t="shared" si="0"/>
        <v>71.680000000000007</v>
      </c>
      <c r="L12" s="47">
        <f t="shared" si="0"/>
        <v>83.52</v>
      </c>
      <c r="M12" s="31">
        <v>794</v>
      </c>
      <c r="N12" s="31">
        <v>998</v>
      </c>
      <c r="O12" s="31">
        <v>998</v>
      </c>
      <c r="P12" s="303">
        <v>998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52</v>
      </c>
      <c r="E13" s="28">
        <v>69010717</v>
      </c>
      <c r="F13" s="29">
        <v>690113</v>
      </c>
      <c r="G13" s="45">
        <v>905</v>
      </c>
      <c r="H13" s="31">
        <v>900</v>
      </c>
      <c r="I13" s="46">
        <v>800</v>
      </c>
      <c r="J13" s="32">
        <v>800</v>
      </c>
      <c r="K13" s="33">
        <f t="shared" si="0"/>
        <v>72.400000000000006</v>
      </c>
      <c r="L13" s="47">
        <f t="shared" si="0"/>
        <v>72</v>
      </c>
      <c r="M13" s="31">
        <v>5</v>
      </c>
      <c r="N13" s="31">
        <v>215</v>
      </c>
      <c r="O13" s="31">
        <v>215</v>
      </c>
      <c r="P13" s="303">
        <v>215</v>
      </c>
      <c r="Q13" s="35">
        <v>2500</v>
      </c>
      <c r="R13" s="48"/>
      <c r="S13" s="36">
        <v>180.4</v>
      </c>
      <c r="T13" s="36"/>
      <c r="U13" s="37">
        <v>25</v>
      </c>
      <c r="V13" s="38"/>
      <c r="W13" s="39">
        <f>S13*1000/39.37/Q13*35.5</f>
        <v>65.066802133604284</v>
      </c>
      <c r="X13" s="39"/>
      <c r="Y13" s="40">
        <f>(AC13+W13)/2</f>
        <v>65.953401066802144</v>
      </c>
      <c r="Z13" s="40"/>
      <c r="AA13" s="41"/>
      <c r="AB13" s="42"/>
      <c r="AC13" s="43">
        <v>66.84</v>
      </c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58" t="s">
        <v>237</v>
      </c>
      <c r="E14" s="28"/>
      <c r="F14" s="29">
        <v>690133</v>
      </c>
      <c r="G14" s="45">
        <v>458</v>
      </c>
      <c r="H14" s="31">
        <v>0</v>
      </c>
      <c r="I14" s="46">
        <v>800</v>
      </c>
      <c r="J14" s="32">
        <v>800</v>
      </c>
      <c r="K14" s="33">
        <f t="shared" si="0"/>
        <v>36.64</v>
      </c>
      <c r="L14" s="47">
        <f t="shared" si="0"/>
        <v>0</v>
      </c>
      <c r="M14" s="31">
        <v>1225</v>
      </c>
      <c r="N14" s="31">
        <v>130</v>
      </c>
      <c r="O14" s="31">
        <v>130</v>
      </c>
      <c r="P14" s="303">
        <v>764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47</v>
      </c>
      <c r="E15" s="28"/>
      <c r="F15" s="29">
        <v>690119</v>
      </c>
      <c r="G15" s="55">
        <v>204</v>
      </c>
      <c r="H15" s="31">
        <v>0</v>
      </c>
      <c r="I15" s="46">
        <v>800</v>
      </c>
      <c r="J15" s="32">
        <v>800</v>
      </c>
      <c r="K15" s="33">
        <f t="shared" si="0"/>
        <v>16.32</v>
      </c>
      <c r="L15" s="47">
        <f t="shared" si="0"/>
        <v>0</v>
      </c>
      <c r="M15" s="31">
        <v>0</v>
      </c>
      <c r="N15" s="31">
        <v>0</v>
      </c>
      <c r="O15" s="31">
        <v>0</v>
      </c>
      <c r="P15" s="303">
        <v>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>
        <v>69010710</v>
      </c>
      <c r="F16" s="29">
        <v>690106</v>
      </c>
      <c r="G16" s="55">
        <v>210</v>
      </c>
      <c r="H16" s="31">
        <v>0</v>
      </c>
      <c r="I16" s="46">
        <v>800</v>
      </c>
      <c r="J16" s="32">
        <v>800</v>
      </c>
      <c r="K16" s="33">
        <f t="shared" si="0"/>
        <v>16.8</v>
      </c>
      <c r="L16" s="47">
        <f t="shared" si="0"/>
        <v>0</v>
      </c>
      <c r="M16" s="31">
        <v>804</v>
      </c>
      <c r="N16" s="31">
        <v>1804</v>
      </c>
      <c r="O16" s="31">
        <v>1804</v>
      </c>
      <c r="P16" s="303">
        <v>2236</v>
      </c>
      <c r="Q16" s="35">
        <v>1390</v>
      </c>
      <c r="R16" s="48"/>
      <c r="S16" s="36">
        <v>109.6</v>
      </c>
      <c r="T16" s="36"/>
      <c r="U16" s="37">
        <v>10</v>
      </c>
      <c r="V16" s="38"/>
      <c r="W16" s="39">
        <f>S16*1000/39.37/Q16*31.5</f>
        <v>63.087147757029328</v>
      </c>
      <c r="X16" s="39"/>
      <c r="Y16" s="40">
        <f>(AC16+W16)/2</f>
        <v>64.558573878514665</v>
      </c>
      <c r="Z16" s="52"/>
      <c r="AA16" s="41"/>
      <c r="AB16" s="42"/>
      <c r="AC16" s="43">
        <v>66.03</v>
      </c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>
        <v>69010724</v>
      </c>
      <c r="F17" s="29">
        <v>690106</v>
      </c>
      <c r="G17" s="55">
        <v>405</v>
      </c>
      <c r="H17" s="31">
        <v>634</v>
      </c>
      <c r="I17" s="46">
        <v>800</v>
      </c>
      <c r="J17" s="32">
        <v>800</v>
      </c>
      <c r="K17" s="33">
        <f t="shared" si="0"/>
        <v>32.4</v>
      </c>
      <c r="L17" s="47">
        <f t="shared" si="0"/>
        <v>50.72</v>
      </c>
      <c r="M17" s="31">
        <v>1640</v>
      </c>
      <c r="N17" s="31">
        <v>585</v>
      </c>
      <c r="O17" s="31">
        <v>585</v>
      </c>
      <c r="P17" s="303">
        <v>1487</v>
      </c>
      <c r="Q17" s="35">
        <v>2000</v>
      </c>
      <c r="R17" s="48"/>
      <c r="S17" s="36">
        <v>156</v>
      </c>
      <c r="T17" s="36"/>
      <c r="U17" s="37"/>
      <c r="V17" s="38"/>
      <c r="W17" s="39">
        <f>S17*1000/39.37/Q17*38.5</f>
        <v>76.276352552705106</v>
      </c>
      <c r="X17" s="39"/>
      <c r="Y17" s="40">
        <f>(AC17+W17)/2</f>
        <v>77.513176276352553</v>
      </c>
      <c r="Z17" s="40"/>
      <c r="AA17" s="41"/>
      <c r="AB17" s="42"/>
      <c r="AC17" s="43">
        <v>78.75</v>
      </c>
      <c r="AD17" s="43"/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>
        <v>69010704</v>
      </c>
      <c r="F18" s="29">
        <v>690106</v>
      </c>
      <c r="G18" s="55">
        <v>0</v>
      </c>
      <c r="H18" s="31">
        <v>0</v>
      </c>
      <c r="I18" s="46">
        <v>800</v>
      </c>
      <c r="J18" s="32">
        <v>800</v>
      </c>
      <c r="K18" s="33">
        <f t="shared" si="0"/>
        <v>0</v>
      </c>
      <c r="L18" s="47">
        <f t="shared" si="0"/>
        <v>0</v>
      </c>
      <c r="M18" s="31">
        <v>134</v>
      </c>
      <c r="N18" s="31">
        <v>1049</v>
      </c>
      <c r="O18" s="31">
        <v>1049</v>
      </c>
      <c r="P18" s="303">
        <v>1898</v>
      </c>
      <c r="Q18" s="35">
        <v>2000</v>
      </c>
      <c r="R18" s="48"/>
      <c r="S18" s="36">
        <v>157.69999999999999</v>
      </c>
      <c r="T18" s="36"/>
      <c r="U18" s="37"/>
      <c r="V18" s="38"/>
      <c r="W18" s="39">
        <f>S18*1000/39.37/Q18*38.5</f>
        <v>77.107569215138426</v>
      </c>
      <c r="X18" s="39"/>
      <c r="Y18" s="40">
        <f t="shared" ref="Y18:Z20" si="1">(AC18+W18)/2</f>
        <v>77.97878460756921</v>
      </c>
      <c r="Z18" s="40"/>
      <c r="AA18" s="41"/>
      <c r="AB18" s="42"/>
      <c r="AC18" s="43">
        <v>78.849999999999994</v>
      </c>
      <c r="AD18" s="43"/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59</v>
      </c>
      <c r="E19" s="28">
        <v>69010707</v>
      </c>
      <c r="F19" s="29">
        <v>690112</v>
      </c>
      <c r="G19" s="45">
        <v>1000</v>
      </c>
      <c r="H19" s="31">
        <v>432</v>
      </c>
      <c r="I19" s="46">
        <v>750</v>
      </c>
      <c r="J19" s="32">
        <v>750</v>
      </c>
      <c r="K19" s="33">
        <f t="shared" si="0"/>
        <v>80</v>
      </c>
      <c r="L19" s="47">
        <f t="shared" si="0"/>
        <v>34.56</v>
      </c>
      <c r="M19" s="31">
        <v>836</v>
      </c>
      <c r="N19" s="31">
        <v>1766</v>
      </c>
      <c r="O19" s="31">
        <v>1766</v>
      </c>
      <c r="P19" s="303">
        <v>720</v>
      </c>
      <c r="Q19" s="35">
        <v>1443</v>
      </c>
      <c r="R19" s="48"/>
      <c r="S19" s="36">
        <v>114.9</v>
      </c>
      <c r="T19" s="36"/>
      <c r="U19" s="37"/>
      <c r="V19" s="38"/>
      <c r="W19" s="39">
        <f>S19*1000/39.37/Q19*38.5</f>
        <v>77.866205628461159</v>
      </c>
      <c r="X19" s="39"/>
      <c r="Y19" s="40">
        <f t="shared" si="1"/>
        <v>79.388102814230578</v>
      </c>
      <c r="Z19" s="40"/>
      <c r="AA19" s="41"/>
      <c r="AB19" s="42"/>
      <c r="AC19" s="43">
        <v>80.91</v>
      </c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47</v>
      </c>
      <c r="E20" s="28">
        <v>69010736</v>
      </c>
      <c r="F20" s="29">
        <v>690119</v>
      </c>
      <c r="G20" s="45">
        <v>945</v>
      </c>
      <c r="H20" s="31">
        <v>902</v>
      </c>
      <c r="I20" s="46">
        <v>750</v>
      </c>
      <c r="J20" s="32">
        <v>750</v>
      </c>
      <c r="K20" s="33">
        <f t="shared" si="0"/>
        <v>75.599999999999994</v>
      </c>
      <c r="L20" s="47">
        <f t="shared" si="0"/>
        <v>72.16</v>
      </c>
      <c r="M20" s="31">
        <v>2052</v>
      </c>
      <c r="N20" s="31">
        <v>496</v>
      </c>
      <c r="O20" s="31">
        <v>496</v>
      </c>
      <c r="P20" s="303">
        <v>1264</v>
      </c>
      <c r="Q20" s="35"/>
      <c r="R20" s="48">
        <v>2356</v>
      </c>
      <c r="S20" s="36"/>
      <c r="T20" s="36">
        <v>195.5</v>
      </c>
      <c r="U20" s="37"/>
      <c r="V20" s="38">
        <v>25</v>
      </c>
      <c r="W20" s="39"/>
      <c r="X20" s="39">
        <f>T20*1000/39.37/R20*38.5</f>
        <v>81.145939032115763</v>
      </c>
      <c r="Y20" s="40"/>
      <c r="Z20" s="40">
        <f t="shared" si="1"/>
        <v>80.822969516057881</v>
      </c>
      <c r="AA20" s="41"/>
      <c r="AB20" s="42"/>
      <c r="AC20" s="43"/>
      <c r="AD20" s="43">
        <v>80.5</v>
      </c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146</v>
      </c>
      <c r="E21" s="28"/>
      <c r="F21" s="29">
        <v>690109</v>
      </c>
      <c r="G21" s="45">
        <v>915</v>
      </c>
      <c r="H21" s="31">
        <v>849</v>
      </c>
      <c r="I21" s="46">
        <v>750</v>
      </c>
      <c r="J21" s="32">
        <v>750</v>
      </c>
      <c r="K21" s="33">
        <f t="shared" si="0"/>
        <v>73.2</v>
      </c>
      <c r="L21" s="47">
        <f t="shared" si="0"/>
        <v>67.92</v>
      </c>
      <c r="M21" s="31">
        <v>1596</v>
      </c>
      <c r="N21" s="31">
        <v>0</v>
      </c>
      <c r="O21" s="31">
        <v>0</v>
      </c>
      <c r="P21" s="303">
        <v>910</v>
      </c>
      <c r="Q21" s="35"/>
      <c r="R21" s="48"/>
      <c r="S21" s="36"/>
      <c r="T21" s="36"/>
      <c r="U21" s="37"/>
      <c r="V21" s="38"/>
      <c r="W21" s="39"/>
      <c r="X21" s="39"/>
      <c r="Y21" s="40"/>
      <c r="Z21" s="40"/>
      <c r="AA21" s="41"/>
      <c r="AB21" s="42"/>
      <c r="AC21" s="43"/>
      <c r="AD21" s="43"/>
    </row>
    <row r="22" spans="1:35" ht="26.25" customHeight="1" x14ac:dyDescent="0.4">
      <c r="A22" s="249" t="s">
        <v>68</v>
      </c>
      <c r="B22" s="246" t="s">
        <v>42</v>
      </c>
      <c r="C22" s="253" t="s">
        <v>41</v>
      </c>
      <c r="D22" s="256" t="s">
        <v>59</v>
      </c>
      <c r="E22" s="28">
        <v>69010709</v>
      </c>
      <c r="F22" s="29">
        <v>690112</v>
      </c>
      <c r="G22" s="45">
        <v>930</v>
      </c>
      <c r="H22" s="31">
        <v>954</v>
      </c>
      <c r="I22" s="46">
        <v>750</v>
      </c>
      <c r="J22" s="32">
        <v>750</v>
      </c>
      <c r="K22" s="33">
        <f t="shared" si="0"/>
        <v>74.400000000000006</v>
      </c>
      <c r="L22" s="47">
        <f t="shared" si="0"/>
        <v>76.319999999999993</v>
      </c>
      <c r="M22" s="240">
        <v>726</v>
      </c>
      <c r="N22" s="31">
        <v>1738</v>
      </c>
      <c r="O22" s="31">
        <v>1738</v>
      </c>
      <c r="P22" s="305">
        <v>995</v>
      </c>
      <c r="Q22" s="35">
        <v>1451</v>
      </c>
      <c r="R22" s="48"/>
      <c r="S22" s="36">
        <v>114.6</v>
      </c>
      <c r="T22" s="36"/>
      <c r="U22" s="37"/>
      <c r="V22" s="38"/>
      <c r="W22" s="39">
        <f>S22*1000/39.37/Q22*38.5</f>
        <v>77.234709948399924</v>
      </c>
      <c r="X22" s="39"/>
      <c r="Y22" s="40">
        <f>(AC22+W22)/2</f>
        <v>77.947354974199953</v>
      </c>
      <c r="Z22" s="40"/>
      <c r="AA22" s="41"/>
      <c r="AB22" s="42"/>
      <c r="AC22" s="43">
        <v>78.66</v>
      </c>
      <c r="AD22" s="43"/>
    </row>
    <row r="23" spans="1:35" ht="24" customHeight="1" x14ac:dyDescent="0.4">
      <c r="A23" s="249" t="s">
        <v>70</v>
      </c>
      <c r="B23" s="246" t="s">
        <v>42</v>
      </c>
      <c r="C23" s="253" t="s">
        <v>41</v>
      </c>
      <c r="D23" s="256" t="s">
        <v>57</v>
      </c>
      <c r="E23" s="28"/>
      <c r="F23" s="29">
        <v>690104</v>
      </c>
      <c r="G23" s="45">
        <v>800</v>
      </c>
      <c r="H23" s="31">
        <v>768</v>
      </c>
      <c r="I23" s="46">
        <v>750</v>
      </c>
      <c r="J23" s="32">
        <v>750</v>
      </c>
      <c r="K23" s="33">
        <f t="shared" si="0"/>
        <v>64</v>
      </c>
      <c r="L23" s="47">
        <f t="shared" si="0"/>
        <v>61.44</v>
      </c>
      <c r="M23" s="31">
        <v>1532</v>
      </c>
      <c r="N23" s="31">
        <v>2133</v>
      </c>
      <c r="O23" s="31">
        <v>2133</v>
      </c>
      <c r="P23" s="303">
        <v>668</v>
      </c>
      <c r="Q23" s="35"/>
      <c r="R23" s="48"/>
      <c r="S23" s="36"/>
      <c r="T23" s="36"/>
      <c r="U23" s="37"/>
      <c r="V23" s="38"/>
      <c r="W23" s="39"/>
      <c r="X23" s="39"/>
      <c r="Y23" s="40"/>
      <c r="Z23" s="40"/>
      <c r="AA23" s="41"/>
      <c r="AB23" s="42"/>
      <c r="AC23" s="43"/>
      <c r="AD23" s="43"/>
    </row>
    <row r="24" spans="1:35" ht="24" customHeight="1" x14ac:dyDescent="0.5">
      <c r="A24" s="249" t="s">
        <v>72</v>
      </c>
      <c r="B24" s="246" t="s">
        <v>42</v>
      </c>
      <c r="C24" s="253" t="s">
        <v>41</v>
      </c>
      <c r="D24" s="258" t="s">
        <v>237</v>
      </c>
      <c r="E24" s="28"/>
      <c r="F24" s="29">
        <v>690133</v>
      </c>
      <c r="G24" s="45">
        <v>904</v>
      </c>
      <c r="H24" s="31">
        <v>910</v>
      </c>
      <c r="I24" s="46">
        <v>750</v>
      </c>
      <c r="J24" s="32">
        <v>750</v>
      </c>
      <c r="K24" s="33">
        <f t="shared" si="0"/>
        <v>72.319999999999993</v>
      </c>
      <c r="L24" s="47">
        <f t="shared" si="0"/>
        <v>72.8</v>
      </c>
      <c r="M24" s="31">
        <v>1365</v>
      </c>
      <c r="N24" s="31">
        <v>587</v>
      </c>
      <c r="O24" s="31">
        <v>587</v>
      </c>
      <c r="P24" s="303">
        <v>112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36</v>
      </c>
      <c r="E25" s="28">
        <v>69010705</v>
      </c>
      <c r="F25" s="29">
        <v>690126</v>
      </c>
      <c r="G25" s="45">
        <v>1012</v>
      </c>
      <c r="H25" s="31">
        <v>1257</v>
      </c>
      <c r="I25" s="46">
        <v>750</v>
      </c>
      <c r="J25" s="32">
        <v>750</v>
      </c>
      <c r="K25" s="33">
        <f t="shared" si="0"/>
        <v>80.959999999999994</v>
      </c>
      <c r="L25" s="47">
        <f t="shared" si="0"/>
        <v>100.56</v>
      </c>
      <c r="M25" s="241">
        <v>860</v>
      </c>
      <c r="N25" s="31">
        <v>1638</v>
      </c>
      <c r="O25" s="31">
        <v>1638</v>
      </c>
      <c r="P25" s="306">
        <v>714</v>
      </c>
      <c r="Q25" s="35">
        <v>1515</v>
      </c>
      <c r="R25" s="48"/>
      <c r="S25" s="36">
        <v>148.4</v>
      </c>
      <c r="T25" s="36"/>
      <c r="U25" s="37"/>
      <c r="V25" s="38"/>
      <c r="W25" s="39">
        <f>S25*1000/39.37/Q25*44.5</f>
        <v>110.71739635228447</v>
      </c>
      <c r="X25" s="39"/>
      <c r="Y25" s="40">
        <f>(AC25+W25)/2</f>
        <v>111.99869817614223</v>
      </c>
      <c r="Z25" s="40"/>
      <c r="AA25" s="41"/>
      <c r="AB25" s="42"/>
      <c r="AC25" s="239">
        <v>113.28</v>
      </c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43</v>
      </c>
      <c r="E26" s="28"/>
      <c r="F26" s="29">
        <v>690119</v>
      </c>
      <c r="G26" s="55">
        <v>601</v>
      </c>
      <c r="H26" s="31">
        <v>1035</v>
      </c>
      <c r="I26" s="46">
        <v>800</v>
      </c>
      <c r="J26" s="32">
        <v>800</v>
      </c>
      <c r="K26" s="33">
        <f t="shared" si="0"/>
        <v>48.08</v>
      </c>
      <c r="L26" s="47">
        <f t="shared" si="0"/>
        <v>82.8</v>
      </c>
      <c r="M26" s="242">
        <v>1096</v>
      </c>
      <c r="N26" s="31">
        <v>2198</v>
      </c>
      <c r="O26" s="31">
        <v>2198</v>
      </c>
      <c r="P26" s="307">
        <v>509</v>
      </c>
      <c r="Q26" s="35"/>
      <c r="R26" s="35"/>
      <c r="S26" s="36"/>
      <c r="T26" s="36"/>
      <c r="U26" s="37"/>
      <c r="V26" s="38"/>
      <c r="W26" s="39"/>
      <c r="X26" s="39"/>
      <c r="Y26" s="40"/>
      <c r="Z26" s="40"/>
      <c r="AA26" s="41"/>
      <c r="AB26" s="42"/>
      <c r="AC26" s="43"/>
      <c r="AD26" s="43"/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61</v>
      </c>
      <c r="E27" s="28">
        <v>69010725</v>
      </c>
      <c r="F27" s="29">
        <v>690112</v>
      </c>
      <c r="G27" s="55">
        <v>722</v>
      </c>
      <c r="H27" s="31">
        <v>1025</v>
      </c>
      <c r="I27" s="46">
        <v>800</v>
      </c>
      <c r="J27" s="32">
        <v>800</v>
      </c>
      <c r="K27" s="33">
        <f t="shared" si="0"/>
        <v>57.76</v>
      </c>
      <c r="L27" s="47">
        <f t="shared" si="0"/>
        <v>82</v>
      </c>
      <c r="M27" s="31">
        <v>1619</v>
      </c>
      <c r="N27" s="31">
        <v>919</v>
      </c>
      <c r="O27" s="31">
        <v>919</v>
      </c>
      <c r="P27" s="303">
        <v>1782</v>
      </c>
      <c r="Q27" s="35">
        <v>2000</v>
      </c>
      <c r="R27" s="56"/>
      <c r="S27" s="57">
        <v>155.4</v>
      </c>
      <c r="T27" s="57"/>
      <c r="U27" s="58"/>
      <c r="V27" s="59"/>
      <c r="W27" s="39">
        <f>S27*1000/39.37/Q27*38.5</f>
        <v>75.98298196596393</v>
      </c>
      <c r="X27" s="39"/>
      <c r="Y27" s="40">
        <f t="shared" ref="Y27:Z34" si="2">(AC27+W27)/2</f>
        <v>75.951490982981966</v>
      </c>
      <c r="Z27" s="40"/>
      <c r="AA27" s="41"/>
      <c r="AB27" s="42"/>
      <c r="AC27" s="43">
        <v>75.92</v>
      </c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59</v>
      </c>
      <c r="E28" s="28">
        <v>69010706</v>
      </c>
      <c r="F28" s="29">
        <v>690112</v>
      </c>
      <c r="G28" s="45">
        <v>778</v>
      </c>
      <c r="H28" s="31">
        <v>1076</v>
      </c>
      <c r="I28" s="46">
        <v>800</v>
      </c>
      <c r="J28" s="32">
        <v>800</v>
      </c>
      <c r="K28" s="33">
        <f t="shared" si="0"/>
        <v>62.24</v>
      </c>
      <c r="L28" s="47">
        <f t="shared" si="0"/>
        <v>86.08</v>
      </c>
      <c r="M28" s="31">
        <v>247</v>
      </c>
      <c r="N28" s="31">
        <v>1576</v>
      </c>
      <c r="O28" s="31">
        <v>1576</v>
      </c>
      <c r="P28" s="303">
        <v>0</v>
      </c>
      <c r="Q28" s="35">
        <v>1880</v>
      </c>
      <c r="R28" s="48"/>
      <c r="S28" s="36">
        <v>150.19999999999999</v>
      </c>
      <c r="T28" s="36"/>
      <c r="U28" s="37"/>
      <c r="V28" s="38"/>
      <c r="W28" s="39">
        <f>S28*1000/39.37/Q28*38.5</f>
        <v>78.128124341355075</v>
      </c>
      <c r="X28" s="39"/>
      <c r="Y28" s="40">
        <f t="shared" si="2"/>
        <v>78.54906217067753</v>
      </c>
      <c r="Z28" s="40"/>
      <c r="AA28" s="41"/>
      <c r="AB28" s="42"/>
      <c r="AC28" s="43">
        <v>78.97</v>
      </c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43</v>
      </c>
      <c r="E29" s="28">
        <v>69010715</v>
      </c>
      <c r="F29" s="29">
        <v>690119</v>
      </c>
      <c r="G29" s="45">
        <v>1102</v>
      </c>
      <c r="H29" s="31">
        <v>811</v>
      </c>
      <c r="I29" s="46">
        <v>800</v>
      </c>
      <c r="J29" s="32">
        <v>800</v>
      </c>
      <c r="K29" s="33">
        <f t="shared" si="0"/>
        <v>88.16</v>
      </c>
      <c r="L29" s="47">
        <f t="shared" si="0"/>
        <v>64.88</v>
      </c>
      <c r="M29" s="31">
        <v>371</v>
      </c>
      <c r="N29" s="31">
        <v>1610</v>
      </c>
      <c r="O29" s="31">
        <v>1610</v>
      </c>
      <c r="P29" s="303">
        <v>390</v>
      </c>
      <c r="Q29" s="35">
        <v>852</v>
      </c>
      <c r="R29" s="48"/>
      <c r="S29" s="36">
        <v>66.400000000000006</v>
      </c>
      <c r="T29" s="36"/>
      <c r="U29" s="37">
        <v>10</v>
      </c>
      <c r="V29" s="38"/>
      <c r="W29" s="39">
        <f>S29*1000/39.37/Q29*38.5</f>
        <v>76.212077306783726</v>
      </c>
      <c r="X29" s="39"/>
      <c r="Y29" s="40">
        <f t="shared" si="2"/>
        <v>78.401038653391865</v>
      </c>
      <c r="Z29" s="40"/>
      <c r="AA29" s="41"/>
      <c r="AB29" s="42"/>
      <c r="AC29" s="43">
        <v>80.59</v>
      </c>
      <c r="AD29" s="43"/>
    </row>
    <row r="30" spans="1:35" ht="24" customHeight="1" x14ac:dyDescent="0.4">
      <c r="A30" s="249" t="s">
        <v>80</v>
      </c>
      <c r="B30" s="246"/>
      <c r="C30" s="253" t="s">
        <v>75</v>
      </c>
      <c r="D30" s="256" t="s">
        <v>47</v>
      </c>
      <c r="E30" s="28">
        <v>69010714</v>
      </c>
      <c r="F30" s="29">
        <v>690108</v>
      </c>
      <c r="G30" s="45">
        <v>1300</v>
      </c>
      <c r="H30" s="31">
        <v>863</v>
      </c>
      <c r="I30" s="46">
        <v>800</v>
      </c>
      <c r="J30" s="32">
        <v>800</v>
      </c>
      <c r="K30" s="33">
        <f t="shared" si="0"/>
        <v>104</v>
      </c>
      <c r="L30" s="47">
        <f t="shared" si="0"/>
        <v>69.040000000000006</v>
      </c>
      <c r="M30" s="31">
        <v>715</v>
      </c>
      <c r="N30" s="31">
        <v>1575</v>
      </c>
      <c r="O30" s="31">
        <v>1575</v>
      </c>
      <c r="P30" s="303">
        <v>2208</v>
      </c>
      <c r="Q30" s="35">
        <v>2490</v>
      </c>
      <c r="R30" s="35"/>
      <c r="S30" s="36">
        <v>203.8</v>
      </c>
      <c r="T30" s="36"/>
      <c r="U30" s="37">
        <v>25</v>
      </c>
      <c r="V30" s="38"/>
      <c r="W30" s="39">
        <f>S30*1000/39.37/Q30*38.5</f>
        <v>80.038722326440634</v>
      </c>
      <c r="X30" s="39"/>
      <c r="Y30" s="40">
        <f t="shared" si="2"/>
        <v>80.209361163220308</v>
      </c>
      <c r="Z30" s="40"/>
      <c r="AA30" s="41"/>
      <c r="AB30" s="42"/>
      <c r="AC30" s="43">
        <v>80.38</v>
      </c>
      <c r="AD30" s="43"/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1329</v>
      </c>
      <c r="H31" s="31">
        <v>886</v>
      </c>
      <c r="I31" s="46">
        <v>100</v>
      </c>
      <c r="J31" s="32">
        <v>100</v>
      </c>
      <c r="K31" s="33">
        <f t="shared" si="0"/>
        <v>106.32</v>
      </c>
      <c r="L31" s="47">
        <f t="shared" si="0"/>
        <v>70.88</v>
      </c>
      <c r="M31" s="31">
        <v>0</v>
      </c>
      <c r="N31" s="31">
        <v>0</v>
      </c>
      <c r="O31" s="31">
        <v>0</v>
      </c>
      <c r="P31" s="303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43</v>
      </c>
      <c r="E32" s="28">
        <v>69010728</v>
      </c>
      <c r="F32" s="29">
        <v>690119</v>
      </c>
      <c r="G32" s="60">
        <v>1239</v>
      </c>
      <c r="H32" s="31">
        <v>725</v>
      </c>
      <c r="I32" s="46">
        <v>100</v>
      </c>
      <c r="J32" s="32">
        <v>100</v>
      </c>
      <c r="K32" s="33">
        <f t="shared" si="0"/>
        <v>99.12</v>
      </c>
      <c r="L32" s="47">
        <f t="shared" si="0"/>
        <v>58</v>
      </c>
      <c r="M32" s="31">
        <v>570</v>
      </c>
      <c r="N32" s="31">
        <v>0</v>
      </c>
      <c r="O32" s="31">
        <v>0</v>
      </c>
      <c r="P32" s="303">
        <v>0</v>
      </c>
      <c r="Q32" s="35">
        <v>630</v>
      </c>
      <c r="R32" s="48"/>
      <c r="S32" s="36">
        <v>51.6</v>
      </c>
      <c r="T32" s="36"/>
      <c r="U32" s="37"/>
      <c r="V32" s="38"/>
      <c r="W32" s="39">
        <f>S32*1000/39.37/Q32*38.5</f>
        <v>80.094826856320381</v>
      </c>
      <c r="X32" s="39"/>
      <c r="Y32" s="40">
        <f t="shared" si="2"/>
        <v>79.997413428160201</v>
      </c>
      <c r="Z32" s="40"/>
      <c r="AA32" s="41"/>
      <c r="AB32" s="42"/>
      <c r="AC32" s="43">
        <v>79.900000000000006</v>
      </c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43</v>
      </c>
      <c r="E33" s="28">
        <v>69010729</v>
      </c>
      <c r="F33" s="29">
        <v>690119</v>
      </c>
      <c r="G33" s="60">
        <v>860</v>
      </c>
      <c r="H33" s="31">
        <v>633</v>
      </c>
      <c r="I33" s="63">
        <v>100</v>
      </c>
      <c r="J33" s="64">
        <v>100</v>
      </c>
      <c r="K33" s="65">
        <f t="shared" si="0"/>
        <v>68.8</v>
      </c>
      <c r="L33" s="47">
        <f t="shared" si="0"/>
        <v>50.64</v>
      </c>
      <c r="M33" s="31">
        <v>700</v>
      </c>
      <c r="N33" s="31">
        <v>0</v>
      </c>
      <c r="O33" s="31">
        <v>0</v>
      </c>
      <c r="P33" s="303">
        <v>0</v>
      </c>
      <c r="Q33" s="35">
        <v>700</v>
      </c>
      <c r="R33" s="48"/>
      <c r="S33" s="36">
        <v>55.4</v>
      </c>
      <c r="T33" s="36"/>
      <c r="U33" s="37"/>
      <c r="V33" s="38"/>
      <c r="W33" s="39">
        <f>S33*1000/39.37/Q33*38.5</f>
        <v>77.393954787909578</v>
      </c>
      <c r="X33" s="39"/>
      <c r="Y33" s="40">
        <f t="shared" si="2"/>
        <v>78.681977393954782</v>
      </c>
      <c r="Z33" s="40"/>
      <c r="AA33" s="41"/>
      <c r="AB33" s="42"/>
      <c r="AC33" s="43">
        <v>79.97</v>
      </c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>
        <v>69010731</v>
      </c>
      <c r="F34" s="29">
        <v>690119</v>
      </c>
      <c r="G34" s="60">
        <v>0</v>
      </c>
      <c r="H34" s="31">
        <v>0</v>
      </c>
      <c r="I34" s="46">
        <v>110</v>
      </c>
      <c r="J34" s="32">
        <v>110</v>
      </c>
      <c r="K34" s="33">
        <f t="shared" si="0"/>
        <v>0</v>
      </c>
      <c r="L34" s="47">
        <f t="shared" si="0"/>
        <v>0</v>
      </c>
      <c r="M34" s="31">
        <v>2309</v>
      </c>
      <c r="N34" s="31">
        <v>545</v>
      </c>
      <c r="O34" s="31">
        <v>545</v>
      </c>
      <c r="P34" s="303">
        <v>1215</v>
      </c>
      <c r="Q34" s="35"/>
      <c r="R34" s="48">
        <v>2444</v>
      </c>
      <c r="S34" s="36"/>
      <c r="T34" s="36">
        <v>205.9</v>
      </c>
      <c r="U34" s="37"/>
      <c r="V34" s="38">
        <v>25</v>
      </c>
      <c r="W34" s="39"/>
      <c r="X34" s="39">
        <f>T34*1000/39.37/R34*38.5</f>
        <v>82.385438911630686</v>
      </c>
      <c r="Y34" s="40"/>
      <c r="Z34" s="40">
        <f t="shared" si="2"/>
        <v>82.92271945581534</v>
      </c>
      <c r="AA34" s="41"/>
      <c r="AB34" s="42"/>
      <c r="AC34" s="43"/>
      <c r="AD34" s="43">
        <v>83.46</v>
      </c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58" t="s">
        <v>237</v>
      </c>
      <c r="E35" s="28"/>
      <c r="F35" s="29">
        <v>690133</v>
      </c>
      <c r="G35" s="45">
        <v>60</v>
      </c>
      <c r="H35" s="31">
        <v>0</v>
      </c>
      <c r="I35" s="46">
        <v>110</v>
      </c>
      <c r="J35" s="32">
        <v>110</v>
      </c>
      <c r="K35" s="33">
        <f t="shared" si="0"/>
        <v>4.8</v>
      </c>
      <c r="L35" s="47">
        <f t="shared" si="0"/>
        <v>0</v>
      </c>
      <c r="M35" s="31">
        <v>958</v>
      </c>
      <c r="N35" s="31">
        <v>303</v>
      </c>
      <c r="O35" s="31">
        <v>303</v>
      </c>
      <c r="P35" s="303">
        <v>1130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57</v>
      </c>
      <c r="E36" s="28"/>
      <c r="F36" s="29">
        <v>690106</v>
      </c>
      <c r="G36" s="45">
        <v>0</v>
      </c>
      <c r="H36" s="31">
        <v>0</v>
      </c>
      <c r="I36" s="46">
        <v>115</v>
      </c>
      <c r="J36" s="32">
        <v>115</v>
      </c>
      <c r="K36" s="33">
        <f t="shared" si="0"/>
        <v>0</v>
      </c>
      <c r="L36" s="47">
        <f t="shared" si="0"/>
        <v>0</v>
      </c>
      <c r="M36" s="31">
        <v>368</v>
      </c>
      <c r="N36" s="31">
        <v>368</v>
      </c>
      <c r="O36" s="31">
        <v>368</v>
      </c>
      <c r="P36" s="303">
        <v>368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57</v>
      </c>
      <c r="E37" s="28"/>
      <c r="F37" s="29">
        <v>690106</v>
      </c>
      <c r="G37" s="45">
        <v>680</v>
      </c>
      <c r="H37" s="31">
        <v>670</v>
      </c>
      <c r="I37" s="46">
        <v>115</v>
      </c>
      <c r="J37" s="32">
        <v>115</v>
      </c>
      <c r="K37" s="33">
        <f t="shared" si="0"/>
        <v>54.4</v>
      </c>
      <c r="L37" s="47">
        <f t="shared" si="0"/>
        <v>53.6</v>
      </c>
      <c r="M37" s="31">
        <v>1368</v>
      </c>
      <c r="N37" s="31">
        <v>1368</v>
      </c>
      <c r="O37" s="31">
        <v>1368</v>
      </c>
      <c r="P37" s="303">
        <v>1368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57</v>
      </c>
      <c r="E38" s="28"/>
      <c r="F38" s="29">
        <v>690106</v>
      </c>
      <c r="G38" s="45">
        <v>895</v>
      </c>
      <c r="H38" s="31">
        <v>827</v>
      </c>
      <c r="I38" s="46">
        <v>115</v>
      </c>
      <c r="J38" s="32">
        <v>115</v>
      </c>
      <c r="K38" s="33">
        <f t="shared" si="0"/>
        <v>71.599999999999994</v>
      </c>
      <c r="L38" s="47">
        <f t="shared" si="0"/>
        <v>66.16</v>
      </c>
      <c r="M38" s="31">
        <v>2176</v>
      </c>
      <c r="N38" s="31">
        <v>2176</v>
      </c>
      <c r="O38" s="31">
        <v>2176</v>
      </c>
      <c r="P38" s="303">
        <v>2176</v>
      </c>
      <c r="Q38" s="35"/>
      <c r="R38" s="67"/>
      <c r="S38" s="3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>
        <v>69010738</v>
      </c>
      <c r="F39" s="29">
        <v>690107</v>
      </c>
      <c r="G39" s="45">
        <v>0</v>
      </c>
      <c r="H39" s="31">
        <v>0</v>
      </c>
      <c r="I39" s="63">
        <v>115</v>
      </c>
      <c r="J39" s="64">
        <v>115</v>
      </c>
      <c r="K39" s="65">
        <f t="shared" ref="K39:L55" si="3">G39*8/100</f>
        <v>0</v>
      </c>
      <c r="L39" s="68">
        <f t="shared" si="3"/>
        <v>0</v>
      </c>
      <c r="M39" s="245">
        <v>624</v>
      </c>
      <c r="N39" s="31">
        <v>82</v>
      </c>
      <c r="O39" s="31">
        <v>82</v>
      </c>
      <c r="P39" s="303">
        <v>677</v>
      </c>
      <c r="Q39" s="35"/>
      <c r="R39" s="67">
        <v>1050</v>
      </c>
      <c r="S39" s="36"/>
      <c r="T39" s="36">
        <v>75.599999999999994</v>
      </c>
      <c r="U39" s="37"/>
      <c r="V39" s="37">
        <v>10</v>
      </c>
      <c r="W39" s="39"/>
      <c r="X39" s="39">
        <f>T39*1000/39.37/R39*38.5</f>
        <v>70.408940817881643</v>
      </c>
      <c r="Y39" s="40"/>
      <c r="Z39" s="40">
        <f t="shared" ref="Y39:Z45" si="4">(AD39+X39)/2</f>
        <v>68.254470408940819</v>
      </c>
      <c r="AA39" s="41"/>
      <c r="AB39" s="42"/>
      <c r="AC39" s="43"/>
      <c r="AD39" s="43">
        <v>66.099999999999994</v>
      </c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47</v>
      </c>
      <c r="E40" s="28"/>
      <c r="F40" s="29">
        <v>690106</v>
      </c>
      <c r="G40" s="45">
        <v>0</v>
      </c>
      <c r="H40" s="31">
        <v>0</v>
      </c>
      <c r="I40" s="63">
        <v>115</v>
      </c>
      <c r="J40" s="64">
        <v>115</v>
      </c>
      <c r="K40" s="65">
        <f t="shared" si="3"/>
        <v>0</v>
      </c>
      <c r="L40" s="68">
        <f t="shared" si="3"/>
        <v>0</v>
      </c>
      <c r="M40" s="31">
        <v>140</v>
      </c>
      <c r="N40" s="31">
        <v>813</v>
      </c>
      <c r="O40" s="31">
        <v>813</v>
      </c>
      <c r="P40" s="303">
        <v>1560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>
        <v>69010732</v>
      </c>
      <c r="F41" s="29">
        <v>690119</v>
      </c>
      <c r="G41" s="45">
        <v>0</v>
      </c>
      <c r="H41" s="31">
        <v>0</v>
      </c>
      <c r="I41" s="46">
        <v>120</v>
      </c>
      <c r="J41" s="32">
        <v>120</v>
      </c>
      <c r="K41" s="33">
        <f t="shared" si="3"/>
        <v>0</v>
      </c>
      <c r="L41" s="47">
        <f t="shared" si="3"/>
        <v>0</v>
      </c>
      <c r="M41" s="31">
        <v>2241</v>
      </c>
      <c r="N41" s="31">
        <v>421</v>
      </c>
      <c r="O41" s="31">
        <v>421</v>
      </c>
      <c r="P41" s="303">
        <v>1172</v>
      </c>
      <c r="Q41" s="35"/>
      <c r="R41" s="48">
        <v>2460</v>
      </c>
      <c r="S41" s="36"/>
      <c r="T41" s="36">
        <v>210.3</v>
      </c>
      <c r="U41" s="37"/>
      <c r="V41" s="38">
        <v>25</v>
      </c>
      <c r="W41" s="39"/>
      <c r="X41" s="39">
        <f>T41*1000/39.37/R41*38.5</f>
        <v>83.598691587627101</v>
      </c>
      <c r="Y41" s="40"/>
      <c r="Z41" s="40">
        <f t="shared" si="4"/>
        <v>84.059345793813549</v>
      </c>
      <c r="AA41" s="41"/>
      <c r="AB41" s="42"/>
      <c r="AC41" s="43"/>
      <c r="AD41" s="43">
        <v>84.52</v>
      </c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47</v>
      </c>
      <c r="E42" s="28">
        <v>69010733</v>
      </c>
      <c r="F42" s="29">
        <v>690119</v>
      </c>
      <c r="G42" s="45">
        <v>508</v>
      </c>
      <c r="H42" s="31">
        <v>595</v>
      </c>
      <c r="I42" s="46">
        <v>120</v>
      </c>
      <c r="J42" s="32">
        <v>120</v>
      </c>
      <c r="K42" s="33">
        <f t="shared" si="3"/>
        <v>40.64</v>
      </c>
      <c r="L42" s="47">
        <f t="shared" si="3"/>
        <v>47.6</v>
      </c>
      <c r="M42" s="31">
        <v>2213</v>
      </c>
      <c r="N42" s="31">
        <v>400</v>
      </c>
      <c r="O42" s="31">
        <v>400</v>
      </c>
      <c r="P42" s="303">
        <v>1145</v>
      </c>
      <c r="Q42" s="35"/>
      <c r="R42" s="48">
        <v>2435</v>
      </c>
      <c r="S42" s="36"/>
      <c r="T42" s="36">
        <v>203.5</v>
      </c>
      <c r="U42" s="37"/>
      <c r="V42" s="38">
        <v>20</v>
      </c>
      <c r="W42" s="39"/>
      <c r="X42" s="39">
        <f>T42*1000/39.37/R42*38.5</f>
        <v>81.726097743776606</v>
      </c>
      <c r="Y42" s="40"/>
      <c r="Z42" s="40">
        <f t="shared" si="4"/>
        <v>83.198048871888304</v>
      </c>
      <c r="AA42" s="41"/>
      <c r="AB42" s="42"/>
      <c r="AC42" s="43"/>
      <c r="AD42" s="43">
        <v>84.67</v>
      </c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47</v>
      </c>
      <c r="E43" s="28"/>
      <c r="F43" s="29">
        <v>690119</v>
      </c>
      <c r="G43" s="45">
        <v>673</v>
      </c>
      <c r="H43" s="31">
        <v>747</v>
      </c>
      <c r="I43" s="46">
        <v>120</v>
      </c>
      <c r="J43" s="32">
        <v>120</v>
      </c>
      <c r="K43" s="33">
        <f t="shared" si="3"/>
        <v>53.84</v>
      </c>
      <c r="L43" s="47">
        <f t="shared" si="3"/>
        <v>59.76</v>
      </c>
      <c r="M43" s="31">
        <v>1446</v>
      </c>
      <c r="N43" s="31">
        <v>1998</v>
      </c>
      <c r="O43" s="31">
        <v>1998</v>
      </c>
      <c r="P43" s="303">
        <v>0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>
        <v>69010726</v>
      </c>
      <c r="F44" s="29">
        <v>690128</v>
      </c>
      <c r="G44" s="69">
        <v>640</v>
      </c>
      <c r="H44" s="31">
        <v>751</v>
      </c>
      <c r="I44" s="46">
        <v>120</v>
      </c>
      <c r="J44" s="32">
        <v>120</v>
      </c>
      <c r="K44" s="33">
        <f t="shared" si="3"/>
        <v>51.2</v>
      </c>
      <c r="L44" s="47">
        <f t="shared" si="3"/>
        <v>60.08</v>
      </c>
      <c r="M44" s="31">
        <v>1324</v>
      </c>
      <c r="N44" s="31">
        <v>325</v>
      </c>
      <c r="O44" s="31">
        <v>325</v>
      </c>
      <c r="P44" s="303">
        <v>325</v>
      </c>
      <c r="Q44" s="35">
        <v>1500</v>
      </c>
      <c r="R44" s="48"/>
      <c r="S44" s="36">
        <v>168.4</v>
      </c>
      <c r="T44" s="36"/>
      <c r="U44" s="37">
        <v>15</v>
      </c>
      <c r="V44" s="38"/>
      <c r="W44" s="39">
        <f>S44*1000/39.37/Q44*42.5</f>
        <v>121.19210905088477</v>
      </c>
      <c r="X44" s="39"/>
      <c r="Y44" s="40">
        <f t="shared" si="4"/>
        <v>121.75105452544238</v>
      </c>
      <c r="Z44" s="40"/>
      <c r="AA44" s="41"/>
      <c r="AB44" s="42"/>
      <c r="AC44" s="43">
        <v>122.31</v>
      </c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47</v>
      </c>
      <c r="E45" s="28">
        <v>69010734</v>
      </c>
      <c r="F45" s="29">
        <v>690119</v>
      </c>
      <c r="G45" s="45">
        <v>622</v>
      </c>
      <c r="H45" s="31">
        <v>745</v>
      </c>
      <c r="I45" s="63">
        <v>120</v>
      </c>
      <c r="J45" s="64">
        <v>120</v>
      </c>
      <c r="K45" s="65">
        <f t="shared" si="3"/>
        <v>49.76</v>
      </c>
      <c r="L45" s="68">
        <f t="shared" si="3"/>
        <v>59.6</v>
      </c>
      <c r="M45" s="82">
        <v>2205</v>
      </c>
      <c r="N45" s="31">
        <v>194</v>
      </c>
      <c r="O45" s="31">
        <v>194</v>
      </c>
      <c r="P45" s="308">
        <v>194</v>
      </c>
      <c r="Q45" s="35"/>
      <c r="R45" s="48">
        <v>2420</v>
      </c>
      <c r="S45" s="36"/>
      <c r="T45" s="36">
        <v>201.7</v>
      </c>
      <c r="U45" s="37"/>
      <c r="V45" s="38">
        <v>25</v>
      </c>
      <c r="W45" s="39"/>
      <c r="X45" s="39">
        <f>T45*1000/39.37/R45*38.5</f>
        <v>81.505299374235108</v>
      </c>
      <c r="Y45" s="40"/>
      <c r="Z45" s="40">
        <f t="shared" si="4"/>
        <v>82.642649687117554</v>
      </c>
      <c r="AA45" s="41"/>
      <c r="AB45" s="42"/>
      <c r="AC45" s="43"/>
      <c r="AD45" s="43">
        <v>83.78</v>
      </c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>
        <v>69010746</v>
      </c>
      <c r="F46" s="29">
        <v>690128</v>
      </c>
      <c r="G46" s="45">
        <v>552</v>
      </c>
      <c r="H46" s="31">
        <v>726</v>
      </c>
      <c r="I46" s="46">
        <v>650</v>
      </c>
      <c r="J46" s="32">
        <v>650</v>
      </c>
      <c r="K46" s="33">
        <f t="shared" si="3"/>
        <v>44.16</v>
      </c>
      <c r="L46" s="47">
        <f t="shared" si="3"/>
        <v>58.08</v>
      </c>
      <c r="M46" s="240">
        <v>1076</v>
      </c>
      <c r="N46" s="31">
        <v>342</v>
      </c>
      <c r="O46" s="31">
        <v>342</v>
      </c>
      <c r="P46" s="305">
        <v>1051</v>
      </c>
      <c r="Q46" s="35"/>
      <c r="R46" s="48">
        <v>1500</v>
      </c>
      <c r="S46" s="36"/>
      <c r="T46" s="36">
        <v>170.2</v>
      </c>
      <c r="U46" s="37"/>
      <c r="V46" s="38">
        <v>15</v>
      </c>
      <c r="W46" s="39"/>
      <c r="X46" s="39">
        <f>T46*1000/39.37/R46*42.5</f>
        <v>122.48751164168996</v>
      </c>
      <c r="Y46" s="40"/>
      <c r="Z46" s="40">
        <v>122.76</v>
      </c>
      <c r="AA46" s="41"/>
      <c r="AB46" s="42"/>
      <c r="AC46" s="239"/>
      <c r="AD46" s="43">
        <v>123.02</v>
      </c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8"/>
      <c r="F47" s="29">
        <v>690128</v>
      </c>
      <c r="G47" s="45">
        <v>556</v>
      </c>
      <c r="H47" s="31">
        <v>0</v>
      </c>
      <c r="I47" s="63">
        <v>650</v>
      </c>
      <c r="J47" s="64">
        <v>650</v>
      </c>
      <c r="K47" s="65">
        <f t="shared" si="3"/>
        <v>44.48</v>
      </c>
      <c r="L47" s="68">
        <f t="shared" si="3"/>
        <v>0</v>
      </c>
      <c r="M47" s="31">
        <v>776</v>
      </c>
      <c r="N47" s="31">
        <v>68</v>
      </c>
      <c r="O47" s="31">
        <v>68</v>
      </c>
      <c r="P47" s="303">
        <v>773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239"/>
      <c r="AD47" s="43"/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/>
      <c r="F48" s="29">
        <v>690128</v>
      </c>
      <c r="G48" s="69">
        <v>409</v>
      </c>
      <c r="H48" s="31">
        <v>0</v>
      </c>
      <c r="I48" s="63">
        <v>650</v>
      </c>
      <c r="J48" s="64">
        <v>650</v>
      </c>
      <c r="K48" s="65">
        <f t="shared" si="3"/>
        <v>32.72</v>
      </c>
      <c r="L48" s="68">
        <f t="shared" si="3"/>
        <v>0</v>
      </c>
      <c r="M48" s="31">
        <v>833</v>
      </c>
      <c r="N48" s="31">
        <v>70</v>
      </c>
      <c r="O48" s="31">
        <v>70</v>
      </c>
      <c r="P48" s="303">
        <v>821</v>
      </c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239"/>
      <c r="AD48" s="43"/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47</v>
      </c>
      <c r="E49" s="28">
        <v>69010713</v>
      </c>
      <c r="F49" s="29">
        <v>690119</v>
      </c>
      <c r="G49" s="73">
        <v>766</v>
      </c>
      <c r="H49" s="31">
        <v>709</v>
      </c>
      <c r="I49" s="46">
        <v>650</v>
      </c>
      <c r="J49" s="32">
        <v>650</v>
      </c>
      <c r="K49" s="33">
        <f t="shared" si="3"/>
        <v>61.28</v>
      </c>
      <c r="L49" s="47">
        <f t="shared" si="3"/>
        <v>56.72</v>
      </c>
      <c r="M49" s="31">
        <v>87</v>
      </c>
      <c r="N49" s="31">
        <v>842</v>
      </c>
      <c r="O49" s="31">
        <v>842</v>
      </c>
      <c r="P49" s="303">
        <v>1753</v>
      </c>
      <c r="Q49" s="35">
        <v>2495</v>
      </c>
      <c r="R49" s="48"/>
      <c r="S49" s="36">
        <v>204.4</v>
      </c>
      <c r="T49" s="36"/>
      <c r="U49" s="37">
        <v>25</v>
      </c>
      <c r="V49" s="38"/>
      <c r="W49" s="39">
        <f>S49*1000/39.37/Q49*38.5</f>
        <v>80.113490888304426</v>
      </c>
      <c r="X49" s="39"/>
      <c r="Y49" s="40">
        <f>(AC49+W49)/2</f>
        <v>80.416745444152212</v>
      </c>
      <c r="Z49" s="40"/>
      <c r="AA49" s="41"/>
      <c r="AB49" s="42"/>
      <c r="AC49" s="43">
        <v>80.72</v>
      </c>
      <c r="AD49" s="43"/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47</v>
      </c>
      <c r="E50" s="28"/>
      <c r="F50" s="29">
        <v>690119</v>
      </c>
      <c r="G50" s="74">
        <v>742</v>
      </c>
      <c r="H50" s="31">
        <v>705</v>
      </c>
      <c r="I50" s="46">
        <v>650</v>
      </c>
      <c r="J50" s="32">
        <v>650</v>
      </c>
      <c r="K50" s="33">
        <f t="shared" si="3"/>
        <v>59.36</v>
      </c>
      <c r="L50" s="47">
        <f t="shared" si="3"/>
        <v>56.4</v>
      </c>
      <c r="M50" s="243">
        <v>1120</v>
      </c>
      <c r="N50" s="31">
        <v>2058</v>
      </c>
      <c r="O50" s="31">
        <v>2058</v>
      </c>
      <c r="P50" s="309">
        <v>442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52</v>
      </c>
      <c r="E51" s="28"/>
      <c r="F51" s="29">
        <v>690113</v>
      </c>
      <c r="G51" s="45">
        <v>732</v>
      </c>
      <c r="H51" s="31">
        <v>751</v>
      </c>
      <c r="I51" s="46">
        <v>650</v>
      </c>
      <c r="J51" s="32">
        <v>650</v>
      </c>
      <c r="K51" s="33">
        <f t="shared" si="3"/>
        <v>58.56</v>
      </c>
      <c r="L51" s="47">
        <f t="shared" si="3"/>
        <v>60.08</v>
      </c>
      <c r="M51" s="244">
        <v>1531</v>
      </c>
      <c r="N51" s="31">
        <v>2377</v>
      </c>
      <c r="O51" s="31">
        <v>2377</v>
      </c>
      <c r="P51" s="310">
        <v>778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.75" customHeight="1" x14ac:dyDescent="0.4">
      <c r="A52" s="251" t="s">
        <v>110</v>
      </c>
      <c r="B52" s="246" t="s">
        <v>46</v>
      </c>
      <c r="C52" s="253" t="s">
        <v>45</v>
      </c>
      <c r="D52" s="256" t="s">
        <v>47</v>
      </c>
      <c r="E52" s="28">
        <v>69010712</v>
      </c>
      <c r="F52" s="29">
        <v>690119</v>
      </c>
      <c r="G52" s="45">
        <v>755</v>
      </c>
      <c r="H52" s="31">
        <v>911</v>
      </c>
      <c r="I52" s="46">
        <v>125</v>
      </c>
      <c r="J52" s="32">
        <v>125</v>
      </c>
      <c r="K52" s="33">
        <f t="shared" si="3"/>
        <v>60.4</v>
      </c>
      <c r="L52" s="47">
        <f t="shared" si="3"/>
        <v>72.88</v>
      </c>
      <c r="M52" s="242">
        <v>560</v>
      </c>
      <c r="N52" s="31">
        <v>1300</v>
      </c>
      <c r="O52" s="31">
        <v>1300</v>
      </c>
      <c r="P52" s="307">
        <v>2300</v>
      </c>
      <c r="Q52" s="35">
        <v>2490</v>
      </c>
      <c r="R52" s="48"/>
      <c r="S52" s="36">
        <v>204.2</v>
      </c>
      <c r="T52" s="36"/>
      <c r="U52" s="37">
        <v>25</v>
      </c>
      <c r="V52" s="38"/>
      <c r="W52" s="39">
        <f>S52*1000/39.37/Q52*38.5</f>
        <v>80.195815010103914</v>
      </c>
      <c r="X52" s="39"/>
      <c r="Y52" s="40">
        <f t="shared" ref="Y52:Y53" si="5">(AC52+W52)/2</f>
        <v>80.352907505051959</v>
      </c>
      <c r="Z52" s="40"/>
      <c r="AA52" s="41"/>
      <c r="AB52" s="42"/>
      <c r="AC52" s="43">
        <v>80.510000000000005</v>
      </c>
      <c r="AD52" s="43"/>
    </row>
    <row r="53" spans="1:35" ht="23.25" customHeight="1" x14ac:dyDescent="0.4">
      <c r="A53" s="251" t="s">
        <v>111</v>
      </c>
      <c r="B53" s="246" t="s">
        <v>46</v>
      </c>
      <c r="C53" s="253" t="s">
        <v>45</v>
      </c>
      <c r="D53" s="256" t="s">
        <v>52</v>
      </c>
      <c r="E53" s="28">
        <v>69010716</v>
      </c>
      <c r="F53" s="29">
        <v>690113</v>
      </c>
      <c r="G53" s="69">
        <v>938</v>
      </c>
      <c r="H53" s="31">
        <v>884</v>
      </c>
      <c r="I53" s="46">
        <v>125</v>
      </c>
      <c r="J53" s="32">
        <v>125</v>
      </c>
      <c r="K53" s="33">
        <f t="shared" si="3"/>
        <v>75.040000000000006</v>
      </c>
      <c r="L53" s="47">
        <f t="shared" si="3"/>
        <v>70.72</v>
      </c>
      <c r="M53" s="31">
        <v>580</v>
      </c>
      <c r="N53" s="31">
        <v>1500</v>
      </c>
      <c r="O53" s="31">
        <v>1500</v>
      </c>
      <c r="P53" s="303">
        <v>2400</v>
      </c>
      <c r="Q53" s="35">
        <v>2500</v>
      </c>
      <c r="R53" s="48"/>
      <c r="S53" s="36">
        <v>180.6</v>
      </c>
      <c r="T53" s="36"/>
      <c r="U53" s="37">
        <v>25</v>
      </c>
      <c r="V53" s="38"/>
      <c r="W53" s="39">
        <f>S53*1000/39.37/Q53*35.5</f>
        <v>65.138938277876562</v>
      </c>
      <c r="X53" s="39"/>
      <c r="Y53" s="40">
        <f t="shared" si="5"/>
        <v>66.134469138938272</v>
      </c>
      <c r="Z53" s="40"/>
      <c r="AA53" s="41"/>
      <c r="AB53" s="42"/>
      <c r="AC53" s="43">
        <v>67.13</v>
      </c>
      <c r="AD53" s="43"/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43</v>
      </c>
      <c r="E54" s="28">
        <v>69010743</v>
      </c>
      <c r="F54" s="29">
        <v>690106</v>
      </c>
      <c r="G54" s="69">
        <v>846</v>
      </c>
      <c r="H54" s="31">
        <v>901</v>
      </c>
      <c r="I54" s="63">
        <v>125</v>
      </c>
      <c r="J54" s="64">
        <v>125</v>
      </c>
      <c r="K54" s="65">
        <f t="shared" si="3"/>
        <v>67.680000000000007</v>
      </c>
      <c r="L54" s="68">
        <f t="shared" si="3"/>
        <v>72.08</v>
      </c>
      <c r="M54" s="31">
        <v>1100</v>
      </c>
      <c r="N54" s="31">
        <v>50</v>
      </c>
      <c r="O54" s="31">
        <v>50</v>
      </c>
      <c r="P54" s="303">
        <v>950</v>
      </c>
      <c r="Q54" s="35"/>
      <c r="R54" s="48">
        <v>2030</v>
      </c>
      <c r="S54" s="36"/>
      <c r="T54" s="36">
        <v>164.9</v>
      </c>
      <c r="U54" s="37"/>
      <c r="V54" s="38"/>
      <c r="W54" s="39"/>
      <c r="X54" s="39">
        <f>T54*1000/39.37/R54*38.5</f>
        <v>79.436469217766017</v>
      </c>
      <c r="Y54" s="40"/>
      <c r="Z54" s="40">
        <v>80.06</v>
      </c>
      <c r="AA54" s="41"/>
      <c r="AB54" s="42"/>
      <c r="AC54" s="43"/>
      <c r="AD54" s="43">
        <v>80.680000000000007</v>
      </c>
    </row>
    <row r="55" spans="1:35" ht="24.75" customHeight="1" x14ac:dyDescent="0.4">
      <c r="A55" s="251" t="s">
        <v>113</v>
      </c>
      <c r="B55" s="246" t="s">
        <v>46</v>
      </c>
      <c r="C55" s="253" t="s">
        <v>45</v>
      </c>
      <c r="D55" s="256" t="s">
        <v>47</v>
      </c>
      <c r="E55" s="28"/>
      <c r="F55" s="29">
        <v>690106</v>
      </c>
      <c r="G55" s="45">
        <v>740</v>
      </c>
      <c r="H55" s="31">
        <v>1000</v>
      </c>
      <c r="I55" s="46">
        <v>125</v>
      </c>
      <c r="J55" s="32">
        <v>125</v>
      </c>
      <c r="K55" s="33">
        <f t="shared" si="3"/>
        <v>59.2</v>
      </c>
      <c r="L55" s="47">
        <f t="shared" si="3"/>
        <v>80</v>
      </c>
      <c r="M55" s="31">
        <v>1120</v>
      </c>
      <c r="N55" s="31">
        <v>1990</v>
      </c>
      <c r="O55" s="31">
        <v>1990</v>
      </c>
      <c r="P55" s="303">
        <v>340</v>
      </c>
      <c r="Q55" s="35"/>
      <c r="R55" s="48"/>
      <c r="S55" s="36"/>
      <c r="T55" s="36"/>
      <c r="U55" s="37"/>
      <c r="V55" s="38"/>
      <c r="W55" s="39"/>
      <c r="X55" s="39"/>
      <c r="Y55" s="40"/>
      <c r="Z55" s="40"/>
      <c r="AA55" s="41"/>
      <c r="AB55" s="42"/>
      <c r="AC55" s="43"/>
      <c r="AD55" s="43"/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47</v>
      </c>
      <c r="E56" s="28">
        <v>69010711</v>
      </c>
      <c r="F56" s="29">
        <v>690106</v>
      </c>
      <c r="G56" s="45">
        <v>920</v>
      </c>
      <c r="H56" s="31">
        <v>900</v>
      </c>
      <c r="I56" s="63">
        <v>115</v>
      </c>
      <c r="J56" s="64">
        <v>115</v>
      </c>
      <c r="K56" s="65">
        <v>0</v>
      </c>
      <c r="L56" s="68">
        <v>0</v>
      </c>
      <c r="M56" s="31">
        <v>317</v>
      </c>
      <c r="N56" s="31">
        <v>1210</v>
      </c>
      <c r="O56" s="31">
        <v>1210</v>
      </c>
      <c r="P56" s="303">
        <v>1955</v>
      </c>
      <c r="Q56" s="35">
        <v>2500</v>
      </c>
      <c r="R56" s="48"/>
      <c r="S56" s="36">
        <v>205.6</v>
      </c>
      <c r="T56" s="36"/>
      <c r="U56" s="37">
        <v>25</v>
      </c>
      <c r="V56" s="38"/>
      <c r="W56" s="39">
        <f>S56*1000/39.37/Q56*38.5</f>
        <v>80.422656845313682</v>
      </c>
      <c r="X56" s="39"/>
      <c r="Y56" s="40">
        <f>(AC56+W56)/2</f>
        <v>81.181328422656833</v>
      </c>
      <c r="Z56" s="40"/>
      <c r="AA56" s="41"/>
      <c r="AB56" s="41"/>
      <c r="AC56" s="43">
        <v>81.94</v>
      </c>
      <c r="AD56" s="43"/>
    </row>
    <row r="57" spans="1:35" ht="24" customHeight="1" thickBot="1" x14ac:dyDescent="0.55000000000000004">
      <c r="A57" s="251" t="s">
        <v>117</v>
      </c>
      <c r="B57" s="246" t="s">
        <v>115</v>
      </c>
      <c r="C57" s="253" t="s">
        <v>63</v>
      </c>
      <c r="D57" s="258" t="s">
        <v>237</v>
      </c>
      <c r="E57" s="28"/>
      <c r="F57" s="29">
        <v>690133</v>
      </c>
      <c r="G57" s="69">
        <v>980</v>
      </c>
      <c r="H57" s="31">
        <v>900</v>
      </c>
      <c r="I57" s="46">
        <v>115</v>
      </c>
      <c r="J57" s="32">
        <v>115</v>
      </c>
      <c r="K57" s="33">
        <f t="shared" ref="K57:L82" si="6">G57*8/100</f>
        <v>78.400000000000006</v>
      </c>
      <c r="L57" s="47">
        <f t="shared" si="6"/>
        <v>72</v>
      </c>
      <c r="M57" s="82">
        <v>24</v>
      </c>
      <c r="N57" s="31">
        <v>881</v>
      </c>
      <c r="O57" s="31">
        <v>881</v>
      </c>
      <c r="P57" s="308">
        <v>74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>
        <v>69010730</v>
      </c>
      <c r="F58" s="29">
        <v>690107</v>
      </c>
      <c r="G58" s="45">
        <v>870</v>
      </c>
      <c r="H58" s="31">
        <v>850</v>
      </c>
      <c r="I58" s="46">
        <v>135</v>
      </c>
      <c r="J58" s="32">
        <v>135</v>
      </c>
      <c r="K58" s="33">
        <f t="shared" si="6"/>
        <v>69.599999999999994</v>
      </c>
      <c r="L58" s="47">
        <f t="shared" si="6"/>
        <v>68</v>
      </c>
      <c r="M58" s="240">
        <v>1615</v>
      </c>
      <c r="N58" s="31">
        <v>535</v>
      </c>
      <c r="O58" s="31">
        <v>535</v>
      </c>
      <c r="P58" s="305">
        <v>1450</v>
      </c>
      <c r="Q58" s="35">
        <v>1990</v>
      </c>
      <c r="R58" s="48"/>
      <c r="S58" s="36">
        <v>136.5</v>
      </c>
      <c r="T58" s="36"/>
      <c r="U58" s="37">
        <v>20</v>
      </c>
      <c r="V58" s="38"/>
      <c r="W58" s="39">
        <f>S58*1000/39.37/Q58*38.5</f>
        <v>67.077194455896446</v>
      </c>
      <c r="X58" s="39"/>
      <c r="Y58" s="40">
        <f t="shared" ref="Y58" si="7">(AC58+W58)/2</f>
        <v>66.668597227948226</v>
      </c>
      <c r="Z58" s="40"/>
      <c r="AA58" s="41"/>
      <c r="AB58" s="41"/>
      <c r="AC58" s="43">
        <v>66.260000000000005</v>
      </c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>
        <v>69010748</v>
      </c>
      <c r="F59" s="29">
        <v>690106</v>
      </c>
      <c r="G59" s="45">
        <v>893</v>
      </c>
      <c r="H59" s="31">
        <v>745</v>
      </c>
      <c r="I59" s="46">
        <v>135</v>
      </c>
      <c r="J59" s="32">
        <v>135</v>
      </c>
      <c r="K59" s="33">
        <f t="shared" si="6"/>
        <v>71.44</v>
      </c>
      <c r="L59" s="47">
        <f t="shared" si="6"/>
        <v>59.6</v>
      </c>
      <c r="M59" s="31">
        <v>1313</v>
      </c>
      <c r="N59" s="31">
        <v>176</v>
      </c>
      <c r="O59" s="31">
        <v>176</v>
      </c>
      <c r="P59" s="303">
        <v>1120</v>
      </c>
      <c r="Q59" s="35"/>
      <c r="R59" s="48">
        <v>2180</v>
      </c>
      <c r="S59" s="36"/>
      <c r="T59" s="36">
        <v>171.9</v>
      </c>
      <c r="U59" s="37"/>
      <c r="V59" s="38">
        <v>20</v>
      </c>
      <c r="W59" s="39"/>
      <c r="X59" s="39">
        <f>T59*1000/39.37/R59*31.5</f>
        <v>63.090580309600995</v>
      </c>
      <c r="Y59" s="40"/>
      <c r="Z59" s="40">
        <v>64.37</v>
      </c>
      <c r="AA59" s="41"/>
      <c r="AB59" s="42"/>
      <c r="AC59" s="43"/>
      <c r="AD59" s="43">
        <v>65.650000000000006</v>
      </c>
      <c r="AI59" s="75"/>
    </row>
    <row r="60" spans="1:35" ht="26.25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8"/>
      <c r="F60" s="29">
        <v>690106</v>
      </c>
      <c r="G60" s="45">
        <v>857</v>
      </c>
      <c r="H60" s="31">
        <v>711</v>
      </c>
      <c r="I60" s="46">
        <v>135</v>
      </c>
      <c r="J60" s="64">
        <v>135</v>
      </c>
      <c r="K60" s="65">
        <f t="shared" si="6"/>
        <v>68.56</v>
      </c>
      <c r="L60" s="68">
        <f t="shared" si="6"/>
        <v>56.88</v>
      </c>
      <c r="M60" s="31">
        <v>958</v>
      </c>
      <c r="N60" s="31">
        <v>1993</v>
      </c>
      <c r="O60" s="31">
        <v>1993</v>
      </c>
      <c r="P60" s="303">
        <v>340</v>
      </c>
      <c r="Q60" s="35"/>
      <c r="R60" s="48"/>
      <c r="S60" s="36"/>
      <c r="T60" s="36"/>
      <c r="U60" s="37"/>
      <c r="V60" s="38"/>
      <c r="W60" s="39"/>
      <c r="X60" s="39"/>
      <c r="Y60" s="40"/>
      <c r="Z60" s="40"/>
      <c r="AA60" s="41"/>
      <c r="AB60" s="42"/>
      <c r="AC60" s="43"/>
      <c r="AD60" s="43"/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47</v>
      </c>
      <c r="E61" s="28">
        <v>69010741</v>
      </c>
      <c r="F61" s="29">
        <v>690106</v>
      </c>
      <c r="G61" s="45">
        <v>920</v>
      </c>
      <c r="H61" s="31">
        <v>915</v>
      </c>
      <c r="I61" s="46">
        <v>135</v>
      </c>
      <c r="J61" s="64">
        <v>135</v>
      </c>
      <c r="K61" s="65">
        <f t="shared" si="6"/>
        <v>73.599999999999994</v>
      </c>
      <c r="L61" s="68">
        <f t="shared" si="6"/>
        <v>73.2</v>
      </c>
      <c r="M61" s="31">
        <v>1215</v>
      </c>
      <c r="N61" s="31">
        <v>162</v>
      </c>
      <c r="O61" s="31">
        <v>162</v>
      </c>
      <c r="P61" s="303">
        <v>995</v>
      </c>
      <c r="Q61" s="35"/>
      <c r="R61" s="48">
        <v>2080</v>
      </c>
      <c r="S61" s="36"/>
      <c r="T61" s="36">
        <v>173.5</v>
      </c>
      <c r="U61" s="37"/>
      <c r="V61" s="38">
        <v>20</v>
      </c>
      <c r="W61" s="39"/>
      <c r="X61" s="39">
        <f>T61*1000/39.37/R61*38.5</f>
        <v>81.570187178835894</v>
      </c>
      <c r="Y61" s="40"/>
      <c r="Z61" s="40">
        <v>82.69</v>
      </c>
      <c r="AA61" s="41"/>
      <c r="AB61" s="42"/>
      <c r="AC61" s="43"/>
      <c r="AD61" s="43">
        <v>83.81</v>
      </c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47</v>
      </c>
      <c r="E62" s="28">
        <v>69010735</v>
      </c>
      <c r="F62" s="29">
        <v>690108</v>
      </c>
      <c r="G62" s="45">
        <v>1043</v>
      </c>
      <c r="H62" s="31">
        <v>944</v>
      </c>
      <c r="I62" s="46">
        <v>135</v>
      </c>
      <c r="J62" s="32">
        <v>135</v>
      </c>
      <c r="K62" s="33">
        <f t="shared" si="6"/>
        <v>83.44</v>
      </c>
      <c r="L62" s="47">
        <f t="shared" si="6"/>
        <v>75.52</v>
      </c>
      <c r="M62" s="241">
        <v>1570</v>
      </c>
      <c r="N62" s="31">
        <v>66</v>
      </c>
      <c r="O62" s="31">
        <v>66</v>
      </c>
      <c r="P62" s="306">
        <v>1050</v>
      </c>
      <c r="Q62" s="35"/>
      <c r="R62" s="48">
        <v>1999</v>
      </c>
      <c r="S62" s="36"/>
      <c r="T62" s="36">
        <v>166.4</v>
      </c>
      <c r="U62" s="37"/>
      <c r="V62" s="38">
        <v>20</v>
      </c>
      <c r="W62" s="39"/>
      <c r="X62" s="39">
        <f>T62*1000/39.37/R62*38.5</f>
        <v>81.402143794782845</v>
      </c>
      <c r="Y62" s="40"/>
      <c r="Z62" s="40">
        <f t="shared" ref="Z62" si="8">(AD62+X62)/2</f>
        <v>82.69607189739142</v>
      </c>
      <c r="AA62" s="41"/>
      <c r="AB62" s="42"/>
      <c r="AC62" s="43"/>
      <c r="AD62" s="43">
        <v>83.99</v>
      </c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47</v>
      </c>
      <c r="E63" s="28">
        <v>69010740</v>
      </c>
      <c r="F63" s="29">
        <v>690106</v>
      </c>
      <c r="G63" s="45">
        <v>1035</v>
      </c>
      <c r="H63" s="31">
        <v>887</v>
      </c>
      <c r="I63" s="46">
        <v>135</v>
      </c>
      <c r="J63" s="64">
        <v>135</v>
      </c>
      <c r="K63" s="65">
        <f t="shared" si="6"/>
        <v>82.8</v>
      </c>
      <c r="L63" s="68">
        <f t="shared" si="6"/>
        <v>70.959999999999994</v>
      </c>
      <c r="M63" s="242">
        <v>1275</v>
      </c>
      <c r="N63" s="31">
        <v>125</v>
      </c>
      <c r="O63" s="31">
        <v>125</v>
      </c>
      <c r="P63" s="303">
        <v>880</v>
      </c>
      <c r="Q63" s="35"/>
      <c r="R63" s="48">
        <v>2155</v>
      </c>
      <c r="S63" s="36"/>
      <c r="T63" s="36">
        <v>182.1</v>
      </c>
      <c r="U63" s="37"/>
      <c r="V63" s="38">
        <v>20</v>
      </c>
      <c r="W63" s="39"/>
      <c r="X63" s="39">
        <f>T63*1000/39.37/R63*38.5</f>
        <v>82.633849722455835</v>
      </c>
      <c r="Y63" s="40"/>
      <c r="Z63" s="40">
        <v>83.65</v>
      </c>
      <c r="AA63" s="41"/>
      <c r="AB63" s="42"/>
      <c r="AC63" s="43"/>
      <c r="AD63" s="43">
        <v>84.67</v>
      </c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>
        <v>69010747</v>
      </c>
      <c r="F64" s="29">
        <v>690106</v>
      </c>
      <c r="G64" s="45">
        <v>1027</v>
      </c>
      <c r="H64" s="31">
        <v>833</v>
      </c>
      <c r="I64" s="46">
        <v>135</v>
      </c>
      <c r="J64" s="64">
        <v>135</v>
      </c>
      <c r="K64" s="65">
        <f t="shared" si="6"/>
        <v>82.16</v>
      </c>
      <c r="L64" s="76">
        <f t="shared" si="6"/>
        <v>66.64</v>
      </c>
      <c r="M64" s="31">
        <v>2070</v>
      </c>
      <c r="N64" s="31">
        <v>565</v>
      </c>
      <c r="O64" s="31">
        <v>565</v>
      </c>
      <c r="P64" s="303">
        <v>1565</v>
      </c>
      <c r="Q64" s="35"/>
      <c r="R64" s="48">
        <v>2700</v>
      </c>
      <c r="S64" s="36"/>
      <c r="T64" s="36">
        <v>214.3</v>
      </c>
      <c r="U64" s="37"/>
      <c r="V64" s="38">
        <v>25</v>
      </c>
      <c r="W64" s="39"/>
      <c r="X64" s="39">
        <f>T64*1000/39.37/R64*31.5</f>
        <v>63.504360342054028</v>
      </c>
      <c r="Y64" s="40"/>
      <c r="Z64" s="40">
        <v>64.38</v>
      </c>
      <c r="AA64" s="41"/>
      <c r="AB64" s="42"/>
      <c r="AC64" s="43"/>
      <c r="AD64" s="43">
        <v>65.25</v>
      </c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/>
      <c r="F65" s="29">
        <v>690106</v>
      </c>
      <c r="G65" s="69">
        <v>495</v>
      </c>
      <c r="H65" s="31">
        <v>984</v>
      </c>
      <c r="I65" s="46">
        <v>135</v>
      </c>
      <c r="J65" s="32">
        <v>135</v>
      </c>
      <c r="K65" s="33">
        <f t="shared" si="6"/>
        <v>39.6</v>
      </c>
      <c r="L65" s="47">
        <f t="shared" si="6"/>
        <v>78.72</v>
      </c>
      <c r="M65" s="245">
        <v>930</v>
      </c>
      <c r="N65" s="31">
        <v>1980</v>
      </c>
      <c r="O65" s="31">
        <v>1980</v>
      </c>
      <c r="P65" s="303">
        <v>200</v>
      </c>
      <c r="Q65" s="35"/>
      <c r="R65" s="48"/>
      <c r="S65" s="36"/>
      <c r="T65" s="36"/>
      <c r="U65" s="37"/>
      <c r="V65" s="38"/>
      <c r="W65" s="39"/>
      <c r="X65" s="39"/>
      <c r="Y65" s="40"/>
      <c r="Z65" s="40"/>
      <c r="AA65" s="41"/>
      <c r="AB65" s="42"/>
      <c r="AC65" s="43"/>
      <c r="AD65" s="43"/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58" t="s">
        <v>237</v>
      </c>
      <c r="E66" s="28"/>
      <c r="F66" s="29">
        <v>690133</v>
      </c>
      <c r="G66" s="45">
        <v>1005</v>
      </c>
      <c r="H66" s="31">
        <v>755</v>
      </c>
      <c r="I66" s="46">
        <v>135</v>
      </c>
      <c r="J66" s="32">
        <v>135</v>
      </c>
      <c r="K66" s="33">
        <f t="shared" si="6"/>
        <v>80.400000000000006</v>
      </c>
      <c r="L66" s="47">
        <f t="shared" si="6"/>
        <v>60.4</v>
      </c>
      <c r="M66" s="31">
        <v>900</v>
      </c>
      <c r="N66" s="31">
        <v>530</v>
      </c>
      <c r="O66" s="31">
        <v>530</v>
      </c>
      <c r="P66" s="303">
        <v>1380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/>
      <c r="F67" s="29">
        <v>690128</v>
      </c>
      <c r="G67" s="45">
        <v>1195</v>
      </c>
      <c r="H67" s="31">
        <v>1000</v>
      </c>
      <c r="I67" s="46">
        <v>135</v>
      </c>
      <c r="J67" s="32">
        <v>135</v>
      </c>
      <c r="K67" s="33">
        <f t="shared" si="6"/>
        <v>95.6</v>
      </c>
      <c r="L67" s="47">
        <f t="shared" si="6"/>
        <v>80</v>
      </c>
      <c r="M67" s="31">
        <v>160</v>
      </c>
      <c r="N67" s="31">
        <v>1090</v>
      </c>
      <c r="O67" s="31">
        <v>1090</v>
      </c>
      <c r="P67" s="303">
        <v>90</v>
      </c>
      <c r="Q67" s="35"/>
      <c r="R67" s="48"/>
      <c r="S67" s="36"/>
      <c r="T67" s="36"/>
      <c r="U67" s="37"/>
      <c r="V67" s="38"/>
      <c r="W67" s="39"/>
      <c r="X67" s="39"/>
      <c r="Y67" s="40"/>
      <c r="Z67" s="40"/>
      <c r="AA67" s="41"/>
      <c r="AB67" s="235"/>
      <c r="AC67" s="239"/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47</v>
      </c>
      <c r="E68" s="28">
        <v>69010742</v>
      </c>
      <c r="F68" s="29">
        <v>690119</v>
      </c>
      <c r="G68" s="69">
        <v>1050</v>
      </c>
      <c r="H68" s="31">
        <v>830</v>
      </c>
      <c r="I68" s="46">
        <v>130</v>
      </c>
      <c r="J68" s="32">
        <v>130</v>
      </c>
      <c r="K68" s="33">
        <f t="shared" si="6"/>
        <v>84</v>
      </c>
      <c r="L68" s="47">
        <f t="shared" si="6"/>
        <v>66.400000000000006</v>
      </c>
      <c r="M68" s="31">
        <v>1300</v>
      </c>
      <c r="N68" s="31">
        <v>123</v>
      </c>
      <c r="O68" s="31">
        <v>123</v>
      </c>
      <c r="P68" s="303">
        <v>733</v>
      </c>
      <c r="Q68" s="35"/>
      <c r="R68" s="48">
        <v>2070</v>
      </c>
      <c r="S68" s="36"/>
      <c r="T68" s="36">
        <v>169.6</v>
      </c>
      <c r="U68" s="37"/>
      <c r="V68" s="38">
        <v>20</v>
      </c>
      <c r="W68" s="39"/>
      <c r="X68" s="39">
        <f>T68*1000/39.37/R68*38.5</f>
        <v>80.121822079392942</v>
      </c>
      <c r="Y68" s="40"/>
      <c r="Z68" s="40">
        <v>81.7</v>
      </c>
      <c r="AA68" s="41"/>
      <c r="AB68" s="42"/>
      <c r="AC68" s="43"/>
      <c r="AD68" s="43">
        <v>83.27</v>
      </c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47</v>
      </c>
      <c r="E69" s="28"/>
      <c r="F69" s="29">
        <v>690119</v>
      </c>
      <c r="G69" s="69">
        <v>1130</v>
      </c>
      <c r="H69" s="31">
        <v>850</v>
      </c>
      <c r="I69" s="46">
        <v>780</v>
      </c>
      <c r="J69" s="32">
        <v>780</v>
      </c>
      <c r="K69" s="33">
        <f t="shared" si="6"/>
        <v>90.4</v>
      </c>
      <c r="L69" s="47">
        <f t="shared" si="6"/>
        <v>68</v>
      </c>
      <c r="M69" s="31">
        <v>597</v>
      </c>
      <c r="N69" s="31">
        <v>1365</v>
      </c>
      <c r="O69" s="31">
        <v>1365</v>
      </c>
      <c r="P69" s="303">
        <v>2345</v>
      </c>
      <c r="Q69" s="35"/>
      <c r="R69" s="48"/>
      <c r="S69" s="36"/>
      <c r="T69" s="36"/>
      <c r="U69" s="37"/>
      <c r="V69" s="38"/>
      <c r="W69" s="39"/>
      <c r="X69" s="39"/>
      <c r="Y69" s="40"/>
      <c r="Z69" s="40"/>
      <c r="AA69" s="41"/>
      <c r="AB69" s="42"/>
      <c r="AC69" s="43"/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47</v>
      </c>
      <c r="E70" s="28"/>
      <c r="F70" s="29">
        <v>690119</v>
      </c>
      <c r="G70" s="45">
        <v>930</v>
      </c>
      <c r="H70" s="31">
        <v>700</v>
      </c>
      <c r="I70" s="46">
        <v>780</v>
      </c>
      <c r="J70" s="32">
        <v>780</v>
      </c>
      <c r="K70" s="33">
        <f t="shared" si="6"/>
        <v>74.400000000000006</v>
      </c>
      <c r="L70" s="47">
        <f t="shared" si="6"/>
        <v>56</v>
      </c>
      <c r="M70" s="82">
        <v>190</v>
      </c>
      <c r="N70" s="31">
        <v>801</v>
      </c>
      <c r="O70" s="31">
        <v>801</v>
      </c>
      <c r="P70" s="308">
        <v>1561</v>
      </c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43</v>
      </c>
      <c r="E71" s="28"/>
      <c r="F71" s="29">
        <v>690106</v>
      </c>
      <c r="G71" s="45">
        <v>898</v>
      </c>
      <c r="H71" s="31">
        <v>610</v>
      </c>
      <c r="I71" s="46">
        <v>780</v>
      </c>
      <c r="J71" s="32">
        <v>780</v>
      </c>
      <c r="K71" s="33">
        <f t="shared" si="6"/>
        <v>71.84</v>
      </c>
      <c r="L71" s="47">
        <f t="shared" si="6"/>
        <v>48.8</v>
      </c>
      <c r="M71" s="240">
        <v>404</v>
      </c>
      <c r="N71" s="31">
        <v>1121</v>
      </c>
      <c r="O71" s="31">
        <v>1121</v>
      </c>
      <c r="P71" s="305">
        <v>2081</v>
      </c>
      <c r="Q71" s="35"/>
      <c r="R71" s="48"/>
      <c r="S71" s="36"/>
      <c r="T71" s="36"/>
      <c r="U71" s="37"/>
      <c r="V71" s="38"/>
      <c r="W71" s="39"/>
      <c r="X71" s="39"/>
      <c r="Y71" s="40"/>
      <c r="Z71" s="40"/>
      <c r="AA71" s="41"/>
      <c r="AB71" s="42"/>
      <c r="AC71" s="43"/>
      <c r="AD71" s="43"/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65</v>
      </c>
      <c r="E72" s="28"/>
      <c r="F72" s="29">
        <v>690104</v>
      </c>
      <c r="G72" s="77">
        <v>768</v>
      </c>
      <c r="H72" s="31">
        <v>980</v>
      </c>
      <c r="I72" s="63">
        <v>780</v>
      </c>
      <c r="J72" s="64">
        <v>780</v>
      </c>
      <c r="K72" s="65">
        <f t="shared" si="6"/>
        <v>61.44</v>
      </c>
      <c r="L72" s="47">
        <f t="shared" si="6"/>
        <v>78.400000000000006</v>
      </c>
      <c r="M72" s="31">
        <v>0</v>
      </c>
      <c r="N72" s="31">
        <v>900</v>
      </c>
      <c r="O72" s="31">
        <v>900</v>
      </c>
      <c r="P72" s="303">
        <v>1870</v>
      </c>
      <c r="Q72" s="35"/>
      <c r="R72" s="48"/>
      <c r="S72" s="36"/>
      <c r="T72" s="36"/>
      <c r="U72" s="37"/>
      <c r="V72" s="38"/>
      <c r="W72" s="39"/>
      <c r="X72" s="39"/>
      <c r="Y72" s="40"/>
      <c r="Z72" s="40"/>
      <c r="AA72" s="41"/>
      <c r="AB72" s="42"/>
      <c r="AC72" s="43"/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94</v>
      </c>
      <c r="E73" s="28"/>
      <c r="F73" s="29">
        <v>690107</v>
      </c>
      <c r="G73" s="78">
        <v>611</v>
      </c>
      <c r="H73" s="31">
        <v>760</v>
      </c>
      <c r="I73" s="63">
        <v>780</v>
      </c>
      <c r="J73" s="64">
        <v>780</v>
      </c>
      <c r="K73" s="65">
        <f t="shared" si="6"/>
        <v>48.88</v>
      </c>
      <c r="L73" s="47">
        <f t="shared" si="6"/>
        <v>60.8</v>
      </c>
      <c r="M73" s="31">
        <v>79</v>
      </c>
      <c r="N73" s="31">
        <v>831</v>
      </c>
      <c r="O73" s="31">
        <v>831</v>
      </c>
      <c r="P73" s="303">
        <v>1697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x14ac:dyDescent="0.4">
      <c r="A74" s="249" t="s">
        <v>138</v>
      </c>
      <c r="B74" s="246" t="s">
        <v>76</v>
      </c>
      <c r="C74" s="253" t="s">
        <v>34</v>
      </c>
      <c r="D74" s="256" t="s">
        <v>94</v>
      </c>
      <c r="E74" s="28"/>
      <c r="F74" s="29">
        <v>690107</v>
      </c>
      <c r="G74" s="79">
        <v>717</v>
      </c>
      <c r="H74" s="31">
        <v>960</v>
      </c>
      <c r="I74" s="63">
        <v>780</v>
      </c>
      <c r="J74" s="64">
        <v>780</v>
      </c>
      <c r="K74" s="65">
        <f t="shared" si="6"/>
        <v>57.36</v>
      </c>
      <c r="L74" s="68">
        <f t="shared" si="6"/>
        <v>76.8</v>
      </c>
      <c r="M74" s="31">
        <v>223</v>
      </c>
      <c r="N74" s="31">
        <v>150</v>
      </c>
      <c r="O74" s="31">
        <v>150</v>
      </c>
      <c r="P74" s="303">
        <v>1020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140</v>
      </c>
      <c r="E75" s="28">
        <v>69010721</v>
      </c>
      <c r="F75" s="29">
        <v>690109</v>
      </c>
      <c r="G75" s="80">
        <v>900</v>
      </c>
      <c r="H75" s="31">
        <v>970</v>
      </c>
      <c r="I75" s="46">
        <v>800</v>
      </c>
      <c r="J75" s="32">
        <v>800</v>
      </c>
      <c r="K75" s="33">
        <f t="shared" si="6"/>
        <v>72</v>
      </c>
      <c r="L75" s="47">
        <f t="shared" si="6"/>
        <v>77.599999999999994</v>
      </c>
      <c r="M75" s="242">
        <v>1538</v>
      </c>
      <c r="N75" s="31">
        <v>750</v>
      </c>
      <c r="O75" s="31">
        <v>750</v>
      </c>
      <c r="P75" s="307">
        <v>1755</v>
      </c>
      <c r="Q75" s="35">
        <v>2000</v>
      </c>
      <c r="R75" s="48"/>
      <c r="S75" s="36">
        <v>152.9</v>
      </c>
      <c r="T75" s="36"/>
      <c r="U75" s="37"/>
      <c r="V75" s="38"/>
      <c r="W75" s="39">
        <f t="shared" ref="W75:W82" si="9">S75*1000/39.37/Q75*38.5</f>
        <v>74.760604521209046</v>
      </c>
      <c r="X75" s="39"/>
      <c r="Y75" s="40">
        <f t="shared" ref="Y75:Y76" si="10">(AC75+W75)/2</f>
        <v>74.860302260604527</v>
      </c>
      <c r="Z75" s="40"/>
      <c r="AA75" s="41"/>
      <c r="AB75" s="42"/>
      <c r="AC75" s="43">
        <v>74.959999999999994</v>
      </c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140</v>
      </c>
      <c r="E76" s="28">
        <v>69010718</v>
      </c>
      <c r="F76" s="29">
        <v>690109</v>
      </c>
      <c r="G76" s="45">
        <v>752</v>
      </c>
      <c r="H76" s="31">
        <v>866</v>
      </c>
      <c r="I76" s="46">
        <v>800</v>
      </c>
      <c r="J76" s="32">
        <v>800</v>
      </c>
      <c r="K76" s="33">
        <f t="shared" si="6"/>
        <v>60.16</v>
      </c>
      <c r="L76" s="47">
        <f t="shared" si="6"/>
        <v>69.28</v>
      </c>
      <c r="M76" s="31">
        <v>1844</v>
      </c>
      <c r="N76" s="31">
        <v>970</v>
      </c>
      <c r="O76" s="31">
        <v>970</v>
      </c>
      <c r="P76" s="303">
        <v>1988</v>
      </c>
      <c r="Q76" s="35">
        <v>2000</v>
      </c>
      <c r="R76" s="48"/>
      <c r="S76" s="36">
        <v>151.69999999999999</v>
      </c>
      <c r="T76" s="36"/>
      <c r="U76" s="37"/>
      <c r="V76" s="38"/>
      <c r="W76" s="39">
        <f t="shared" si="9"/>
        <v>74.173863347726709</v>
      </c>
      <c r="X76" s="39"/>
      <c r="Y76" s="40">
        <f t="shared" si="10"/>
        <v>74.001931673863353</v>
      </c>
      <c r="Z76" s="40"/>
      <c r="AA76" s="41"/>
      <c r="AB76" s="42"/>
      <c r="AC76" s="43">
        <v>73.83</v>
      </c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146</v>
      </c>
      <c r="E77" s="28">
        <v>69010703</v>
      </c>
      <c r="F77" s="29">
        <v>690109</v>
      </c>
      <c r="G77" s="45">
        <v>821</v>
      </c>
      <c r="H77" s="31">
        <v>870</v>
      </c>
      <c r="I77" s="46">
        <v>800</v>
      </c>
      <c r="J77" s="32">
        <v>800</v>
      </c>
      <c r="K77" s="33">
        <f t="shared" si="6"/>
        <v>65.680000000000007</v>
      </c>
      <c r="L77" s="47">
        <f t="shared" si="6"/>
        <v>69.599999999999994</v>
      </c>
      <c r="M77" s="31">
        <v>20</v>
      </c>
      <c r="N77" s="31">
        <v>1071</v>
      </c>
      <c r="O77" s="31">
        <v>1071</v>
      </c>
      <c r="P77" s="303">
        <v>79</v>
      </c>
      <c r="Q77" s="35">
        <v>2000</v>
      </c>
      <c r="R77" s="48"/>
      <c r="S77" s="36">
        <v>147.1</v>
      </c>
      <c r="T77" s="36"/>
      <c r="U77" s="37"/>
      <c r="V77" s="38"/>
      <c r="W77" s="39">
        <f t="shared" si="9"/>
        <v>71.924688849377702</v>
      </c>
      <c r="X77" s="39"/>
      <c r="Y77" s="40">
        <f>(AC77+W77)/2</f>
        <v>72.152344424688849</v>
      </c>
      <c r="Z77" s="40"/>
      <c r="AA77" s="41"/>
      <c r="AB77" s="42"/>
      <c r="AC77" s="43">
        <v>72.38</v>
      </c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140</v>
      </c>
      <c r="E78" s="28">
        <v>69010727</v>
      </c>
      <c r="F78" s="29">
        <v>690106</v>
      </c>
      <c r="G78" s="45">
        <v>1212</v>
      </c>
      <c r="H78" s="31">
        <v>1005</v>
      </c>
      <c r="I78" s="46">
        <v>800</v>
      </c>
      <c r="J78" s="32">
        <v>800</v>
      </c>
      <c r="K78" s="33">
        <f t="shared" si="6"/>
        <v>96.96</v>
      </c>
      <c r="L78" s="47">
        <f t="shared" si="6"/>
        <v>80.400000000000006</v>
      </c>
      <c r="M78" s="31">
        <v>1717</v>
      </c>
      <c r="N78" s="31">
        <v>650</v>
      </c>
      <c r="O78" s="31">
        <v>650</v>
      </c>
      <c r="P78" s="303">
        <v>1655</v>
      </c>
      <c r="Q78" s="35">
        <v>2000</v>
      </c>
      <c r="R78" s="48"/>
      <c r="S78" s="36">
        <v>151.19999999999999</v>
      </c>
      <c r="T78" s="36"/>
      <c r="U78" s="37"/>
      <c r="V78" s="38"/>
      <c r="W78" s="39">
        <f t="shared" si="9"/>
        <v>73.929387858775726</v>
      </c>
      <c r="X78" s="39"/>
      <c r="Y78" s="40">
        <f>(AC78+W78)/2</f>
        <v>74.344693929387859</v>
      </c>
      <c r="Z78" s="40"/>
      <c r="AA78" s="41"/>
      <c r="AB78" s="42"/>
      <c r="AC78" s="43">
        <v>74.760000000000005</v>
      </c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140</v>
      </c>
      <c r="E79" s="28">
        <v>69010719</v>
      </c>
      <c r="F79" s="29">
        <v>690109</v>
      </c>
      <c r="G79" s="45">
        <v>1126</v>
      </c>
      <c r="H79" s="31">
        <v>1018</v>
      </c>
      <c r="I79" s="46">
        <v>800</v>
      </c>
      <c r="J79" s="32">
        <v>800</v>
      </c>
      <c r="K79" s="33"/>
      <c r="L79" s="47">
        <f t="shared" si="6"/>
        <v>81.44</v>
      </c>
      <c r="M79" s="31">
        <v>1858</v>
      </c>
      <c r="N79" s="31">
        <v>860</v>
      </c>
      <c r="O79" s="31">
        <v>860</v>
      </c>
      <c r="P79" s="303">
        <v>1568</v>
      </c>
      <c r="Q79" s="35">
        <v>2000</v>
      </c>
      <c r="R79" s="48"/>
      <c r="S79" s="36">
        <v>150.5</v>
      </c>
      <c r="T79" s="36"/>
      <c r="U79" s="37"/>
      <c r="V79" s="38"/>
      <c r="W79" s="39">
        <f t="shared" si="9"/>
        <v>73.587122174244357</v>
      </c>
      <c r="X79" s="39"/>
      <c r="Y79" s="40">
        <f>(AC79+W79)/2</f>
        <v>72.983561087122183</v>
      </c>
      <c r="Z79" s="40"/>
      <c r="AA79" s="41"/>
      <c r="AB79" s="42"/>
      <c r="AC79" s="43">
        <v>72.38</v>
      </c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140</v>
      </c>
      <c r="E80" s="28">
        <v>69010702</v>
      </c>
      <c r="F80" s="29">
        <v>690109</v>
      </c>
      <c r="G80" s="45">
        <v>1051</v>
      </c>
      <c r="H80" s="31">
        <v>1008</v>
      </c>
      <c r="I80" s="46">
        <v>800</v>
      </c>
      <c r="J80" s="32">
        <v>800</v>
      </c>
      <c r="K80" s="33">
        <f t="shared" si="6"/>
        <v>84.08</v>
      </c>
      <c r="L80" s="47">
        <f t="shared" si="6"/>
        <v>80.64</v>
      </c>
      <c r="M80" s="31">
        <v>10</v>
      </c>
      <c r="N80" s="31">
        <v>1220</v>
      </c>
      <c r="O80" s="31">
        <v>1220</v>
      </c>
      <c r="P80" s="303">
        <v>1910</v>
      </c>
      <c r="Q80" s="35">
        <v>2000</v>
      </c>
      <c r="R80" s="48"/>
      <c r="S80" s="36">
        <v>151.1</v>
      </c>
      <c r="T80" s="36"/>
      <c r="U80" s="37"/>
      <c r="V80" s="38"/>
      <c r="W80" s="39">
        <f t="shared" si="9"/>
        <v>73.880492760985518</v>
      </c>
      <c r="X80" s="39"/>
      <c r="Y80" s="40">
        <f>(AC80+W80)/2</f>
        <v>74.835246380492762</v>
      </c>
      <c r="Z80" s="40"/>
      <c r="AA80" s="41"/>
      <c r="AB80" s="42"/>
      <c r="AC80" s="43">
        <v>75.790000000000006</v>
      </c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140</v>
      </c>
      <c r="E81" s="28">
        <v>69010722</v>
      </c>
      <c r="F81" s="29">
        <v>690109</v>
      </c>
      <c r="G81" s="45">
        <v>933</v>
      </c>
      <c r="H81" s="31">
        <v>1005</v>
      </c>
      <c r="I81" s="46">
        <v>800</v>
      </c>
      <c r="J81" s="32">
        <v>800</v>
      </c>
      <c r="K81" s="33">
        <f t="shared" si="6"/>
        <v>74.64</v>
      </c>
      <c r="L81" s="47">
        <f t="shared" si="6"/>
        <v>80.400000000000006</v>
      </c>
      <c r="M81" s="31">
        <v>1542</v>
      </c>
      <c r="N81" s="31">
        <v>732</v>
      </c>
      <c r="O81" s="31">
        <v>732</v>
      </c>
      <c r="P81" s="303">
        <v>1422</v>
      </c>
      <c r="Q81" s="35">
        <v>2000</v>
      </c>
      <c r="R81" s="48"/>
      <c r="S81" s="36">
        <v>153.4</v>
      </c>
      <c r="T81" s="36"/>
      <c r="U81" s="37"/>
      <c r="V81" s="38"/>
      <c r="W81" s="39">
        <f t="shared" si="9"/>
        <v>75.005080010160029</v>
      </c>
      <c r="X81" s="39"/>
      <c r="Y81" s="40">
        <f t="shared" ref="Y81:Y82" si="11">(AC81+W81)/2</f>
        <v>74.937540005080024</v>
      </c>
      <c r="Z81" s="40"/>
      <c r="AA81" s="41"/>
      <c r="AB81" s="42"/>
      <c r="AC81" s="43">
        <v>74.87</v>
      </c>
      <c r="AD81" s="43"/>
    </row>
    <row r="82" spans="1:34" ht="24" customHeight="1" x14ac:dyDescent="0.4">
      <c r="A82" s="249" t="s">
        <v>148</v>
      </c>
      <c r="B82" s="246" t="s">
        <v>116</v>
      </c>
      <c r="C82" s="253" t="s">
        <v>63</v>
      </c>
      <c r="D82" s="256" t="s">
        <v>140</v>
      </c>
      <c r="E82" s="28">
        <v>69010720</v>
      </c>
      <c r="F82" s="29">
        <v>690109</v>
      </c>
      <c r="G82" s="45">
        <v>1002</v>
      </c>
      <c r="H82" s="31">
        <v>708</v>
      </c>
      <c r="I82" s="46">
        <v>800</v>
      </c>
      <c r="J82" s="32">
        <v>800</v>
      </c>
      <c r="K82" s="33">
        <f t="shared" si="6"/>
        <v>80.16</v>
      </c>
      <c r="L82" s="47">
        <f t="shared" si="6"/>
        <v>56.64</v>
      </c>
      <c r="M82" s="31">
        <v>1953</v>
      </c>
      <c r="N82" s="31">
        <v>1096</v>
      </c>
      <c r="O82" s="31">
        <v>1096</v>
      </c>
      <c r="P82" s="303">
        <v>1786</v>
      </c>
      <c r="Q82" s="35">
        <v>2000</v>
      </c>
      <c r="R82" s="48"/>
      <c r="S82" s="36">
        <v>148.9</v>
      </c>
      <c r="T82" s="36"/>
      <c r="U82" s="37"/>
      <c r="V82" s="38"/>
      <c r="W82" s="39">
        <f t="shared" si="9"/>
        <v>72.804800609601216</v>
      </c>
      <c r="X82" s="39"/>
      <c r="Y82" s="40">
        <f t="shared" si="11"/>
        <v>73.052400304800614</v>
      </c>
      <c r="Z82" s="40"/>
      <c r="AA82" s="41"/>
      <c r="AB82" s="42"/>
      <c r="AC82" s="43">
        <v>73.3</v>
      </c>
      <c r="AD82" s="43"/>
    </row>
    <row r="83" spans="1:34" ht="24" customHeight="1" x14ac:dyDescent="0.4">
      <c r="A83" s="71" t="s">
        <v>214</v>
      </c>
      <c r="B83" s="26"/>
      <c r="C83" s="254"/>
      <c r="D83" s="49" t="s">
        <v>104</v>
      </c>
      <c r="E83" s="28"/>
      <c r="F83" s="29">
        <v>690128</v>
      </c>
      <c r="G83" s="45">
        <v>1210</v>
      </c>
      <c r="H83" s="31">
        <v>690</v>
      </c>
      <c r="I83" s="46">
        <v>750</v>
      </c>
      <c r="J83" s="32">
        <v>750</v>
      </c>
      <c r="K83" s="33">
        <f t="shared" ref="K83:L83" si="12">G83*8/100</f>
        <v>96.8</v>
      </c>
      <c r="L83" s="47">
        <f t="shared" si="12"/>
        <v>55.2</v>
      </c>
      <c r="M83" s="31">
        <v>230</v>
      </c>
      <c r="N83" s="31">
        <v>230</v>
      </c>
      <c r="O83" s="31">
        <v>230</v>
      </c>
      <c r="P83" s="303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71" t="s">
        <v>215</v>
      </c>
      <c r="B84" s="26"/>
      <c r="C84" s="26"/>
      <c r="D84" s="49" t="s">
        <v>104</v>
      </c>
      <c r="E84" s="28"/>
      <c r="F84" s="29">
        <v>690119</v>
      </c>
      <c r="G84" s="45">
        <v>1190</v>
      </c>
      <c r="H84" s="31">
        <v>690</v>
      </c>
      <c r="I84" s="63">
        <v>115</v>
      </c>
      <c r="J84" s="64">
        <v>115</v>
      </c>
      <c r="K84" s="65">
        <v>0</v>
      </c>
      <c r="L84" s="68">
        <v>0</v>
      </c>
      <c r="M84" s="31">
        <v>34</v>
      </c>
      <c r="N84" s="31">
        <v>34</v>
      </c>
      <c r="O84" s="31">
        <v>34</v>
      </c>
      <c r="P84" s="303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6"/>
      <c r="D85" s="49" t="s">
        <v>104</v>
      </c>
      <c r="E85" s="28"/>
      <c r="F85" s="29">
        <v>690128</v>
      </c>
      <c r="G85" s="45">
        <v>1143</v>
      </c>
      <c r="H85" s="31">
        <v>690</v>
      </c>
      <c r="I85" s="46">
        <v>800</v>
      </c>
      <c r="J85" s="32">
        <v>800</v>
      </c>
      <c r="K85" s="33">
        <f t="shared" ref="K85:L86" si="13">G85*8/100</f>
        <v>91.44</v>
      </c>
      <c r="L85" s="47">
        <f t="shared" si="13"/>
        <v>55.2</v>
      </c>
      <c r="M85" s="81">
        <v>62</v>
      </c>
      <c r="N85" s="81">
        <v>62</v>
      </c>
      <c r="O85" s="81">
        <v>62</v>
      </c>
      <c r="P85" s="31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54"/>
      <c r="D86" s="257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13"/>
        <v>0</v>
      </c>
      <c r="L86" s="47">
        <f t="shared" si="13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56619</v>
      </c>
      <c r="H87" s="86">
        <f>SUM(H6:H82)</f>
        <v>52719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52326</v>
      </c>
      <c r="R87" s="89">
        <f>SUM(R6:R86)</f>
        <v>38813</v>
      </c>
      <c r="S87" s="90">
        <f>SUM(S6:S86)</f>
        <v>4164.9999999999991</v>
      </c>
      <c r="T87" s="91">
        <f>SUM(T6:T86)</f>
        <v>3261.4</v>
      </c>
      <c r="U87" s="89">
        <f>SUM(U6:U86)</f>
        <v>205</v>
      </c>
      <c r="V87" s="89">
        <f>SUM(V6:V84)</f>
        <v>320</v>
      </c>
      <c r="W87" s="92">
        <f>SUM(W6:W86)</f>
        <v>2209.1089502245241</v>
      </c>
      <c r="X87" s="93">
        <f>SUM(X6:X86)</f>
        <v>1500.0254146186846</v>
      </c>
      <c r="Y87" s="94">
        <f>SUM(Y6:Y86)</f>
        <v>2227.1044751122627</v>
      </c>
      <c r="Z87" s="95">
        <f>SUM(Z6:Z86)</f>
        <v>1512.8818772820493</v>
      </c>
      <c r="AA87" s="96">
        <f>SUM(AA6:AA82)</f>
        <v>0</v>
      </c>
      <c r="AB87" s="97">
        <f>SUM(AB6:AB82)</f>
        <v>0</v>
      </c>
      <c r="AC87" s="98">
        <f>SUM(AC6:AC86)</f>
        <v>2245.1</v>
      </c>
      <c r="AD87" s="98">
        <f>SUM(AD6:AD86)</f>
        <v>1525.69</v>
      </c>
    </row>
    <row r="88" spans="1:34" ht="24" customHeight="1" thickBot="1" x14ac:dyDescent="0.45">
      <c r="A88" s="334"/>
      <c r="B88" s="83">
        <v>71</v>
      </c>
      <c r="C88" s="83">
        <v>65</v>
      </c>
      <c r="D88" s="84"/>
      <c r="E88" s="84"/>
      <c r="F88" s="84"/>
      <c r="G88" s="341">
        <f>G87+H87</f>
        <v>109338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</f>
        <v>91139</v>
      </c>
      <c r="R88" s="342"/>
      <c r="S88" s="375">
        <f>S87+T87+S133</f>
        <v>7426.4</v>
      </c>
      <c r="T88" s="376"/>
      <c r="U88" s="341">
        <f>U87+V87+U133</f>
        <v>525</v>
      </c>
      <c r="V88" s="342"/>
      <c r="W88" s="375">
        <f>W87+X87+W133</f>
        <v>3709.1343648432085</v>
      </c>
      <c r="X88" s="376"/>
      <c r="Y88" s="375">
        <f>Y87+Z87+Y133</f>
        <v>3739.9863523943122</v>
      </c>
      <c r="Z88" s="376"/>
      <c r="AA88" s="375">
        <f>AA87+AB87+AA133</f>
        <v>0</v>
      </c>
      <c r="AB88" s="376"/>
      <c r="AC88" s="375">
        <f>AC87+AD87+AC133</f>
        <v>3770.79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250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91139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525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56619</v>
      </c>
      <c r="O91" s="108" t="s">
        <v>158</v>
      </c>
      <c r="P91" s="108"/>
      <c r="Q91" s="108" t="s">
        <v>159</v>
      </c>
      <c r="R91" s="109"/>
      <c r="S91" s="120">
        <f>H87</f>
        <v>52719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205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36" t="s">
        <v>260</v>
      </c>
      <c r="F92" s="155"/>
      <c r="G92" s="108" t="s">
        <v>162</v>
      </c>
      <c r="H92" s="125"/>
      <c r="I92" s="125">
        <v>14000</v>
      </c>
      <c r="J92" s="117" t="s">
        <v>154</v>
      </c>
      <c r="K92" s="108"/>
      <c r="L92" s="108" t="s">
        <v>163</v>
      </c>
      <c r="M92" s="108"/>
      <c r="N92" s="126">
        <f>G87/B88</f>
        <v>797.45070422535207</v>
      </c>
      <c r="O92" s="108" t="s">
        <v>158</v>
      </c>
      <c r="P92" s="108"/>
      <c r="Q92" s="108" t="s">
        <v>164</v>
      </c>
      <c r="S92" s="126">
        <f>H87/C88</f>
        <v>811.06153846153848</v>
      </c>
      <c r="T92" s="108"/>
      <c r="U92" s="108" t="s">
        <v>158</v>
      </c>
      <c r="W92" s="110"/>
      <c r="X92" s="108"/>
      <c r="Y92" s="127" t="s">
        <v>165</v>
      </c>
      <c r="AA92" s="122">
        <f>V87</f>
        <v>320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220</v>
      </c>
      <c r="F93" s="129"/>
      <c r="G93" s="108" t="s">
        <v>162</v>
      </c>
      <c r="H93" s="125"/>
      <c r="I93" s="125">
        <v>3000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>
        <v>6270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169</v>
      </c>
      <c r="F95" s="116"/>
      <c r="G95" s="108" t="s">
        <v>162</v>
      </c>
      <c r="H95" s="125"/>
      <c r="I95" s="125">
        <v>4212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>
        <v>2000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247</v>
      </c>
      <c r="F97" s="129"/>
      <c r="G97" s="108" t="s">
        <v>162</v>
      </c>
      <c r="H97" s="125"/>
      <c r="I97" s="125">
        <v>2454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71</v>
      </c>
      <c r="P97" s="108" t="s">
        <v>25</v>
      </c>
      <c r="Q97" s="108"/>
      <c r="R97" s="108"/>
      <c r="S97" s="130" t="s">
        <v>177</v>
      </c>
      <c r="T97" s="138">
        <f>C88</f>
        <v>65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32874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3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>
        <v>5515</v>
      </c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222</v>
      </c>
      <c r="F100" s="148"/>
      <c r="G100" s="108" t="s">
        <v>162</v>
      </c>
      <c r="H100" s="125"/>
      <c r="I100" s="125"/>
      <c r="J100" s="117" t="s">
        <v>154</v>
      </c>
      <c r="K100" s="8"/>
      <c r="L100" s="149" t="s">
        <v>188</v>
      </c>
      <c r="M100" s="150" t="s">
        <v>261</v>
      </c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190</v>
      </c>
      <c r="F101" s="155"/>
      <c r="G101" s="108" t="s">
        <v>162</v>
      </c>
      <c r="H101" s="125"/>
      <c r="I101" s="125">
        <v>8774</v>
      </c>
      <c r="J101" s="117" t="s">
        <v>154</v>
      </c>
      <c r="K101" s="108"/>
      <c r="L101" s="149"/>
      <c r="M101" s="150"/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246</v>
      </c>
      <c r="F102" s="262"/>
      <c r="G102" s="108" t="s">
        <v>162</v>
      </c>
      <c r="H102" s="125"/>
      <c r="I102" s="125">
        <v>7450</v>
      </c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>
        <v>2000</v>
      </c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198</v>
      </c>
      <c r="F105" s="155"/>
      <c r="G105" s="108" t="s">
        <v>162</v>
      </c>
      <c r="H105" s="125"/>
      <c r="I105" s="125">
        <v>2000</v>
      </c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>
        <v>3040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202</v>
      </c>
      <c r="F107" s="155"/>
      <c r="G107" s="108" t="s">
        <v>162</v>
      </c>
      <c r="H107" s="125"/>
      <c r="I107" s="125">
        <v>5000</v>
      </c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203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 t="s">
        <v>228</v>
      </c>
      <c r="AB108" s="149" t="s">
        <v>229</v>
      </c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 t="s">
        <v>228</v>
      </c>
      <c r="AB109" s="149" t="s">
        <v>230</v>
      </c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72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54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14">SUM(Q122:Q131)</f>
        <v>0</v>
      </c>
      <c r="R132" s="237">
        <f t="shared" si="14"/>
        <v>0</v>
      </c>
      <c r="S132" s="238">
        <f t="shared" si="14"/>
        <v>0</v>
      </c>
      <c r="T132" s="238">
        <f t="shared" si="14"/>
        <v>0</v>
      </c>
      <c r="U132" s="237">
        <f t="shared" si="14"/>
        <v>0</v>
      </c>
      <c r="V132" s="237">
        <f t="shared" si="14"/>
        <v>0</v>
      </c>
      <c r="W132" s="238">
        <f t="shared" si="14"/>
        <v>0</v>
      </c>
      <c r="X132" s="238">
        <f t="shared" si="14"/>
        <v>0</v>
      </c>
      <c r="Y132" s="95">
        <f t="shared" si="14"/>
        <v>0</v>
      </c>
      <c r="Z132" s="95">
        <f t="shared" si="14"/>
        <v>0</v>
      </c>
      <c r="AA132" s="238">
        <f t="shared" si="14"/>
        <v>0</v>
      </c>
      <c r="AB132" s="238">
        <f t="shared" si="14"/>
        <v>0</v>
      </c>
      <c r="AC132" s="98"/>
      <c r="AD132" s="98">
        <f t="shared" si="14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  <row r="134" spans="1:30" ht="18.75" thickBot="1" x14ac:dyDescent="0.45"/>
    <row r="135" spans="1:30" x14ac:dyDescent="0.4">
      <c r="A135" s="368" t="s">
        <v>1</v>
      </c>
      <c r="B135" s="349" t="s">
        <v>2</v>
      </c>
      <c r="C135" s="350"/>
      <c r="D135" s="5" t="s">
        <v>3</v>
      </c>
      <c r="E135" s="7"/>
      <c r="F135" s="7"/>
      <c r="G135" s="349" t="s">
        <v>4</v>
      </c>
      <c r="H135" s="350"/>
      <c r="I135" s="349" t="s">
        <v>5</v>
      </c>
      <c r="J135" s="350"/>
      <c r="K135" s="349" t="s">
        <v>6</v>
      </c>
      <c r="L135" s="350"/>
      <c r="M135" s="370" t="s">
        <v>7</v>
      </c>
      <c r="N135" s="371"/>
      <c r="O135" s="362" t="s">
        <v>7</v>
      </c>
      <c r="P135" s="363"/>
      <c r="Q135" s="364" t="s">
        <v>8</v>
      </c>
      <c r="R135" s="365"/>
      <c r="S135" s="349" t="s">
        <v>9</v>
      </c>
      <c r="T135" s="350"/>
      <c r="U135" s="366" t="s">
        <v>10</v>
      </c>
      <c r="V135" s="367"/>
      <c r="W135" s="349" t="s">
        <v>11</v>
      </c>
      <c r="X135" s="350"/>
      <c r="Y135" s="349" t="s">
        <v>12</v>
      </c>
      <c r="Z135" s="350"/>
      <c r="AA135" s="349" t="s">
        <v>13</v>
      </c>
      <c r="AB135" s="350"/>
      <c r="AC135" s="349" t="s">
        <v>14</v>
      </c>
      <c r="AD135" s="353"/>
    </row>
    <row r="136" spans="1:30" ht="21" x14ac:dyDescent="0.4">
      <c r="A136" s="369"/>
      <c r="B136" s="351"/>
      <c r="C136" s="352"/>
      <c r="D136" s="8" t="s">
        <v>15</v>
      </c>
      <c r="E136" s="205" t="s">
        <v>16</v>
      </c>
      <c r="F136" s="9" t="s">
        <v>17</v>
      </c>
      <c r="G136" s="351"/>
      <c r="H136" s="352"/>
      <c r="I136" s="351"/>
      <c r="J136" s="352"/>
      <c r="K136" s="351"/>
      <c r="L136" s="352"/>
      <c r="M136" s="354" t="s">
        <v>18</v>
      </c>
      <c r="N136" s="355"/>
      <c r="O136" s="356" t="s">
        <v>19</v>
      </c>
      <c r="P136" s="357"/>
      <c r="Q136" s="358" t="s">
        <v>20</v>
      </c>
      <c r="R136" s="359"/>
      <c r="S136" s="351" t="s">
        <v>21</v>
      </c>
      <c r="T136" s="352"/>
      <c r="U136" s="360" t="s">
        <v>22</v>
      </c>
      <c r="V136" s="359"/>
      <c r="W136" s="351" t="s">
        <v>23</v>
      </c>
      <c r="X136" s="352"/>
      <c r="Y136" s="351"/>
      <c r="Z136" s="352"/>
      <c r="AA136" s="351"/>
      <c r="AB136" s="352"/>
      <c r="AC136" s="351" t="s">
        <v>24</v>
      </c>
      <c r="AD136" s="361"/>
    </row>
    <row r="137" spans="1:30" ht="18.75" thickBot="1" x14ac:dyDescent="0.45">
      <c r="A137" s="10" t="s">
        <v>25</v>
      </c>
      <c r="B137" s="206" t="s">
        <v>207</v>
      </c>
      <c r="C137" s="12" t="s">
        <v>208</v>
      </c>
      <c r="D137" s="13" t="s">
        <v>28</v>
      </c>
      <c r="E137" s="207"/>
      <c r="F137" s="207"/>
      <c r="G137" s="12" t="s">
        <v>26</v>
      </c>
      <c r="H137" s="12" t="s">
        <v>27</v>
      </c>
      <c r="I137" s="11" t="s">
        <v>26</v>
      </c>
      <c r="J137" s="12" t="s">
        <v>27</v>
      </c>
      <c r="K137" s="11" t="s">
        <v>29</v>
      </c>
      <c r="L137" s="14" t="s">
        <v>30</v>
      </c>
      <c r="M137" s="208" t="s">
        <v>31</v>
      </c>
      <c r="N137" s="209" t="s">
        <v>32</v>
      </c>
      <c r="O137" s="210" t="s">
        <v>31</v>
      </c>
      <c r="P137" s="211" t="s">
        <v>32</v>
      </c>
      <c r="Q137" s="19" t="s">
        <v>26</v>
      </c>
      <c r="R137" s="12" t="s">
        <v>27</v>
      </c>
      <c r="S137" s="20" t="s">
        <v>26</v>
      </c>
      <c r="T137" s="12" t="s">
        <v>27</v>
      </c>
      <c r="U137" s="19" t="s">
        <v>26</v>
      </c>
      <c r="V137" s="12" t="s">
        <v>27</v>
      </c>
      <c r="W137" s="21" t="s">
        <v>26</v>
      </c>
      <c r="X137" s="12" t="s">
        <v>27</v>
      </c>
      <c r="Y137" s="22" t="s">
        <v>26</v>
      </c>
      <c r="Z137" s="23" t="s">
        <v>27</v>
      </c>
      <c r="AA137" s="19" t="s">
        <v>26</v>
      </c>
      <c r="AB137" s="12" t="s">
        <v>27</v>
      </c>
      <c r="AC137" s="11" t="s">
        <v>26</v>
      </c>
      <c r="AD137" s="24" t="s">
        <v>27</v>
      </c>
    </row>
    <row r="138" spans="1:30" ht="32.25" thickBot="1" x14ac:dyDescent="0.55000000000000004">
      <c r="A138" s="212" t="s">
        <v>130</v>
      </c>
      <c r="B138" s="213" t="s">
        <v>209</v>
      </c>
      <c r="C138" s="213" t="s">
        <v>210</v>
      </c>
      <c r="D138" s="258" t="s">
        <v>237</v>
      </c>
      <c r="E138" s="215">
        <v>69010749</v>
      </c>
      <c r="F138" s="73">
        <v>690133</v>
      </c>
      <c r="G138" s="216"/>
      <c r="H138" s="217"/>
      <c r="I138" s="46">
        <v>800</v>
      </c>
      <c r="J138" s="32">
        <v>800</v>
      </c>
      <c r="K138" s="218"/>
      <c r="L138" s="218"/>
      <c r="M138" s="219"/>
      <c r="N138" s="220"/>
      <c r="O138" s="220"/>
      <c r="P138" s="221"/>
      <c r="Q138" s="222"/>
      <c r="R138" s="223">
        <v>1450</v>
      </c>
      <c r="S138" s="224"/>
      <c r="T138" s="57">
        <v>197.9</v>
      </c>
      <c r="U138" s="59"/>
      <c r="V138" s="59">
        <v>15</v>
      </c>
      <c r="W138" s="39"/>
      <c r="X138" s="39">
        <f>T138*1000/39.37/R138*38.5</f>
        <v>133.4667565886856</v>
      </c>
      <c r="Y138" s="40"/>
      <c r="Z138" s="40">
        <v>132.99</v>
      </c>
      <c r="AA138" s="225"/>
      <c r="AB138" s="226"/>
      <c r="AC138" s="227"/>
      <c r="AD138" s="228">
        <v>132.51</v>
      </c>
    </row>
    <row r="139" spans="1:30" ht="32.25" thickBot="1" x14ac:dyDescent="0.55000000000000004">
      <c r="A139" s="212" t="s">
        <v>72</v>
      </c>
      <c r="B139" s="213" t="s">
        <v>209</v>
      </c>
      <c r="C139" s="213" t="s">
        <v>210</v>
      </c>
      <c r="D139" s="258" t="s">
        <v>237</v>
      </c>
      <c r="E139" s="215">
        <v>69010723</v>
      </c>
      <c r="F139" s="73">
        <v>690133</v>
      </c>
      <c r="G139" s="216"/>
      <c r="H139" s="217"/>
      <c r="I139" s="46">
        <v>800</v>
      </c>
      <c r="J139" s="32">
        <v>800</v>
      </c>
      <c r="K139" s="218"/>
      <c r="L139" s="218"/>
      <c r="M139" s="219"/>
      <c r="N139" s="220"/>
      <c r="O139" s="220"/>
      <c r="P139" s="221"/>
      <c r="Q139" s="222">
        <v>1500</v>
      </c>
      <c r="R139" s="67"/>
      <c r="S139" s="229">
        <v>197.3</v>
      </c>
      <c r="T139" s="57"/>
      <c r="U139" s="58">
        <v>15</v>
      </c>
      <c r="V139" s="59"/>
      <c r="W139" s="39">
        <f>S139*1000/39.37/Q139*38.5</f>
        <v>128.6267039200745</v>
      </c>
      <c r="X139" s="39"/>
      <c r="Y139" s="40"/>
      <c r="Z139" s="40"/>
      <c r="AA139" s="225">
        <v>129.77000000000001</v>
      </c>
      <c r="AB139" s="226"/>
      <c r="AC139" s="227">
        <v>130.91</v>
      </c>
      <c r="AD139" s="228"/>
    </row>
    <row r="140" spans="1:30" ht="32.25" thickBot="1" x14ac:dyDescent="0.55000000000000004">
      <c r="A140" s="212" t="s">
        <v>117</v>
      </c>
      <c r="B140" s="213" t="s">
        <v>209</v>
      </c>
      <c r="C140" s="213" t="s">
        <v>210</v>
      </c>
      <c r="D140" s="258" t="s">
        <v>237</v>
      </c>
      <c r="E140" s="215">
        <v>69010701</v>
      </c>
      <c r="F140" s="73">
        <v>690133</v>
      </c>
      <c r="G140" s="216"/>
      <c r="H140" s="217"/>
      <c r="I140" s="46">
        <v>800</v>
      </c>
      <c r="J140" s="32">
        <v>800</v>
      </c>
      <c r="K140" s="218"/>
      <c r="L140" s="218"/>
      <c r="M140" s="219"/>
      <c r="N140" s="220"/>
      <c r="O140" s="220"/>
      <c r="P140" s="221"/>
      <c r="Q140" s="230">
        <v>1500</v>
      </c>
      <c r="R140" s="56"/>
      <c r="S140" s="231">
        <v>204.2</v>
      </c>
      <c r="T140" s="57"/>
      <c r="U140" s="58">
        <v>15</v>
      </c>
      <c r="V140" s="59"/>
      <c r="W140" s="39">
        <f>S140*1000/39.37/Q140*38.5</f>
        <v>133.12505291677249</v>
      </c>
      <c r="X140" s="39"/>
      <c r="Y140" s="40">
        <f>(AC140+W140)/2</f>
        <v>132.88252645838622</v>
      </c>
      <c r="Z140" s="40"/>
      <c r="AA140" s="232"/>
      <c r="AB140" s="226"/>
      <c r="AC140" s="233">
        <v>132.63999999999999</v>
      </c>
      <c r="AD140" s="234"/>
    </row>
    <row r="141" spans="1:30" ht="32.25" thickBot="1" x14ac:dyDescent="0.55000000000000004">
      <c r="A141" s="212" t="s">
        <v>54</v>
      </c>
      <c r="B141" s="213" t="s">
        <v>209</v>
      </c>
      <c r="C141" s="213" t="s">
        <v>210</v>
      </c>
      <c r="D141" s="258" t="s">
        <v>237</v>
      </c>
      <c r="E141" s="215">
        <v>69010751</v>
      </c>
      <c r="F141" s="73">
        <v>690133</v>
      </c>
      <c r="G141" s="216"/>
      <c r="H141" s="217"/>
      <c r="I141" s="46">
        <v>800</v>
      </c>
      <c r="J141" s="32">
        <v>800</v>
      </c>
      <c r="K141" s="218"/>
      <c r="L141" s="218"/>
      <c r="M141" s="219"/>
      <c r="N141" s="220"/>
      <c r="O141" s="220"/>
      <c r="P141" s="221"/>
      <c r="Q141" s="230"/>
      <c r="R141" s="56">
        <v>1500</v>
      </c>
      <c r="S141" s="231"/>
      <c r="T141" s="57">
        <v>202.8</v>
      </c>
      <c r="U141" s="58"/>
      <c r="V141" s="59">
        <v>15</v>
      </c>
      <c r="W141" s="39"/>
      <c r="X141" s="39">
        <f>T141*1000/39.37/R141*38.5</f>
        <v>132.21234442468887</v>
      </c>
      <c r="Y141" s="40"/>
      <c r="Z141" s="40"/>
      <c r="AA141" s="232"/>
      <c r="AB141" s="226">
        <v>126.04</v>
      </c>
      <c r="AC141" s="233"/>
      <c r="AD141" s="234">
        <v>128.88999999999999</v>
      </c>
    </row>
    <row r="142" spans="1:30" ht="32.25" thickBot="1" x14ac:dyDescent="0.55000000000000004">
      <c r="A142" s="212" t="s">
        <v>86</v>
      </c>
      <c r="B142" s="213" t="s">
        <v>209</v>
      </c>
      <c r="C142" s="213" t="s">
        <v>210</v>
      </c>
      <c r="D142" s="258" t="s">
        <v>237</v>
      </c>
      <c r="E142" s="215">
        <v>69010750</v>
      </c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22"/>
      <c r="R142" s="67">
        <v>1500</v>
      </c>
      <c r="S142" s="229"/>
      <c r="T142" s="57">
        <v>204.6</v>
      </c>
      <c r="U142" s="58"/>
      <c r="V142" s="59">
        <v>15</v>
      </c>
      <c r="W142" s="39"/>
      <c r="X142" s="39">
        <f>T142*1000/39.37/R142*38.5</f>
        <v>133.38582677165357</v>
      </c>
      <c r="Y142" s="40"/>
      <c r="Z142" s="40">
        <v>132.85</v>
      </c>
      <c r="AA142" s="232"/>
      <c r="AB142" s="226"/>
      <c r="AC142" s="233"/>
      <c r="AD142" s="234">
        <v>132.30000000000001</v>
      </c>
    </row>
    <row r="143" spans="1:30" ht="24" thickBot="1" x14ac:dyDescent="0.45">
      <c r="A143" s="333" t="s">
        <v>150</v>
      </c>
      <c r="B143" s="83" t="s">
        <v>25</v>
      </c>
      <c r="C143" s="83" t="s">
        <v>25</v>
      </c>
      <c r="D143" s="84"/>
      <c r="E143" s="85"/>
      <c r="F143" s="84"/>
      <c r="G143" s="236">
        <f>SUM(G134:G134)</f>
        <v>0</v>
      </c>
      <c r="H143" s="236">
        <f>SUM(H134:H134)</f>
        <v>0</v>
      </c>
      <c r="I143" s="87"/>
      <c r="J143" s="87"/>
      <c r="K143" s="87"/>
      <c r="L143" s="88"/>
      <c r="M143" s="335"/>
      <c r="N143" s="336"/>
      <c r="O143" s="336"/>
      <c r="P143" s="337"/>
      <c r="Q143" s="237">
        <f t="shared" ref="Q143:AB143" si="15">SUM(Q138:Q142)</f>
        <v>3000</v>
      </c>
      <c r="R143" s="237">
        <f t="shared" si="15"/>
        <v>4450</v>
      </c>
      <c r="S143" s="238">
        <f t="shared" si="15"/>
        <v>401.5</v>
      </c>
      <c r="T143" s="238">
        <f t="shared" si="15"/>
        <v>605.30000000000007</v>
      </c>
      <c r="U143" s="237">
        <f t="shared" si="15"/>
        <v>30</v>
      </c>
      <c r="V143" s="237">
        <f t="shared" si="15"/>
        <v>45</v>
      </c>
      <c r="W143" s="238">
        <f t="shared" si="15"/>
        <v>261.75175683684699</v>
      </c>
      <c r="X143" s="238">
        <f t="shared" si="15"/>
        <v>399.06492778502803</v>
      </c>
      <c r="Y143" s="95">
        <f t="shared" si="15"/>
        <v>132.88252645838622</v>
      </c>
      <c r="Z143" s="95">
        <f t="shared" si="15"/>
        <v>265.84000000000003</v>
      </c>
      <c r="AA143" s="238">
        <f t="shared" si="15"/>
        <v>129.77000000000001</v>
      </c>
      <c r="AB143" s="238">
        <f t="shared" si="15"/>
        <v>126.04</v>
      </c>
      <c r="AC143" s="98"/>
      <c r="AD143" s="98">
        <f>SUM(AD138:AD142)</f>
        <v>393.7</v>
      </c>
    </row>
    <row r="144" spans="1:30" ht="27" thickBot="1" x14ac:dyDescent="0.45">
      <c r="A144" s="334"/>
      <c r="B144" s="83">
        <v>2</v>
      </c>
      <c r="C144" s="83">
        <v>2</v>
      </c>
      <c r="D144" s="84"/>
      <c r="E144" s="84"/>
      <c r="F144" s="84"/>
      <c r="G144" s="99">
        <v>0</v>
      </c>
      <c r="H144" s="100"/>
      <c r="I144" s="99"/>
      <c r="J144" s="100"/>
      <c r="K144" s="341"/>
      <c r="L144" s="342"/>
      <c r="M144" s="338"/>
      <c r="N144" s="339"/>
      <c r="O144" s="339"/>
      <c r="P144" s="340"/>
      <c r="Q144" s="343">
        <f>Q143+R143</f>
        <v>7450</v>
      </c>
      <c r="R144" s="344"/>
      <c r="S144" s="345">
        <f>S143+T143</f>
        <v>1006.8000000000001</v>
      </c>
      <c r="T144" s="346"/>
      <c r="U144" s="347">
        <f>U143+V143</f>
        <v>75</v>
      </c>
      <c r="V144" s="348"/>
      <c r="W144" s="327">
        <f>W143+X143</f>
        <v>660.81668462187508</v>
      </c>
      <c r="X144" s="328"/>
      <c r="Y144" s="329">
        <f>Y143+Z143</f>
        <v>398.72252645838626</v>
      </c>
      <c r="Z144" s="330"/>
      <c r="AA144" s="327">
        <f>AA143+AB143</f>
        <v>255.81</v>
      </c>
      <c r="AB144" s="328"/>
      <c r="AC144" s="331">
        <f>AC143+AD143</f>
        <v>393.7</v>
      </c>
      <c r="AD144" s="332"/>
    </row>
  </sheetData>
  <autoFilter ref="A5:AD112" xr:uid="{3D257094-AFCF-44D4-9CB6-CF8FC9C29795}"/>
  <mergeCells count="104"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A119:A120"/>
    <mergeCell ref="B119:C120"/>
    <mergeCell ref="G119:H120"/>
    <mergeCell ref="I119:J120"/>
    <mergeCell ref="K119:L120"/>
    <mergeCell ref="M119:N119"/>
    <mergeCell ref="E90:J90"/>
    <mergeCell ref="M112:Q112"/>
    <mergeCell ref="X112:AD112"/>
    <mergeCell ref="M113:Q113"/>
    <mergeCell ref="X113:AD113"/>
    <mergeCell ref="F114:G114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U119:V119"/>
    <mergeCell ref="W119:X119"/>
    <mergeCell ref="Y119:Z120"/>
    <mergeCell ref="W133:X133"/>
    <mergeCell ref="Y133:Z133"/>
    <mergeCell ref="AA133:AB133"/>
    <mergeCell ref="AC133:AD133"/>
    <mergeCell ref="A135:A136"/>
    <mergeCell ref="B135:C136"/>
    <mergeCell ref="G135:H136"/>
    <mergeCell ref="I135:J136"/>
    <mergeCell ref="K135:L136"/>
    <mergeCell ref="M135:N135"/>
    <mergeCell ref="A132:A133"/>
    <mergeCell ref="M132:P133"/>
    <mergeCell ref="K133:L133"/>
    <mergeCell ref="Q133:R133"/>
    <mergeCell ref="S133:T133"/>
    <mergeCell ref="U133:V133"/>
    <mergeCell ref="AA135:AB136"/>
    <mergeCell ref="AC135:AD135"/>
    <mergeCell ref="M136:N136"/>
    <mergeCell ref="O136:P136"/>
    <mergeCell ref="Q136:R136"/>
    <mergeCell ref="S136:T136"/>
    <mergeCell ref="U136:V136"/>
    <mergeCell ref="W136:X136"/>
    <mergeCell ref="AC136:AD136"/>
    <mergeCell ref="O135:P135"/>
    <mergeCell ref="Q135:R135"/>
    <mergeCell ref="S135:T135"/>
    <mergeCell ref="U135:V135"/>
    <mergeCell ref="W135:X135"/>
    <mergeCell ref="Y135:Z136"/>
    <mergeCell ref="W144:X144"/>
    <mergeCell ref="Y144:Z144"/>
    <mergeCell ref="AA144:AB144"/>
    <mergeCell ref="AC144:AD144"/>
    <mergeCell ref="A143:A144"/>
    <mergeCell ref="M143:P144"/>
    <mergeCell ref="K144:L144"/>
    <mergeCell ref="Q144:R144"/>
    <mergeCell ref="S144:T144"/>
    <mergeCell ref="U144:V144"/>
  </mergeCells>
  <phoneticPr fontId="64" type="noConversion"/>
  <dataValidations count="1">
    <dataValidation type="list" allowBlank="1" showInputMessage="1" showErrorMessage="1" sqref="B10:C10 B54:C54" xr:uid="{CE2D0DEC-1EEB-4538-8314-E6B090E88E4A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4710-D76D-47BB-B655-55BEDBCA9DDA}">
  <sheetPr>
    <tabColor rgb="FF00B050"/>
  </sheetPr>
  <dimension ref="A1:AL149"/>
  <sheetViews>
    <sheetView zoomScale="78" zoomScaleNormal="78" zoomScaleSheetLayoutView="70" workbookViewId="0">
      <pane xSplit="4" ySplit="5" topLeftCell="E89" activePane="bottomRight" state="frozen"/>
      <selection activeCell="M107" sqref="M107"/>
      <selection pane="topRight" activeCell="M107" sqref="M107"/>
      <selection pane="bottomLeft" activeCell="M107" sqref="M107"/>
      <selection pane="bottomRight" activeCell="AJ92" sqref="AJ92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244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/>
      <c r="D6" s="255" t="s">
        <v>36</v>
      </c>
      <c r="E6" s="28"/>
      <c r="F6" s="29">
        <v>690126</v>
      </c>
      <c r="G6" s="30">
        <v>800</v>
      </c>
      <c r="H6" s="31">
        <v>969</v>
      </c>
      <c r="I6" s="32">
        <v>750</v>
      </c>
      <c r="J6" s="32">
        <v>750</v>
      </c>
      <c r="K6" s="33">
        <f>G6*8/100</f>
        <v>64</v>
      </c>
      <c r="L6" s="34">
        <f>H6*8/100</f>
        <v>77.52</v>
      </c>
      <c r="M6" s="31">
        <v>1171</v>
      </c>
      <c r="N6" s="31">
        <v>1971</v>
      </c>
      <c r="O6" s="31">
        <v>1971</v>
      </c>
      <c r="P6" s="31">
        <v>940</v>
      </c>
      <c r="Q6" s="35"/>
      <c r="R6" s="35"/>
      <c r="S6" s="36"/>
      <c r="T6" s="36"/>
      <c r="U6" s="37"/>
      <c r="V6" s="38"/>
      <c r="W6" s="39"/>
      <c r="X6" s="39"/>
      <c r="Y6" s="40"/>
      <c r="Z6" s="40"/>
      <c r="AA6" s="41"/>
      <c r="AB6" s="42"/>
      <c r="AC6" s="43"/>
      <c r="AD6" s="43"/>
    </row>
    <row r="7" spans="1:31" ht="24" customHeight="1" x14ac:dyDescent="0.4">
      <c r="A7" s="249" t="s">
        <v>37</v>
      </c>
      <c r="B7" s="246" t="s">
        <v>35</v>
      </c>
      <c r="C7" s="253"/>
      <c r="D7" s="256" t="s">
        <v>36</v>
      </c>
      <c r="E7" s="28">
        <v>69010627</v>
      </c>
      <c r="F7" s="29">
        <v>690126</v>
      </c>
      <c r="G7" s="45">
        <v>850</v>
      </c>
      <c r="H7" s="31">
        <v>1011</v>
      </c>
      <c r="I7" s="46">
        <v>750</v>
      </c>
      <c r="J7" s="32">
        <v>750</v>
      </c>
      <c r="K7" s="33">
        <f t="shared" ref="K7:L38" si="0">G7*8/100</f>
        <v>68</v>
      </c>
      <c r="L7" s="47">
        <f t="shared" si="0"/>
        <v>80.88</v>
      </c>
      <c r="M7" s="31">
        <v>1533</v>
      </c>
      <c r="N7" s="31">
        <v>383</v>
      </c>
      <c r="O7" s="31">
        <v>383</v>
      </c>
      <c r="P7" s="31">
        <v>1394</v>
      </c>
      <c r="Q7" s="35"/>
      <c r="R7" s="48">
        <v>2000</v>
      </c>
      <c r="S7" s="36"/>
      <c r="T7" s="36">
        <v>195.9</v>
      </c>
      <c r="U7" s="37"/>
      <c r="V7" s="38"/>
      <c r="W7" s="39"/>
      <c r="X7" s="39">
        <f>T7*1000/39.37/R7*44.5</f>
        <v>110.71310642621285</v>
      </c>
      <c r="Y7" s="40"/>
      <c r="Z7" s="40">
        <f>(AD7+X7)/2</f>
        <v>110.80155321310642</v>
      </c>
      <c r="AA7" s="41"/>
      <c r="AB7" s="42"/>
      <c r="AC7" s="43"/>
      <c r="AD7" s="43">
        <v>110.89</v>
      </c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69010620</v>
      </c>
      <c r="F8" s="29">
        <v>690111</v>
      </c>
      <c r="G8" s="45">
        <v>920</v>
      </c>
      <c r="H8" s="31">
        <v>987</v>
      </c>
      <c r="I8" s="46">
        <v>750</v>
      </c>
      <c r="J8" s="32">
        <v>750</v>
      </c>
      <c r="K8" s="33">
        <f t="shared" si="0"/>
        <v>73.599999999999994</v>
      </c>
      <c r="L8" s="47">
        <f t="shared" si="0"/>
        <v>78.959999999999994</v>
      </c>
      <c r="M8" s="31">
        <v>80</v>
      </c>
      <c r="N8" s="31">
        <v>1000</v>
      </c>
      <c r="O8" s="31">
        <v>1000</v>
      </c>
      <c r="P8" s="31">
        <v>1987</v>
      </c>
      <c r="Q8" s="35">
        <v>2500</v>
      </c>
      <c r="R8" s="48"/>
      <c r="S8" s="36">
        <v>168.1</v>
      </c>
      <c r="T8" s="36"/>
      <c r="U8" s="37">
        <v>25</v>
      </c>
      <c r="V8" s="38"/>
      <c r="W8" s="39">
        <f>S8*1000/39.37/Q8*38.5</f>
        <v>65.754127508255024</v>
      </c>
      <c r="X8" s="39"/>
      <c r="Y8" s="40">
        <f>(AC8+W8)/2</f>
        <v>66.077063754127522</v>
      </c>
      <c r="Z8" s="40"/>
      <c r="AA8" s="41"/>
      <c r="AB8" s="42"/>
      <c r="AC8" s="43">
        <v>66.400000000000006</v>
      </c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43</v>
      </c>
      <c r="E9" s="28">
        <v>69010616</v>
      </c>
      <c r="F9" s="29">
        <v>690109</v>
      </c>
      <c r="G9" s="45">
        <v>692</v>
      </c>
      <c r="H9" s="31">
        <v>210</v>
      </c>
      <c r="I9" s="46">
        <v>110</v>
      </c>
      <c r="J9" s="32">
        <v>110</v>
      </c>
      <c r="K9" s="33">
        <f t="shared" si="0"/>
        <v>55.36</v>
      </c>
      <c r="L9" s="47">
        <f t="shared" si="0"/>
        <v>16.8</v>
      </c>
      <c r="M9" s="31">
        <v>318</v>
      </c>
      <c r="N9" s="31">
        <v>1010</v>
      </c>
      <c r="O9" s="31">
        <v>1010</v>
      </c>
      <c r="P9" s="31">
        <v>1220</v>
      </c>
      <c r="Q9" s="35">
        <v>2500</v>
      </c>
      <c r="R9" s="48"/>
      <c r="S9" s="36">
        <v>202.8</v>
      </c>
      <c r="T9" s="36"/>
      <c r="U9" s="37">
        <v>25</v>
      </c>
      <c r="V9" s="38"/>
      <c r="W9" s="39">
        <f>S9*1000/39.37/Q9*38.5</f>
        <v>79.327406654813316</v>
      </c>
      <c r="X9" s="39"/>
      <c r="Y9" s="40">
        <f>(AC9+W9)/2</f>
        <v>80.043703327406661</v>
      </c>
      <c r="Z9" s="40"/>
      <c r="AA9" s="41"/>
      <c r="AB9" s="42"/>
      <c r="AC9" s="43">
        <v>80.760000000000005</v>
      </c>
      <c r="AD9" s="43"/>
    </row>
    <row r="10" spans="1:31" ht="24" customHeight="1" x14ac:dyDescent="0.55000000000000004">
      <c r="A10" s="250" t="s">
        <v>44</v>
      </c>
      <c r="B10" s="246" t="s">
        <v>46</v>
      </c>
      <c r="C10" s="253" t="s">
        <v>45</v>
      </c>
      <c r="D10" s="256" t="s">
        <v>47</v>
      </c>
      <c r="E10" s="28">
        <v>69010641</v>
      </c>
      <c r="F10" s="29">
        <v>690119</v>
      </c>
      <c r="G10" s="51">
        <v>860</v>
      </c>
      <c r="H10" s="31">
        <v>1030</v>
      </c>
      <c r="I10" s="46">
        <v>110</v>
      </c>
      <c r="J10" s="32">
        <v>110</v>
      </c>
      <c r="K10" s="33">
        <f t="shared" si="0"/>
        <v>68.8</v>
      </c>
      <c r="L10" s="47">
        <f t="shared" si="0"/>
        <v>82.4</v>
      </c>
      <c r="M10" s="31">
        <v>1830</v>
      </c>
      <c r="N10" s="31">
        <v>190</v>
      </c>
      <c r="O10" s="31">
        <v>190</v>
      </c>
      <c r="P10" s="31">
        <v>1220</v>
      </c>
      <c r="Q10" s="35"/>
      <c r="R10" s="48">
        <v>2480</v>
      </c>
      <c r="S10" s="36"/>
      <c r="T10" s="36">
        <v>203.4</v>
      </c>
      <c r="U10" s="37"/>
      <c r="V10" s="38">
        <v>25</v>
      </c>
      <c r="W10" s="39"/>
      <c r="X10" s="39">
        <f>T10*1000/39.37/R10*38.5</f>
        <v>80.203732988111142</v>
      </c>
      <c r="Y10" s="40"/>
      <c r="Z10" s="52">
        <v>80.540000000000006</v>
      </c>
      <c r="AA10" s="41"/>
      <c r="AB10" s="42"/>
      <c r="AC10" s="43"/>
      <c r="AD10" s="43">
        <v>80.88</v>
      </c>
      <c r="AE10" s="260" t="s">
        <v>248</v>
      </c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36</v>
      </c>
      <c r="E11" s="28"/>
      <c r="F11" s="29">
        <v>690126</v>
      </c>
      <c r="G11" s="45">
        <v>560</v>
      </c>
      <c r="H11" s="31">
        <v>0</v>
      </c>
      <c r="I11" s="46">
        <v>800</v>
      </c>
      <c r="J11" s="32">
        <v>800</v>
      </c>
      <c r="K11" s="33">
        <f t="shared" si="0"/>
        <v>44.8</v>
      </c>
      <c r="L11" s="47">
        <f>H11*8/100</f>
        <v>0</v>
      </c>
      <c r="M11" s="53">
        <v>1110</v>
      </c>
      <c r="N11" s="31">
        <v>1670</v>
      </c>
      <c r="O11" s="31">
        <v>1670</v>
      </c>
      <c r="P11" s="53">
        <v>1670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52</v>
      </c>
      <c r="E12" s="28"/>
      <c r="F12" s="29">
        <v>690113</v>
      </c>
      <c r="G12" s="45">
        <v>468</v>
      </c>
      <c r="H12" s="31">
        <v>0</v>
      </c>
      <c r="I12" s="46">
        <v>800</v>
      </c>
      <c r="J12" s="32">
        <v>800</v>
      </c>
      <c r="K12" s="33">
        <f t="shared" si="0"/>
        <v>37.44</v>
      </c>
      <c r="L12" s="47">
        <f t="shared" si="0"/>
        <v>0</v>
      </c>
      <c r="M12" s="31">
        <v>326</v>
      </c>
      <c r="N12" s="31">
        <v>794</v>
      </c>
      <c r="O12" s="31">
        <v>794</v>
      </c>
      <c r="P12" s="31">
        <v>794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52</v>
      </c>
      <c r="E13" s="28"/>
      <c r="F13" s="29">
        <v>690113</v>
      </c>
      <c r="G13" s="45">
        <v>735</v>
      </c>
      <c r="H13" s="31">
        <v>0</v>
      </c>
      <c r="I13" s="46">
        <v>800</v>
      </c>
      <c r="J13" s="32">
        <v>800</v>
      </c>
      <c r="K13" s="33">
        <f t="shared" si="0"/>
        <v>58.8</v>
      </c>
      <c r="L13" s="47">
        <f t="shared" si="0"/>
        <v>0</v>
      </c>
      <c r="M13" s="31">
        <v>1770</v>
      </c>
      <c r="N13" s="31">
        <v>5</v>
      </c>
      <c r="O13" s="31">
        <v>5</v>
      </c>
      <c r="P13" s="31">
        <v>5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14" t="s">
        <v>211</v>
      </c>
      <c r="E14" s="28"/>
      <c r="F14" s="29">
        <v>690134</v>
      </c>
      <c r="G14" s="45">
        <v>500</v>
      </c>
      <c r="H14" s="31">
        <v>615</v>
      </c>
      <c r="I14" s="46">
        <v>800</v>
      </c>
      <c r="J14" s="32">
        <v>800</v>
      </c>
      <c r="K14" s="33">
        <f t="shared" si="0"/>
        <v>40</v>
      </c>
      <c r="L14" s="47">
        <f t="shared" si="0"/>
        <v>49.2</v>
      </c>
      <c r="M14" s="31">
        <v>110</v>
      </c>
      <c r="N14" s="31">
        <v>610</v>
      </c>
      <c r="O14" s="31">
        <v>610</v>
      </c>
      <c r="P14" s="31">
        <v>1225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47</v>
      </c>
      <c r="E15" s="28"/>
      <c r="F15" s="29">
        <v>690119</v>
      </c>
      <c r="G15" s="55">
        <v>0</v>
      </c>
      <c r="H15" s="31">
        <v>0</v>
      </c>
      <c r="I15" s="46">
        <v>800</v>
      </c>
      <c r="J15" s="32">
        <v>800</v>
      </c>
      <c r="K15" s="33">
        <f t="shared" si="0"/>
        <v>0</v>
      </c>
      <c r="L15" s="47">
        <f t="shared" si="0"/>
        <v>0</v>
      </c>
      <c r="M15" s="31">
        <v>0</v>
      </c>
      <c r="N15" s="31">
        <v>0</v>
      </c>
      <c r="O15" s="31">
        <v>0</v>
      </c>
      <c r="P15" s="31">
        <v>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>
        <v>69010612</v>
      </c>
      <c r="F16" s="29">
        <v>690106</v>
      </c>
      <c r="G16" s="55">
        <v>795</v>
      </c>
      <c r="H16" s="31">
        <v>902</v>
      </c>
      <c r="I16" s="46">
        <v>800</v>
      </c>
      <c r="J16" s="32">
        <v>800</v>
      </c>
      <c r="K16" s="33">
        <f t="shared" si="0"/>
        <v>63.6</v>
      </c>
      <c r="L16" s="47">
        <f t="shared" si="0"/>
        <v>72.16</v>
      </c>
      <c r="M16" s="31">
        <v>535</v>
      </c>
      <c r="N16" s="31">
        <v>1330</v>
      </c>
      <c r="O16" s="31">
        <v>1330</v>
      </c>
      <c r="P16" s="31">
        <v>804</v>
      </c>
      <c r="Q16" s="35">
        <v>2500</v>
      </c>
      <c r="R16" s="48"/>
      <c r="S16" s="36">
        <v>197.8</v>
      </c>
      <c r="T16" s="36"/>
      <c r="U16" s="37">
        <v>25</v>
      </c>
      <c r="V16" s="38"/>
      <c r="W16" s="39">
        <f>S16*1000/39.37/Q16*31.5</f>
        <v>63.304038608077221</v>
      </c>
      <c r="X16" s="39"/>
      <c r="Y16" s="40">
        <f>(AC16+W16)/2</f>
        <v>64.252019304038612</v>
      </c>
      <c r="Z16" s="52"/>
      <c r="AA16" s="41"/>
      <c r="AB16" s="42"/>
      <c r="AC16" s="43">
        <v>65.2</v>
      </c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59</v>
      </c>
      <c r="E17" s="28">
        <v>69010625</v>
      </c>
      <c r="F17" s="29">
        <v>690106</v>
      </c>
      <c r="G17" s="55">
        <v>845</v>
      </c>
      <c r="H17" s="31">
        <v>923</v>
      </c>
      <c r="I17" s="46">
        <v>800</v>
      </c>
      <c r="J17" s="32">
        <v>800</v>
      </c>
      <c r="K17" s="33">
        <f t="shared" si="0"/>
        <v>67.599999999999994</v>
      </c>
      <c r="L17" s="47">
        <f t="shared" si="0"/>
        <v>73.84</v>
      </c>
      <c r="M17" s="31">
        <v>1872</v>
      </c>
      <c r="N17" s="31">
        <v>717</v>
      </c>
      <c r="O17" s="31">
        <v>717</v>
      </c>
      <c r="P17" s="31">
        <v>1640</v>
      </c>
      <c r="Q17" s="35">
        <v>2000</v>
      </c>
      <c r="R17" s="48"/>
      <c r="S17" s="36">
        <v>155.9</v>
      </c>
      <c r="T17" s="36"/>
      <c r="U17" s="37"/>
      <c r="V17" s="38"/>
      <c r="W17" s="39">
        <f>S17*1000/39.37/Q17*38.5</f>
        <v>76.227457454914912</v>
      </c>
      <c r="X17" s="39"/>
      <c r="Y17" s="40">
        <f>(AC17+W17)/2</f>
        <v>76.70372872745746</v>
      </c>
      <c r="Z17" s="40"/>
      <c r="AA17" s="41"/>
      <c r="AB17" s="42"/>
      <c r="AC17" s="43">
        <v>77.180000000000007</v>
      </c>
      <c r="AD17" s="43"/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59</v>
      </c>
      <c r="E18" s="28">
        <v>69010605</v>
      </c>
      <c r="F18" s="29">
        <v>690106</v>
      </c>
      <c r="G18" s="55">
        <v>974</v>
      </c>
      <c r="H18" s="31">
        <v>887</v>
      </c>
      <c r="I18" s="46">
        <v>800</v>
      </c>
      <c r="J18" s="32">
        <v>800</v>
      </c>
      <c r="K18" s="33">
        <f t="shared" si="0"/>
        <v>77.92</v>
      </c>
      <c r="L18" s="47">
        <f t="shared" si="0"/>
        <v>70.959999999999994</v>
      </c>
      <c r="M18" s="31">
        <v>273</v>
      </c>
      <c r="N18" s="31">
        <v>1247</v>
      </c>
      <c r="O18" s="31">
        <v>1247</v>
      </c>
      <c r="P18" s="31">
        <v>134</v>
      </c>
      <c r="Q18" s="35">
        <v>2000</v>
      </c>
      <c r="R18" s="48"/>
      <c r="S18" s="36">
        <v>154.80000000000001</v>
      </c>
      <c r="T18" s="36"/>
      <c r="U18" s="37"/>
      <c r="V18" s="38"/>
      <c r="W18" s="39">
        <f>S18*1000/39.37/Q18*38.5</f>
        <v>75.689611379222754</v>
      </c>
      <c r="X18" s="39"/>
      <c r="Y18" s="40">
        <f t="shared" ref="Y18:Z21" si="1">(AC18+W18)/2</f>
        <v>75.16980568961138</v>
      </c>
      <c r="Z18" s="40"/>
      <c r="AA18" s="41"/>
      <c r="AB18" s="42"/>
      <c r="AC18" s="43">
        <v>74.650000000000006</v>
      </c>
      <c r="AD18" s="43"/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61</v>
      </c>
      <c r="E19" s="28">
        <v>69010609</v>
      </c>
      <c r="F19" s="29">
        <v>690112</v>
      </c>
      <c r="G19" s="45">
        <v>719</v>
      </c>
      <c r="H19" s="31">
        <v>1031</v>
      </c>
      <c r="I19" s="46">
        <v>750</v>
      </c>
      <c r="J19" s="32">
        <v>750</v>
      </c>
      <c r="K19" s="33">
        <f t="shared" si="0"/>
        <v>57.52</v>
      </c>
      <c r="L19" s="47">
        <f t="shared" si="0"/>
        <v>82.48</v>
      </c>
      <c r="M19" s="31">
        <v>529</v>
      </c>
      <c r="N19" s="31">
        <v>1248</v>
      </c>
      <c r="O19" s="31">
        <v>1248</v>
      </c>
      <c r="P19" s="31">
        <v>836</v>
      </c>
      <c r="Q19" s="35">
        <v>2000</v>
      </c>
      <c r="R19" s="48"/>
      <c r="S19" s="36">
        <v>154.4</v>
      </c>
      <c r="T19" s="36"/>
      <c r="U19" s="37"/>
      <c r="V19" s="38"/>
      <c r="W19" s="39">
        <f>S19*1000/39.37/Q19*38.5</f>
        <v>75.494030988061979</v>
      </c>
      <c r="X19" s="39"/>
      <c r="Y19" s="40">
        <f t="shared" si="1"/>
        <v>77.382015494030981</v>
      </c>
      <c r="Z19" s="40"/>
      <c r="AA19" s="41"/>
      <c r="AB19" s="42"/>
      <c r="AC19" s="43">
        <v>79.27</v>
      </c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47</v>
      </c>
      <c r="E20" s="28">
        <v>69010617</v>
      </c>
      <c r="F20" s="29">
        <v>690119</v>
      </c>
      <c r="G20" s="45">
        <v>840</v>
      </c>
      <c r="H20" s="31">
        <v>897</v>
      </c>
      <c r="I20" s="46">
        <v>750</v>
      </c>
      <c r="J20" s="32">
        <v>750</v>
      </c>
      <c r="K20" s="33">
        <f t="shared" si="0"/>
        <v>67.2</v>
      </c>
      <c r="L20" s="47">
        <f t="shared" si="0"/>
        <v>71.760000000000005</v>
      </c>
      <c r="M20" s="31">
        <v>315</v>
      </c>
      <c r="N20" s="31">
        <v>1155</v>
      </c>
      <c r="O20" s="31">
        <v>1155</v>
      </c>
      <c r="P20" s="31">
        <v>2052</v>
      </c>
      <c r="Q20" s="35">
        <v>2500</v>
      </c>
      <c r="R20" s="48"/>
      <c r="S20" s="36">
        <v>206.9</v>
      </c>
      <c r="T20" s="36"/>
      <c r="U20" s="37">
        <v>25</v>
      </c>
      <c r="V20" s="38"/>
      <c r="W20" s="39">
        <f>S20*1000/39.37/Q20*38.5</f>
        <v>80.931165862331724</v>
      </c>
      <c r="X20" s="39"/>
      <c r="Y20" s="40">
        <f t="shared" si="1"/>
        <v>80.760582931165857</v>
      </c>
      <c r="Z20" s="40"/>
      <c r="AA20" s="41"/>
      <c r="AB20" s="42"/>
      <c r="AC20" s="43">
        <v>80.59</v>
      </c>
      <c r="AD20" s="43"/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43</v>
      </c>
      <c r="E21" s="28">
        <v>69010632</v>
      </c>
      <c r="F21" s="29">
        <v>690119</v>
      </c>
      <c r="G21" s="45">
        <v>960</v>
      </c>
      <c r="H21" s="31">
        <v>1018</v>
      </c>
      <c r="I21" s="46">
        <v>750</v>
      </c>
      <c r="J21" s="32">
        <v>750</v>
      </c>
      <c r="K21" s="33">
        <f t="shared" si="0"/>
        <v>76.8</v>
      </c>
      <c r="L21" s="47">
        <f t="shared" si="0"/>
        <v>81.44</v>
      </c>
      <c r="M21" s="31">
        <v>2118</v>
      </c>
      <c r="N21" s="31">
        <v>578</v>
      </c>
      <c r="O21" s="31">
        <v>578</v>
      </c>
      <c r="P21" s="31">
        <v>1596</v>
      </c>
      <c r="Q21" s="35"/>
      <c r="R21" s="48">
        <v>2500</v>
      </c>
      <c r="S21" s="36"/>
      <c r="T21" s="36">
        <v>202.3</v>
      </c>
      <c r="U21" s="37"/>
      <c r="V21" s="38">
        <v>25</v>
      </c>
      <c r="W21" s="39"/>
      <c r="X21" s="39">
        <f>T21*1000/39.37/R21*38.5</f>
        <v>79.131826263652528</v>
      </c>
      <c r="Y21" s="40"/>
      <c r="Z21" s="40">
        <f t="shared" si="1"/>
        <v>79.810913131826254</v>
      </c>
      <c r="AA21" s="41"/>
      <c r="AB21" s="42"/>
      <c r="AC21" s="43"/>
      <c r="AD21" s="43">
        <v>80.489999999999995</v>
      </c>
    </row>
    <row r="22" spans="1:35" ht="26.25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>
        <v>69010607</v>
      </c>
      <c r="F22" s="29">
        <v>690112</v>
      </c>
      <c r="G22" s="45">
        <v>733</v>
      </c>
      <c r="H22" s="31">
        <v>1152</v>
      </c>
      <c r="I22" s="46">
        <v>750</v>
      </c>
      <c r="J22" s="32">
        <v>750</v>
      </c>
      <c r="K22" s="33">
        <f t="shared" si="0"/>
        <v>58.64</v>
      </c>
      <c r="L22" s="47">
        <f t="shared" si="0"/>
        <v>92.16</v>
      </c>
      <c r="M22" s="240">
        <v>291</v>
      </c>
      <c r="N22" s="31">
        <v>1024</v>
      </c>
      <c r="O22" s="31">
        <v>1024</v>
      </c>
      <c r="P22" s="31">
        <v>726</v>
      </c>
      <c r="Q22" s="35">
        <v>2000</v>
      </c>
      <c r="R22" s="48"/>
      <c r="S22" s="36">
        <v>156.5</v>
      </c>
      <c r="T22" s="36"/>
      <c r="U22" s="37"/>
      <c r="V22" s="38"/>
      <c r="W22" s="39">
        <f>S22*1000/39.37/Q22*38.5</f>
        <v>76.520828041656088</v>
      </c>
      <c r="X22" s="39"/>
      <c r="Y22" s="40">
        <f>(AC22+W22)/2</f>
        <v>77.720414020828045</v>
      </c>
      <c r="Z22" s="40"/>
      <c r="AA22" s="41"/>
      <c r="AB22" s="42"/>
      <c r="AC22" s="43">
        <v>78.92</v>
      </c>
      <c r="AD22" s="43"/>
    </row>
    <row r="23" spans="1:35" ht="24" customHeight="1" x14ac:dyDescent="0.4">
      <c r="A23" s="249" t="s">
        <v>70</v>
      </c>
      <c r="B23" s="246" t="s">
        <v>42</v>
      </c>
      <c r="C23" s="253" t="s">
        <v>41</v>
      </c>
      <c r="D23" s="256" t="s">
        <v>57</v>
      </c>
      <c r="E23" s="28">
        <v>69010648</v>
      </c>
      <c r="F23" s="29">
        <v>690104</v>
      </c>
      <c r="G23" s="45">
        <v>662</v>
      </c>
      <c r="H23" s="31">
        <v>1100</v>
      </c>
      <c r="I23" s="46">
        <v>750</v>
      </c>
      <c r="J23" s="32">
        <v>750</v>
      </c>
      <c r="K23" s="33">
        <f t="shared" si="0"/>
        <v>52.96</v>
      </c>
      <c r="L23" s="47">
        <f t="shared" si="0"/>
        <v>88</v>
      </c>
      <c r="M23" s="31">
        <v>2270</v>
      </c>
      <c r="N23" s="31">
        <v>432</v>
      </c>
      <c r="O23" s="31">
        <v>432</v>
      </c>
      <c r="P23" s="31">
        <v>1532</v>
      </c>
      <c r="Q23" s="35"/>
      <c r="R23" s="48">
        <v>2470</v>
      </c>
      <c r="S23" s="36"/>
      <c r="T23" s="36">
        <v>194.5</v>
      </c>
      <c r="U23" s="37"/>
      <c r="V23" s="38">
        <v>25</v>
      </c>
      <c r="W23" s="39"/>
      <c r="X23" s="39">
        <f>T23*1000/39.37/R23*31.5</f>
        <v>63.003951918835007</v>
      </c>
      <c r="Y23" s="40"/>
      <c r="Z23" s="40">
        <v>63.56</v>
      </c>
      <c r="AA23" s="41"/>
      <c r="AB23" s="42"/>
      <c r="AC23" s="43"/>
      <c r="AD23" s="43">
        <v>64.11</v>
      </c>
    </row>
    <row r="24" spans="1:35" ht="24" customHeight="1" x14ac:dyDescent="0.5">
      <c r="A24" s="249" t="s">
        <v>72</v>
      </c>
      <c r="B24" s="246" t="s">
        <v>42</v>
      </c>
      <c r="C24" s="253" t="s">
        <v>41</v>
      </c>
      <c r="D24" s="214" t="s">
        <v>237</v>
      </c>
      <c r="E24" s="28"/>
      <c r="F24" s="29">
        <v>690126</v>
      </c>
      <c r="G24" s="45">
        <v>561</v>
      </c>
      <c r="H24" s="31">
        <v>1052</v>
      </c>
      <c r="I24" s="46">
        <v>750</v>
      </c>
      <c r="J24" s="32">
        <v>750</v>
      </c>
      <c r="K24" s="33">
        <f t="shared" si="0"/>
        <v>44.88</v>
      </c>
      <c r="L24" s="47">
        <f t="shared" si="0"/>
        <v>84.16</v>
      </c>
      <c r="M24" s="31">
        <v>1252</v>
      </c>
      <c r="N24" s="31">
        <v>313</v>
      </c>
      <c r="O24" s="31">
        <v>313</v>
      </c>
      <c r="P24" s="31">
        <v>1365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241</v>
      </c>
      <c r="E25" s="28">
        <v>69010606</v>
      </c>
      <c r="F25" s="29">
        <v>690126</v>
      </c>
      <c r="G25" s="45">
        <v>630</v>
      </c>
      <c r="H25" s="31">
        <v>1064</v>
      </c>
      <c r="I25" s="46">
        <v>750</v>
      </c>
      <c r="J25" s="32">
        <v>750</v>
      </c>
      <c r="K25" s="33">
        <f t="shared" si="0"/>
        <v>50.4</v>
      </c>
      <c r="L25" s="47">
        <f t="shared" si="0"/>
        <v>85.12</v>
      </c>
      <c r="M25" s="241">
        <v>681</v>
      </c>
      <c r="N25" s="31">
        <v>1311</v>
      </c>
      <c r="O25" s="31">
        <v>1311</v>
      </c>
      <c r="P25" s="31">
        <v>860</v>
      </c>
      <c r="Q25" s="35">
        <v>1970</v>
      </c>
      <c r="R25" s="48"/>
      <c r="S25" s="36">
        <v>188.9</v>
      </c>
      <c r="T25" s="36"/>
      <c r="U25" s="37"/>
      <c r="V25" s="38"/>
      <c r="W25" s="39">
        <f>S25*1000/39.37/Q25*44.5</f>
        <v>108.38279036964167</v>
      </c>
      <c r="X25" s="39"/>
      <c r="Y25" s="40">
        <f>(AC25+W25)/2</f>
        <v>110.37639518482084</v>
      </c>
      <c r="Z25" s="40"/>
      <c r="AA25" s="41"/>
      <c r="AB25" s="42"/>
      <c r="AC25" s="239">
        <v>112.37</v>
      </c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43</v>
      </c>
      <c r="E26" s="28">
        <v>69010639</v>
      </c>
      <c r="F26" s="29">
        <v>690119</v>
      </c>
      <c r="G26" s="55">
        <v>888</v>
      </c>
      <c r="H26" s="31">
        <v>947</v>
      </c>
      <c r="I26" s="46">
        <v>800</v>
      </c>
      <c r="J26" s="32">
        <v>800</v>
      </c>
      <c r="K26" s="33">
        <f t="shared" si="0"/>
        <v>71.040000000000006</v>
      </c>
      <c r="L26" s="47">
        <f t="shared" si="0"/>
        <v>75.760000000000005</v>
      </c>
      <c r="M26" s="242">
        <v>1761</v>
      </c>
      <c r="N26" s="31">
        <v>149</v>
      </c>
      <c r="O26" s="31">
        <v>149</v>
      </c>
      <c r="P26" s="31">
        <v>1096</v>
      </c>
      <c r="Q26" s="35"/>
      <c r="R26" s="35">
        <v>2500</v>
      </c>
      <c r="S26" s="36"/>
      <c r="T26" s="36">
        <v>202.7</v>
      </c>
      <c r="U26" s="37"/>
      <c r="V26" s="38">
        <v>25</v>
      </c>
      <c r="W26" s="39"/>
      <c r="X26" s="39">
        <f>T26*1000/39.37/R26*38.5</f>
        <v>79.288290576581147</v>
      </c>
      <c r="Y26" s="40"/>
      <c r="Z26" s="40">
        <v>80.12</v>
      </c>
      <c r="AA26" s="41"/>
      <c r="AB26" s="42"/>
      <c r="AC26" s="43"/>
      <c r="AD26" s="43">
        <v>80.94</v>
      </c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59</v>
      </c>
      <c r="E27" s="28">
        <v>69010626</v>
      </c>
      <c r="F27" s="29">
        <v>690112</v>
      </c>
      <c r="G27" s="55">
        <v>887</v>
      </c>
      <c r="H27" s="31">
        <v>854</v>
      </c>
      <c r="I27" s="46">
        <v>800</v>
      </c>
      <c r="J27" s="32">
        <v>800</v>
      </c>
      <c r="K27" s="33">
        <f t="shared" si="0"/>
        <v>70.959999999999994</v>
      </c>
      <c r="L27" s="47">
        <f t="shared" si="0"/>
        <v>68.319999999999993</v>
      </c>
      <c r="M27" s="31">
        <v>1878</v>
      </c>
      <c r="N27" s="31">
        <v>765</v>
      </c>
      <c r="O27" s="31">
        <v>765</v>
      </c>
      <c r="P27" s="31">
        <v>1619</v>
      </c>
      <c r="Q27" s="35"/>
      <c r="R27" s="56">
        <v>2000</v>
      </c>
      <c r="S27" s="57"/>
      <c r="T27" s="57">
        <v>155.69999999999999</v>
      </c>
      <c r="U27" s="58"/>
      <c r="V27" s="59"/>
      <c r="W27" s="39"/>
      <c r="X27" s="39">
        <f>T27*1000/39.37/R27*38.5</f>
        <v>76.129667259334525</v>
      </c>
      <c r="Y27" s="40"/>
      <c r="Z27" s="40">
        <f>(AD27+X27)/2</f>
        <v>77.244833629667255</v>
      </c>
      <c r="AA27" s="41"/>
      <c r="AB27" s="42"/>
      <c r="AC27" s="43"/>
      <c r="AD27" s="43">
        <v>78.36</v>
      </c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59</v>
      </c>
      <c r="E28" s="28">
        <v>69010608</v>
      </c>
      <c r="F28" s="29">
        <v>690112</v>
      </c>
      <c r="G28" s="45">
        <v>866</v>
      </c>
      <c r="H28" s="31">
        <v>842</v>
      </c>
      <c r="I28" s="46">
        <v>800</v>
      </c>
      <c r="J28" s="32">
        <v>800</v>
      </c>
      <c r="K28" s="33">
        <f t="shared" si="0"/>
        <v>69.28</v>
      </c>
      <c r="L28" s="47">
        <f t="shared" si="0"/>
        <v>67.36</v>
      </c>
      <c r="M28" s="31">
        <v>419</v>
      </c>
      <c r="N28" s="31">
        <v>1285</v>
      </c>
      <c r="O28" s="31">
        <v>1285</v>
      </c>
      <c r="P28" s="31">
        <v>247</v>
      </c>
      <c r="Q28" s="35">
        <v>2000</v>
      </c>
      <c r="R28" s="48"/>
      <c r="S28" s="36">
        <v>158</v>
      </c>
      <c r="T28" s="36"/>
      <c r="U28" s="37"/>
      <c r="V28" s="38"/>
      <c r="W28" s="39">
        <f>S28*1000/39.37/Q28*38.5</f>
        <v>77.254254508509021</v>
      </c>
      <c r="X28" s="39"/>
      <c r="Y28" s="40">
        <f>(AC28+W28)/2</f>
        <v>78.372127254254508</v>
      </c>
      <c r="Z28" s="40"/>
      <c r="AA28" s="41"/>
      <c r="AB28" s="42"/>
      <c r="AC28" s="43">
        <v>79.489999999999995</v>
      </c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43</v>
      </c>
      <c r="E29" s="28">
        <v>69010640</v>
      </c>
      <c r="F29" s="29">
        <v>690119</v>
      </c>
      <c r="G29" s="45">
        <v>867</v>
      </c>
      <c r="H29" s="31">
        <v>903</v>
      </c>
      <c r="I29" s="46">
        <v>800</v>
      </c>
      <c r="J29" s="32">
        <v>800</v>
      </c>
      <c r="K29" s="33">
        <f t="shared" si="0"/>
        <v>69.36</v>
      </c>
      <c r="L29" s="47">
        <f t="shared" si="0"/>
        <v>72.239999999999995</v>
      </c>
      <c r="M29" s="31">
        <v>1953</v>
      </c>
      <c r="N29" s="31">
        <v>320</v>
      </c>
      <c r="O29" s="31">
        <v>320</v>
      </c>
      <c r="P29" s="31">
        <v>371</v>
      </c>
      <c r="Q29" s="35"/>
      <c r="R29" s="48">
        <v>2500</v>
      </c>
      <c r="S29" s="36"/>
      <c r="T29" s="36">
        <v>202</v>
      </c>
      <c r="U29" s="37"/>
      <c r="V29" s="38">
        <v>25</v>
      </c>
      <c r="W29" s="39"/>
      <c r="X29" s="39">
        <f>T29*1000/39.37/R29*38.5</f>
        <v>79.014478028956063</v>
      </c>
      <c r="Y29" s="40"/>
      <c r="Z29" s="40">
        <v>79.930000000000007</v>
      </c>
      <c r="AA29" s="41"/>
      <c r="AB29" s="42"/>
      <c r="AC29" s="43"/>
      <c r="AD29" s="43">
        <v>80.849999999999994</v>
      </c>
    </row>
    <row r="30" spans="1:35" ht="24" customHeight="1" x14ac:dyDescent="0.4">
      <c r="A30" s="249" t="s">
        <v>80</v>
      </c>
      <c r="B30" s="246"/>
      <c r="C30" s="253" t="s">
        <v>75</v>
      </c>
      <c r="D30" s="256" t="s">
        <v>43</v>
      </c>
      <c r="E30" s="28"/>
      <c r="F30" s="29">
        <v>690108</v>
      </c>
      <c r="G30" s="45">
        <v>842</v>
      </c>
      <c r="H30" s="31">
        <v>922</v>
      </c>
      <c r="I30" s="46">
        <v>800</v>
      </c>
      <c r="J30" s="32">
        <v>800</v>
      </c>
      <c r="K30" s="33">
        <f t="shared" si="0"/>
        <v>67.36</v>
      </c>
      <c r="L30" s="47">
        <f t="shared" si="0"/>
        <v>73.760000000000005</v>
      </c>
      <c r="M30" s="31">
        <v>1451</v>
      </c>
      <c r="N30" s="31">
        <v>2293</v>
      </c>
      <c r="O30" s="31">
        <v>2293</v>
      </c>
      <c r="P30" s="31">
        <v>715</v>
      </c>
      <c r="Q30" s="35"/>
      <c r="R30" s="35"/>
      <c r="S30" s="36"/>
      <c r="T30" s="36"/>
      <c r="U30" s="37"/>
      <c r="V30" s="38"/>
      <c r="W30" s="39"/>
      <c r="X30" s="39"/>
      <c r="Y30" s="40"/>
      <c r="Z30" s="40"/>
      <c r="AA30" s="41"/>
      <c r="AB30" s="42"/>
      <c r="AC30" s="43"/>
      <c r="AD30" s="43"/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1">
        <v>0</v>
      </c>
      <c r="N31" s="31">
        <v>0</v>
      </c>
      <c r="O31" s="31">
        <v>0</v>
      </c>
      <c r="P31" s="31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47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1">
        <v>570</v>
      </c>
      <c r="N32" s="31">
        <v>570</v>
      </c>
      <c r="O32" s="31">
        <v>570</v>
      </c>
      <c r="P32" s="31">
        <v>570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47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1">
        <v>700</v>
      </c>
      <c r="N33" s="31">
        <v>700</v>
      </c>
      <c r="O33" s="31">
        <v>700</v>
      </c>
      <c r="P33" s="31">
        <v>700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/>
      <c r="F34" s="29">
        <v>690119</v>
      </c>
      <c r="G34" s="60">
        <v>642</v>
      </c>
      <c r="H34" s="31">
        <v>509</v>
      </c>
      <c r="I34" s="46">
        <v>110</v>
      </c>
      <c r="J34" s="32">
        <v>110</v>
      </c>
      <c r="K34" s="33">
        <f t="shared" si="0"/>
        <v>51.36</v>
      </c>
      <c r="L34" s="47">
        <f t="shared" si="0"/>
        <v>40.72</v>
      </c>
      <c r="M34" s="31">
        <v>1158</v>
      </c>
      <c r="N34" s="31">
        <v>1800</v>
      </c>
      <c r="O34" s="31">
        <v>1800</v>
      </c>
      <c r="P34" s="31">
        <v>2309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14" t="s">
        <v>211</v>
      </c>
      <c r="E35" s="28"/>
      <c r="F35" s="29"/>
      <c r="G35" s="45">
        <v>245</v>
      </c>
      <c r="H35" s="31">
        <v>713</v>
      </c>
      <c r="I35" s="46">
        <v>110</v>
      </c>
      <c r="J35" s="32">
        <v>110</v>
      </c>
      <c r="K35" s="33">
        <f t="shared" si="0"/>
        <v>19.600000000000001</v>
      </c>
      <c r="L35" s="47">
        <f t="shared" si="0"/>
        <v>57.04</v>
      </c>
      <c r="M35" s="31">
        <v>0</v>
      </c>
      <c r="N35" s="31">
        <v>245</v>
      </c>
      <c r="O35" s="31">
        <v>245</v>
      </c>
      <c r="P35" s="31">
        <v>958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57</v>
      </c>
      <c r="E36" s="28">
        <v>69010629</v>
      </c>
      <c r="F36" s="29">
        <v>690106</v>
      </c>
      <c r="G36" s="45">
        <v>618</v>
      </c>
      <c r="H36" s="31">
        <v>0</v>
      </c>
      <c r="I36" s="46">
        <v>115</v>
      </c>
      <c r="J36" s="32">
        <v>115</v>
      </c>
      <c r="K36" s="33">
        <f t="shared" si="0"/>
        <v>49.44</v>
      </c>
      <c r="L36" s="47">
        <f t="shared" si="0"/>
        <v>0</v>
      </c>
      <c r="M36" s="31">
        <v>2272</v>
      </c>
      <c r="N36" s="31">
        <v>368</v>
      </c>
      <c r="O36" s="31">
        <v>368</v>
      </c>
      <c r="P36" s="31">
        <v>368</v>
      </c>
      <c r="Q36" s="35"/>
      <c r="R36" s="48">
        <v>2522</v>
      </c>
      <c r="S36" s="36"/>
      <c r="T36" s="36">
        <v>200.9</v>
      </c>
      <c r="U36" s="37"/>
      <c r="V36" s="38">
        <v>25</v>
      </c>
      <c r="W36" s="39"/>
      <c r="X36" s="39">
        <f>T36*1000/39.37/R36*31.5</f>
        <v>63.735294005084448</v>
      </c>
      <c r="Y36" s="40"/>
      <c r="Z36" s="40">
        <f t="shared" ref="Z36" si="2">(AD36+X36)/2</f>
        <v>65.042647002542225</v>
      </c>
      <c r="AA36" s="41"/>
      <c r="AB36" s="42"/>
      <c r="AC36" s="43"/>
      <c r="AD36" s="43">
        <v>66.349999999999994</v>
      </c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57</v>
      </c>
      <c r="E37" s="28"/>
      <c r="F37" s="29">
        <v>690106</v>
      </c>
      <c r="G37" s="45">
        <v>615</v>
      </c>
      <c r="H37" s="31">
        <v>0</v>
      </c>
      <c r="I37" s="46">
        <v>115</v>
      </c>
      <c r="J37" s="32">
        <v>115</v>
      </c>
      <c r="K37" s="33">
        <f t="shared" si="0"/>
        <v>49.2</v>
      </c>
      <c r="L37" s="47">
        <f t="shared" si="0"/>
        <v>0</v>
      </c>
      <c r="M37" s="31">
        <v>753</v>
      </c>
      <c r="N37" s="31">
        <v>1368</v>
      </c>
      <c r="O37" s="31">
        <v>1368</v>
      </c>
      <c r="P37" s="31">
        <v>1368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57</v>
      </c>
      <c r="E38" s="28"/>
      <c r="F38" s="29">
        <v>690106</v>
      </c>
      <c r="G38" s="45">
        <v>443</v>
      </c>
      <c r="H38" s="31">
        <v>0</v>
      </c>
      <c r="I38" s="46">
        <v>115</v>
      </c>
      <c r="J38" s="32">
        <v>115</v>
      </c>
      <c r="K38" s="33">
        <f t="shared" si="0"/>
        <v>35.44</v>
      </c>
      <c r="L38" s="47">
        <f t="shared" si="0"/>
        <v>0</v>
      </c>
      <c r="M38" s="31">
        <v>1733</v>
      </c>
      <c r="N38" s="31">
        <v>2176</v>
      </c>
      <c r="O38" s="31">
        <v>2176</v>
      </c>
      <c r="P38" s="31">
        <v>2176</v>
      </c>
      <c r="Q38" s="35"/>
      <c r="R38" s="67"/>
      <c r="S38" s="3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/>
      <c r="F39" s="29">
        <v>690107</v>
      </c>
      <c r="G39" s="45">
        <v>450</v>
      </c>
      <c r="H39" s="31">
        <v>0</v>
      </c>
      <c r="I39" s="63">
        <v>115</v>
      </c>
      <c r="J39" s="64">
        <v>115</v>
      </c>
      <c r="K39" s="65">
        <f t="shared" ref="K39:L55" si="3">G39*8/100</f>
        <v>36</v>
      </c>
      <c r="L39" s="68">
        <f t="shared" si="3"/>
        <v>0</v>
      </c>
      <c r="M39" s="31">
        <v>174</v>
      </c>
      <c r="N39" s="31">
        <v>624</v>
      </c>
      <c r="O39" s="31">
        <v>624</v>
      </c>
      <c r="P39" s="31">
        <v>624</v>
      </c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71</v>
      </c>
      <c r="E40" s="28">
        <v>69010651</v>
      </c>
      <c r="F40" s="29">
        <v>690106</v>
      </c>
      <c r="G40" s="45">
        <v>398</v>
      </c>
      <c r="H40" s="31">
        <v>0</v>
      </c>
      <c r="I40" s="63">
        <v>115</v>
      </c>
      <c r="J40" s="64">
        <v>115</v>
      </c>
      <c r="K40" s="65">
        <f t="shared" si="3"/>
        <v>31.84</v>
      </c>
      <c r="L40" s="68">
        <f t="shared" si="3"/>
        <v>0</v>
      </c>
      <c r="M40" s="31">
        <v>247</v>
      </c>
      <c r="N40" s="31">
        <v>140</v>
      </c>
      <c r="O40" s="31">
        <v>140</v>
      </c>
      <c r="P40" s="31">
        <v>140</v>
      </c>
      <c r="Q40" s="35"/>
      <c r="R40" s="67">
        <v>1701</v>
      </c>
      <c r="S40" s="36"/>
      <c r="T40" s="36">
        <v>119</v>
      </c>
      <c r="U40" s="37"/>
      <c r="V40" s="37">
        <v>15</v>
      </c>
      <c r="W40" s="39"/>
      <c r="X40" s="39">
        <f>T40*1000/39.37/R40*31.5</f>
        <v>55.974186022446119</v>
      </c>
      <c r="Y40" s="40"/>
      <c r="Z40" s="40">
        <v>56.88</v>
      </c>
      <c r="AA40" s="41"/>
      <c r="AB40" s="42"/>
      <c r="AC40" s="43"/>
      <c r="AD40" s="43">
        <v>57.78</v>
      </c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/>
      <c r="F41" s="29">
        <v>690119</v>
      </c>
      <c r="G41" s="45">
        <v>810</v>
      </c>
      <c r="H41" s="31">
        <v>693</v>
      </c>
      <c r="I41" s="46">
        <v>120</v>
      </c>
      <c r="J41" s="32">
        <v>120</v>
      </c>
      <c r="K41" s="33">
        <f t="shared" si="3"/>
        <v>64.8</v>
      </c>
      <c r="L41" s="47">
        <f t="shared" si="3"/>
        <v>55.44</v>
      </c>
      <c r="M41" s="31">
        <v>738</v>
      </c>
      <c r="N41" s="31">
        <v>1548</v>
      </c>
      <c r="O41" s="31">
        <v>1548</v>
      </c>
      <c r="P41" s="31">
        <v>2241</v>
      </c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47</v>
      </c>
      <c r="E42" s="28"/>
      <c r="F42" s="29">
        <v>690119</v>
      </c>
      <c r="G42" s="45">
        <v>766</v>
      </c>
      <c r="H42" s="31">
        <v>705</v>
      </c>
      <c r="I42" s="46">
        <v>120</v>
      </c>
      <c r="J42" s="32">
        <v>120</v>
      </c>
      <c r="K42" s="33">
        <f t="shared" si="3"/>
        <v>61.28</v>
      </c>
      <c r="L42" s="47">
        <f t="shared" si="3"/>
        <v>56.4</v>
      </c>
      <c r="M42" s="31">
        <v>742</v>
      </c>
      <c r="N42" s="31">
        <v>1508</v>
      </c>
      <c r="O42" s="31">
        <v>1508</v>
      </c>
      <c r="P42" s="31">
        <v>2213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47</v>
      </c>
      <c r="E43" s="28">
        <v>69010613</v>
      </c>
      <c r="F43" s="29">
        <v>690119</v>
      </c>
      <c r="G43" s="45">
        <v>725</v>
      </c>
      <c r="H43" s="31">
        <v>721</v>
      </c>
      <c r="I43" s="46">
        <v>120</v>
      </c>
      <c r="J43" s="32">
        <v>120</v>
      </c>
      <c r="K43" s="33">
        <f t="shared" si="3"/>
        <v>58</v>
      </c>
      <c r="L43" s="47">
        <f t="shared" si="3"/>
        <v>57.68</v>
      </c>
      <c r="M43" s="31">
        <v>0</v>
      </c>
      <c r="N43" s="31">
        <v>725</v>
      </c>
      <c r="O43" s="31">
        <v>725</v>
      </c>
      <c r="P43" s="31">
        <v>1446</v>
      </c>
      <c r="Q43" s="35">
        <v>2624</v>
      </c>
      <c r="R43" s="48"/>
      <c r="S43" s="36">
        <v>221.2</v>
      </c>
      <c r="T43" s="36"/>
      <c r="U43" s="37">
        <v>25</v>
      </c>
      <c r="V43" s="38"/>
      <c r="W43" s="39">
        <f>S43*1000/39.37/Q43*38.5</f>
        <v>82.435942310909013</v>
      </c>
      <c r="X43" s="39"/>
      <c r="Y43" s="40">
        <f t="shared" ref="Y43:Z46" si="4">(AC43+W43)/2</f>
        <v>83.6629711554545</v>
      </c>
      <c r="Z43" s="40"/>
      <c r="AA43" s="41"/>
      <c r="AB43" s="42"/>
      <c r="AC43" s="43">
        <v>84.89</v>
      </c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>
        <v>69010619</v>
      </c>
      <c r="F44" s="29">
        <v>690128</v>
      </c>
      <c r="G44" s="69">
        <v>674</v>
      </c>
      <c r="H44" s="31">
        <v>650</v>
      </c>
      <c r="I44" s="46">
        <v>120</v>
      </c>
      <c r="J44" s="32">
        <v>120</v>
      </c>
      <c r="K44" s="33">
        <f t="shared" si="3"/>
        <v>53.92</v>
      </c>
      <c r="L44" s="47">
        <f t="shared" si="3"/>
        <v>52</v>
      </c>
      <c r="M44" s="31">
        <v>0</v>
      </c>
      <c r="N44" s="31">
        <v>674</v>
      </c>
      <c r="O44" s="31">
        <v>674</v>
      </c>
      <c r="P44" s="31">
        <v>1324</v>
      </c>
      <c r="Q44" s="35">
        <v>1550</v>
      </c>
      <c r="R44" s="48"/>
      <c r="S44" s="36">
        <v>173.2</v>
      </c>
      <c r="T44" s="36"/>
      <c r="U44" s="37">
        <v>15</v>
      </c>
      <c r="V44" s="38"/>
      <c r="W44" s="39">
        <f>S44*1000/39.37/Q44*42.5</f>
        <v>120.62566060615995</v>
      </c>
      <c r="X44" s="39"/>
      <c r="Y44" s="40">
        <f t="shared" si="4"/>
        <v>121.30283030307999</v>
      </c>
      <c r="Z44" s="40"/>
      <c r="AA44" s="41"/>
      <c r="AB44" s="42"/>
      <c r="AC44" s="43">
        <v>121.98</v>
      </c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47</v>
      </c>
      <c r="E45" s="28"/>
      <c r="F45" s="29">
        <v>690119</v>
      </c>
      <c r="G45" s="45">
        <v>825</v>
      </c>
      <c r="H45" s="31">
        <v>615</v>
      </c>
      <c r="I45" s="63">
        <v>120</v>
      </c>
      <c r="J45" s="64">
        <v>120</v>
      </c>
      <c r="K45" s="65">
        <f t="shared" si="3"/>
        <v>66</v>
      </c>
      <c r="L45" s="68">
        <f t="shared" si="3"/>
        <v>49.2</v>
      </c>
      <c r="M45" s="82">
        <v>765</v>
      </c>
      <c r="N45" s="31">
        <v>1590</v>
      </c>
      <c r="O45" s="31">
        <v>1590</v>
      </c>
      <c r="P45" s="31">
        <v>2205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>
        <v>69010631</v>
      </c>
      <c r="F46" s="29">
        <v>690128</v>
      </c>
      <c r="G46" s="45">
        <v>521</v>
      </c>
      <c r="H46" s="31">
        <v>748</v>
      </c>
      <c r="I46" s="46">
        <v>650</v>
      </c>
      <c r="J46" s="32">
        <v>650</v>
      </c>
      <c r="K46" s="33">
        <f t="shared" si="3"/>
        <v>41.68</v>
      </c>
      <c r="L46" s="47">
        <f t="shared" si="3"/>
        <v>59.84</v>
      </c>
      <c r="M46" s="240">
        <v>1307</v>
      </c>
      <c r="N46" s="31">
        <v>328</v>
      </c>
      <c r="O46" s="31">
        <v>328</v>
      </c>
      <c r="P46" s="31">
        <v>1076</v>
      </c>
      <c r="Q46" s="35"/>
      <c r="R46" s="48">
        <v>1500</v>
      </c>
      <c r="S46" s="36"/>
      <c r="T46" s="36">
        <v>168.5</v>
      </c>
      <c r="U46" s="37"/>
      <c r="V46" s="38">
        <v>15</v>
      </c>
      <c r="W46" s="39"/>
      <c r="X46" s="39">
        <f>T46*1000/39.37/R46*42.5</f>
        <v>121.26407586148505</v>
      </c>
      <c r="Y46" s="40"/>
      <c r="Z46" s="40">
        <f t="shared" si="4"/>
        <v>122.43703793074252</v>
      </c>
      <c r="AA46" s="41"/>
      <c r="AB46" s="42"/>
      <c r="AC46" s="239"/>
      <c r="AD46" s="43">
        <v>123.61</v>
      </c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8">
        <v>69010645</v>
      </c>
      <c r="F47" s="29">
        <v>690128</v>
      </c>
      <c r="G47" s="45">
        <v>505</v>
      </c>
      <c r="H47" s="31">
        <v>706</v>
      </c>
      <c r="I47" s="63">
        <v>650</v>
      </c>
      <c r="J47" s="64">
        <v>650</v>
      </c>
      <c r="K47" s="65">
        <f t="shared" si="3"/>
        <v>40.4</v>
      </c>
      <c r="L47" s="68">
        <f t="shared" si="3"/>
        <v>56.48</v>
      </c>
      <c r="M47" s="31">
        <v>1065</v>
      </c>
      <c r="N47" s="31">
        <v>70</v>
      </c>
      <c r="O47" s="31">
        <v>70</v>
      </c>
      <c r="P47" s="31">
        <v>776</v>
      </c>
      <c r="Q47" s="35"/>
      <c r="R47" s="48">
        <v>1500</v>
      </c>
      <c r="S47" s="36"/>
      <c r="T47" s="36">
        <v>167.8</v>
      </c>
      <c r="U47" s="37"/>
      <c r="V47" s="38">
        <v>15</v>
      </c>
      <c r="W47" s="39"/>
      <c r="X47" s="39">
        <f>T47*1000/39.37/R47*42.5</f>
        <v>120.76030818728304</v>
      </c>
      <c r="Y47" s="40"/>
      <c r="Z47" s="40">
        <v>122.21</v>
      </c>
      <c r="AA47" s="41"/>
      <c r="AB47" s="42"/>
      <c r="AC47" s="239"/>
      <c r="AD47" s="43">
        <v>123.66</v>
      </c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>
        <v>69010646</v>
      </c>
      <c r="F48" s="29">
        <v>690128</v>
      </c>
      <c r="G48" s="69">
        <v>507</v>
      </c>
      <c r="H48" s="31">
        <v>721</v>
      </c>
      <c r="I48" s="63">
        <v>650</v>
      </c>
      <c r="J48" s="64">
        <v>650</v>
      </c>
      <c r="K48" s="65">
        <f t="shared" si="3"/>
        <v>40.56</v>
      </c>
      <c r="L48" s="68">
        <f t="shared" si="3"/>
        <v>57.68</v>
      </c>
      <c r="M48" s="31">
        <v>1105</v>
      </c>
      <c r="N48" s="31">
        <v>112</v>
      </c>
      <c r="O48" s="31">
        <v>112</v>
      </c>
      <c r="P48" s="31">
        <v>833</v>
      </c>
      <c r="Q48" s="35"/>
      <c r="R48" s="48">
        <v>1500</v>
      </c>
      <c r="S48" s="36"/>
      <c r="T48" s="36">
        <v>168.2</v>
      </c>
      <c r="U48" s="37"/>
      <c r="V48" s="38">
        <v>15</v>
      </c>
      <c r="W48" s="39"/>
      <c r="X48" s="39">
        <f>T48*1000/39.37/R48*42.5</f>
        <v>121.04817542968422</v>
      </c>
      <c r="Y48" s="40"/>
      <c r="Z48" s="40">
        <v>122.9</v>
      </c>
      <c r="AA48" s="41"/>
      <c r="AB48" s="42"/>
      <c r="AC48" s="239"/>
      <c r="AD48" s="43">
        <v>124.74</v>
      </c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47</v>
      </c>
      <c r="E49" s="28"/>
      <c r="F49" s="29">
        <v>690119</v>
      </c>
      <c r="G49" s="73">
        <v>661</v>
      </c>
      <c r="H49" s="31">
        <v>814</v>
      </c>
      <c r="I49" s="46">
        <v>650</v>
      </c>
      <c r="J49" s="32">
        <v>650</v>
      </c>
      <c r="K49" s="33">
        <f t="shared" si="3"/>
        <v>52.88</v>
      </c>
      <c r="L49" s="47">
        <f t="shared" si="3"/>
        <v>65.12</v>
      </c>
      <c r="M49" s="31">
        <v>1112</v>
      </c>
      <c r="N49" s="31">
        <v>1773</v>
      </c>
      <c r="O49" s="31">
        <v>1773</v>
      </c>
      <c r="P49" s="31">
        <v>87</v>
      </c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47</v>
      </c>
      <c r="E50" s="28">
        <v>69010636</v>
      </c>
      <c r="F50" s="29">
        <v>690119</v>
      </c>
      <c r="G50" s="74">
        <v>662</v>
      </c>
      <c r="H50" s="31">
        <v>850</v>
      </c>
      <c r="I50" s="46">
        <v>650</v>
      </c>
      <c r="J50" s="32">
        <v>650</v>
      </c>
      <c r="K50" s="33">
        <f t="shared" si="3"/>
        <v>52.96</v>
      </c>
      <c r="L50" s="47">
        <f t="shared" si="3"/>
        <v>68</v>
      </c>
      <c r="M50" s="243">
        <v>2108</v>
      </c>
      <c r="N50" s="31">
        <v>270</v>
      </c>
      <c r="O50" s="31">
        <v>270</v>
      </c>
      <c r="P50" s="31">
        <v>1120</v>
      </c>
      <c r="Q50" s="35"/>
      <c r="R50" s="48">
        <v>2500</v>
      </c>
      <c r="S50" s="36"/>
      <c r="T50" s="36">
        <v>205.5</v>
      </c>
      <c r="U50" s="37"/>
      <c r="V50" s="38">
        <v>25</v>
      </c>
      <c r="W50" s="39"/>
      <c r="X50" s="39">
        <f>T50*1000/39.37/R50*38.5</f>
        <v>80.383540767081541</v>
      </c>
      <c r="Y50" s="40"/>
      <c r="Z50" s="40">
        <v>81.02</v>
      </c>
      <c r="AA50" s="41"/>
      <c r="AB50" s="42"/>
      <c r="AC50" s="43"/>
      <c r="AD50" s="43">
        <v>81.66</v>
      </c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52</v>
      </c>
      <c r="E51" s="28">
        <v>69010618</v>
      </c>
      <c r="F51" s="29">
        <v>690113</v>
      </c>
      <c r="G51" s="45">
        <v>671</v>
      </c>
      <c r="H51" s="31">
        <v>807</v>
      </c>
      <c r="I51" s="46">
        <v>650</v>
      </c>
      <c r="J51" s="32">
        <v>650</v>
      </c>
      <c r="K51" s="33">
        <f t="shared" si="3"/>
        <v>53.68</v>
      </c>
      <c r="L51" s="47">
        <f t="shared" si="3"/>
        <v>64.56</v>
      </c>
      <c r="M51" s="244">
        <v>53</v>
      </c>
      <c r="N51" s="31">
        <v>724</v>
      </c>
      <c r="O51" s="31">
        <v>724</v>
      </c>
      <c r="P51" s="31">
        <v>1531</v>
      </c>
      <c r="Q51" s="35">
        <v>2500</v>
      </c>
      <c r="R51" s="48"/>
      <c r="S51" s="36">
        <v>186.1</v>
      </c>
      <c r="T51" s="36"/>
      <c r="U51" s="37">
        <v>25</v>
      </c>
      <c r="V51" s="38"/>
      <c r="W51" s="39">
        <f>S51*1000/39.37/Q51*35.5</f>
        <v>67.122682245364501</v>
      </c>
      <c r="X51" s="39"/>
      <c r="Y51" s="40">
        <f>(AC51+W51)/2</f>
        <v>68.316341122682246</v>
      </c>
      <c r="Z51" s="40"/>
      <c r="AA51" s="41"/>
      <c r="AB51" s="42"/>
      <c r="AC51" s="43">
        <v>69.510000000000005</v>
      </c>
      <c r="AD51" s="43"/>
    </row>
    <row r="52" spans="1:35" ht="24.75" customHeight="1" x14ac:dyDescent="0.4">
      <c r="A52" s="251" t="s">
        <v>110</v>
      </c>
      <c r="B52" s="246" t="s">
        <v>46</v>
      </c>
      <c r="C52" s="253" t="s">
        <v>45</v>
      </c>
      <c r="D52" s="256" t="s">
        <v>47</v>
      </c>
      <c r="E52" s="28"/>
      <c r="F52" s="29">
        <v>690119</v>
      </c>
      <c r="G52" s="45">
        <v>890</v>
      </c>
      <c r="H52" s="31">
        <v>1060</v>
      </c>
      <c r="I52" s="46">
        <v>125</v>
      </c>
      <c r="J52" s="32">
        <v>125</v>
      </c>
      <c r="K52" s="33">
        <f t="shared" si="3"/>
        <v>71.2</v>
      </c>
      <c r="L52" s="47">
        <f t="shared" si="3"/>
        <v>84.8</v>
      </c>
      <c r="M52" s="242">
        <v>1110</v>
      </c>
      <c r="N52" s="31">
        <v>2000</v>
      </c>
      <c r="O52" s="31">
        <v>2000</v>
      </c>
      <c r="P52" s="31">
        <v>560</v>
      </c>
      <c r="Q52" s="35"/>
      <c r="R52" s="48"/>
      <c r="S52" s="36"/>
      <c r="T52" s="36"/>
      <c r="U52" s="37"/>
      <c r="V52" s="38"/>
      <c r="W52" s="39"/>
      <c r="X52" s="39"/>
      <c r="Y52" s="40"/>
      <c r="Z52" s="40"/>
      <c r="AA52" s="41"/>
      <c r="AB52" s="42"/>
      <c r="AC52" s="43"/>
      <c r="AD52" s="43"/>
    </row>
    <row r="53" spans="1:35" ht="23.25" customHeight="1" x14ac:dyDescent="0.4">
      <c r="A53" s="251" t="s">
        <v>111</v>
      </c>
      <c r="B53" s="246" t="s">
        <v>46</v>
      </c>
      <c r="C53" s="253" t="s">
        <v>45</v>
      </c>
      <c r="D53" s="256" t="s">
        <v>52</v>
      </c>
      <c r="E53" s="28"/>
      <c r="F53" s="29">
        <v>690113</v>
      </c>
      <c r="G53" s="69">
        <v>1000</v>
      </c>
      <c r="H53" s="31">
        <v>975</v>
      </c>
      <c r="I53" s="46">
        <v>125</v>
      </c>
      <c r="J53" s="32">
        <v>125</v>
      </c>
      <c r="K53" s="33">
        <f t="shared" si="3"/>
        <v>80</v>
      </c>
      <c r="L53" s="47">
        <f t="shared" si="3"/>
        <v>78</v>
      </c>
      <c r="M53" s="31">
        <v>1105</v>
      </c>
      <c r="N53" s="31">
        <v>2105</v>
      </c>
      <c r="O53" s="31">
        <v>2105</v>
      </c>
      <c r="P53" s="31">
        <v>580</v>
      </c>
      <c r="Q53" s="35"/>
      <c r="R53" s="48"/>
      <c r="S53" s="36"/>
      <c r="T53" s="36"/>
      <c r="U53" s="37"/>
      <c r="V53" s="38"/>
      <c r="W53" s="39"/>
      <c r="X53" s="39"/>
      <c r="Y53" s="40"/>
      <c r="Z53" s="40"/>
      <c r="AA53" s="41"/>
      <c r="AB53" s="42"/>
      <c r="AC53" s="43"/>
      <c r="AD53" s="43"/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47</v>
      </c>
      <c r="E54" s="28">
        <v>69010643</v>
      </c>
      <c r="F54" s="29">
        <v>690106</v>
      </c>
      <c r="G54" s="69">
        <v>940</v>
      </c>
      <c r="H54" s="31">
        <v>975</v>
      </c>
      <c r="I54" s="63">
        <v>125</v>
      </c>
      <c r="J54" s="64">
        <v>125</v>
      </c>
      <c r="K54" s="65">
        <f t="shared" si="3"/>
        <v>75.2</v>
      </c>
      <c r="L54" s="68">
        <f t="shared" si="3"/>
        <v>78</v>
      </c>
      <c r="M54" s="31">
        <v>1265</v>
      </c>
      <c r="N54" s="31">
        <v>125</v>
      </c>
      <c r="O54" s="31">
        <v>125</v>
      </c>
      <c r="P54" s="31">
        <v>1100</v>
      </c>
      <c r="Q54" s="35"/>
      <c r="R54" s="48">
        <v>2080</v>
      </c>
      <c r="S54" s="36"/>
      <c r="T54" s="36">
        <v>170.4</v>
      </c>
      <c r="U54" s="37"/>
      <c r="V54" s="38">
        <v>20</v>
      </c>
      <c r="W54" s="39"/>
      <c r="X54" s="39">
        <f>T54*1000/39.37/R54*38.5</f>
        <v>80.112737148551219</v>
      </c>
      <c r="Y54" s="40"/>
      <c r="Z54" s="40">
        <v>81.39</v>
      </c>
      <c r="AA54" s="41"/>
      <c r="AB54" s="42"/>
      <c r="AC54" s="43"/>
      <c r="AD54" s="43">
        <v>82.67</v>
      </c>
    </row>
    <row r="55" spans="1:35" ht="24.75" customHeight="1" x14ac:dyDescent="0.4">
      <c r="A55" s="251" t="s">
        <v>113</v>
      </c>
      <c r="B55" s="246" t="s">
        <v>46</v>
      </c>
      <c r="C55" s="253" t="s">
        <v>45</v>
      </c>
      <c r="D55" s="256" t="s">
        <v>47</v>
      </c>
      <c r="E55" s="28">
        <v>69010642</v>
      </c>
      <c r="F55" s="29">
        <v>690106</v>
      </c>
      <c r="G55" s="45">
        <v>905</v>
      </c>
      <c r="H55" s="31">
        <v>1005</v>
      </c>
      <c r="I55" s="46">
        <v>125</v>
      </c>
      <c r="J55" s="32">
        <v>125</v>
      </c>
      <c r="K55" s="33">
        <f t="shared" si="3"/>
        <v>72.400000000000006</v>
      </c>
      <c r="L55" s="47">
        <f t="shared" si="3"/>
        <v>80.400000000000006</v>
      </c>
      <c r="M55" s="31">
        <v>1270</v>
      </c>
      <c r="N55" s="31">
        <v>115</v>
      </c>
      <c r="O55" s="31">
        <v>115</v>
      </c>
      <c r="P55" s="31">
        <v>1120</v>
      </c>
      <c r="Q55" s="35"/>
      <c r="R55" s="48">
        <v>2060</v>
      </c>
      <c r="S55" s="36"/>
      <c r="T55" s="36">
        <v>169.2</v>
      </c>
      <c r="U55" s="37"/>
      <c r="V55" s="38">
        <v>20</v>
      </c>
      <c r="W55" s="39"/>
      <c r="X55" s="39">
        <f>T55*1000/39.37/R55*38.5</f>
        <v>80.320879088360115</v>
      </c>
      <c r="Y55" s="40"/>
      <c r="Z55" s="40">
        <v>80.87</v>
      </c>
      <c r="AA55" s="41"/>
      <c r="AB55" s="42"/>
      <c r="AC55" s="43"/>
      <c r="AD55" s="43">
        <v>81.42</v>
      </c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71</v>
      </c>
      <c r="E56" s="28"/>
      <c r="F56" s="29">
        <v>690106</v>
      </c>
      <c r="G56" s="45">
        <v>919</v>
      </c>
      <c r="H56" s="31">
        <v>792</v>
      </c>
      <c r="I56" s="63">
        <v>115</v>
      </c>
      <c r="J56" s="64">
        <v>115</v>
      </c>
      <c r="K56" s="65">
        <v>0</v>
      </c>
      <c r="L56" s="68">
        <v>0</v>
      </c>
      <c r="M56" s="31">
        <v>1106</v>
      </c>
      <c r="N56" s="31">
        <v>2025</v>
      </c>
      <c r="O56" s="31">
        <v>2025</v>
      </c>
      <c r="P56" s="31">
        <v>317</v>
      </c>
      <c r="Q56" s="35"/>
      <c r="R56" s="48"/>
      <c r="S56" s="36"/>
      <c r="T56" s="36"/>
      <c r="U56" s="37"/>
      <c r="V56" s="38"/>
      <c r="W56" s="39"/>
      <c r="X56" s="39"/>
      <c r="Y56" s="40"/>
      <c r="Z56" s="40"/>
      <c r="AA56" s="41"/>
      <c r="AB56" s="41"/>
      <c r="AC56" s="43"/>
      <c r="AD56" s="43"/>
    </row>
    <row r="57" spans="1:35" ht="24" customHeight="1" thickBot="1" x14ac:dyDescent="0.55000000000000004">
      <c r="A57" s="251" t="s">
        <v>117</v>
      </c>
      <c r="B57" s="246" t="s">
        <v>115</v>
      </c>
      <c r="C57" s="253" t="s">
        <v>63</v>
      </c>
      <c r="D57" s="214" t="s">
        <v>211</v>
      </c>
      <c r="E57" s="28"/>
      <c r="F57" s="29"/>
      <c r="G57" s="69">
        <v>430</v>
      </c>
      <c r="H57" s="31">
        <v>844</v>
      </c>
      <c r="I57" s="46">
        <v>115</v>
      </c>
      <c r="J57" s="32">
        <v>115</v>
      </c>
      <c r="K57" s="33">
        <f t="shared" ref="K57:L82" si="5">G57*8/100</f>
        <v>34.4</v>
      </c>
      <c r="L57" s="47">
        <f t="shared" si="5"/>
        <v>67.52</v>
      </c>
      <c r="M57" s="82">
        <v>250</v>
      </c>
      <c r="N57" s="31">
        <v>680</v>
      </c>
      <c r="O57" s="31">
        <v>680</v>
      </c>
      <c r="P57" s="31">
        <v>24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>
        <v>69010623</v>
      </c>
      <c r="F58" s="29">
        <v>690107</v>
      </c>
      <c r="G58" s="45">
        <v>1025</v>
      </c>
      <c r="H58" s="31">
        <v>1000</v>
      </c>
      <c r="I58" s="46">
        <v>135</v>
      </c>
      <c r="J58" s="32">
        <v>135</v>
      </c>
      <c r="K58" s="33">
        <f t="shared" si="5"/>
        <v>82</v>
      </c>
      <c r="L58" s="47">
        <f t="shared" si="5"/>
        <v>80</v>
      </c>
      <c r="M58" s="240">
        <v>1490</v>
      </c>
      <c r="N58" s="31">
        <v>615</v>
      </c>
      <c r="O58" s="31">
        <v>615</v>
      </c>
      <c r="P58" s="31">
        <v>1615</v>
      </c>
      <c r="Q58" s="35">
        <v>1860</v>
      </c>
      <c r="R58" s="48"/>
      <c r="S58" s="36">
        <v>127.8</v>
      </c>
      <c r="T58" s="36"/>
      <c r="U58" s="37">
        <v>20</v>
      </c>
      <c r="V58" s="38"/>
      <c r="W58" s="39">
        <f>S58*1000/39.37/Q58*38.5</f>
        <v>67.191327931042963</v>
      </c>
      <c r="X58" s="39"/>
      <c r="Y58" s="40">
        <f>(AC58+W58)/2</f>
        <v>68.145663965521479</v>
      </c>
      <c r="Z58" s="40"/>
      <c r="AA58" s="41"/>
      <c r="AB58" s="41"/>
      <c r="AC58" s="43">
        <v>69.099999999999994</v>
      </c>
      <c r="AD58" s="43"/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>
        <v>69010650</v>
      </c>
      <c r="F59" s="29">
        <v>690106</v>
      </c>
      <c r="G59" s="45">
        <v>1145</v>
      </c>
      <c r="H59" s="31">
        <v>1118</v>
      </c>
      <c r="I59" s="46">
        <v>135</v>
      </c>
      <c r="J59" s="32">
        <v>135</v>
      </c>
      <c r="K59" s="33">
        <f t="shared" si="5"/>
        <v>91.6</v>
      </c>
      <c r="L59" s="47">
        <f t="shared" si="5"/>
        <v>89.44</v>
      </c>
      <c r="M59" s="31">
        <v>1370</v>
      </c>
      <c r="N59" s="31">
        <v>195</v>
      </c>
      <c r="O59" s="31">
        <v>195</v>
      </c>
      <c r="P59" s="31">
        <v>1313</v>
      </c>
      <c r="Q59" s="35"/>
      <c r="R59" s="48">
        <v>2210</v>
      </c>
      <c r="S59" s="36"/>
      <c r="T59" s="36">
        <v>174.5</v>
      </c>
      <c r="U59" s="37"/>
      <c r="V59" s="38">
        <v>20</v>
      </c>
      <c r="W59" s="39"/>
      <c r="X59" s="39">
        <f>T59*1000/39.37/R59*31.5</f>
        <v>63.17544309296764</v>
      </c>
      <c r="Y59" s="40"/>
      <c r="Z59" s="40">
        <v>64.81</v>
      </c>
      <c r="AA59" s="41"/>
      <c r="AB59" s="42"/>
      <c r="AC59" s="43"/>
      <c r="AD59" s="43">
        <v>66.430000000000007</v>
      </c>
      <c r="AI59" s="75"/>
    </row>
    <row r="60" spans="1:35" ht="26.25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8">
        <v>69010649</v>
      </c>
      <c r="F60" s="29">
        <v>690106</v>
      </c>
      <c r="G60" s="45">
        <v>1152</v>
      </c>
      <c r="H60" s="31">
        <v>958</v>
      </c>
      <c r="I60" s="46">
        <v>135</v>
      </c>
      <c r="J60" s="64">
        <v>135</v>
      </c>
      <c r="K60" s="65">
        <f t="shared" si="5"/>
        <v>92.16</v>
      </c>
      <c r="L60" s="68">
        <f t="shared" si="5"/>
        <v>76.64</v>
      </c>
      <c r="M60" s="31">
        <v>1250</v>
      </c>
      <c r="N60" s="31">
        <v>0</v>
      </c>
      <c r="O60" s="31">
        <v>0</v>
      </c>
      <c r="P60" s="31">
        <v>958</v>
      </c>
      <c r="Q60" s="35"/>
      <c r="R60" s="48">
        <v>2190</v>
      </c>
      <c r="S60" s="36"/>
      <c r="T60" s="36">
        <v>173.2</v>
      </c>
      <c r="U60" s="37"/>
      <c r="V60" s="38">
        <v>20</v>
      </c>
      <c r="W60" s="39"/>
      <c r="X60" s="39">
        <f>T60*1000/39.37/R60*31.5</f>
        <v>63.277441623376411</v>
      </c>
      <c r="Y60" s="40"/>
      <c r="Z60" s="40">
        <v>64.209999999999994</v>
      </c>
      <c r="AA60" s="41"/>
      <c r="AB60" s="42"/>
      <c r="AC60" s="43"/>
      <c r="AD60" s="43">
        <v>65.13</v>
      </c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47</v>
      </c>
      <c r="E61" s="28">
        <v>69010644</v>
      </c>
      <c r="F61" s="29">
        <v>690106</v>
      </c>
      <c r="G61" s="45">
        <v>1135</v>
      </c>
      <c r="H61" s="31">
        <v>1025</v>
      </c>
      <c r="I61" s="46">
        <v>135</v>
      </c>
      <c r="J61" s="64">
        <v>135</v>
      </c>
      <c r="K61" s="65">
        <f t="shared" si="5"/>
        <v>90.8</v>
      </c>
      <c r="L61" s="68">
        <f t="shared" si="5"/>
        <v>82</v>
      </c>
      <c r="M61" s="31">
        <v>1365</v>
      </c>
      <c r="N61" s="31">
        <v>190</v>
      </c>
      <c r="O61" s="31">
        <v>190</v>
      </c>
      <c r="P61" s="31">
        <v>1215</v>
      </c>
      <c r="Q61" s="35"/>
      <c r="R61" s="48">
        <v>2310</v>
      </c>
      <c r="S61" s="36"/>
      <c r="T61" s="36">
        <v>193.9</v>
      </c>
      <c r="U61" s="37"/>
      <c r="V61" s="38">
        <v>20</v>
      </c>
      <c r="W61" s="39"/>
      <c r="X61" s="39">
        <f>T61*1000/39.37/R61*38.5</f>
        <v>82.084497502328347</v>
      </c>
      <c r="Y61" s="40"/>
      <c r="Z61" s="40">
        <v>83.02</v>
      </c>
      <c r="AA61" s="41"/>
      <c r="AB61" s="42"/>
      <c r="AC61" s="43"/>
      <c r="AD61" s="43">
        <v>83.96</v>
      </c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47</v>
      </c>
      <c r="E62" s="28">
        <v>69010638</v>
      </c>
      <c r="F62" s="29">
        <v>690108</v>
      </c>
      <c r="G62" s="45">
        <v>1133</v>
      </c>
      <c r="H62" s="31">
        <v>1080</v>
      </c>
      <c r="I62" s="46">
        <v>135</v>
      </c>
      <c r="J62" s="32">
        <v>135</v>
      </c>
      <c r="K62" s="33">
        <f t="shared" si="5"/>
        <v>90.64</v>
      </c>
      <c r="L62" s="47">
        <f t="shared" si="5"/>
        <v>86.4</v>
      </c>
      <c r="M62" s="241">
        <v>1877</v>
      </c>
      <c r="N62" s="31">
        <v>490</v>
      </c>
      <c r="O62" s="31">
        <v>490</v>
      </c>
      <c r="P62" s="31">
        <v>1570</v>
      </c>
      <c r="Q62" s="35"/>
      <c r="R62" s="48">
        <v>2520</v>
      </c>
      <c r="S62" s="36"/>
      <c r="T62" s="36">
        <v>209.2</v>
      </c>
      <c r="U62" s="37"/>
      <c r="V62" s="38">
        <v>25</v>
      </c>
      <c r="W62" s="39"/>
      <c r="X62" s="39">
        <f>T62*1000/39.37/R62*38.5</f>
        <v>81.181384584991392</v>
      </c>
      <c r="Y62" s="40"/>
      <c r="Z62" s="40">
        <v>82.86</v>
      </c>
      <c r="AA62" s="41"/>
      <c r="AB62" s="42"/>
      <c r="AC62" s="43"/>
      <c r="AD62" s="43">
        <v>84.54</v>
      </c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57</v>
      </c>
      <c r="E63" s="28">
        <v>69010628</v>
      </c>
      <c r="F63" s="29">
        <v>690106</v>
      </c>
      <c r="G63" s="45">
        <v>780</v>
      </c>
      <c r="H63" s="31">
        <v>775</v>
      </c>
      <c r="I63" s="46">
        <v>135</v>
      </c>
      <c r="J63" s="64">
        <v>135</v>
      </c>
      <c r="K63" s="65">
        <f t="shared" si="5"/>
        <v>62.4</v>
      </c>
      <c r="L63" s="68">
        <f t="shared" si="5"/>
        <v>62</v>
      </c>
      <c r="M63" s="242">
        <v>1420</v>
      </c>
      <c r="N63" s="31">
        <v>500</v>
      </c>
      <c r="O63" s="31">
        <v>500</v>
      </c>
      <c r="P63" s="31">
        <v>1275</v>
      </c>
      <c r="Q63" s="35"/>
      <c r="R63" s="48">
        <v>1700</v>
      </c>
      <c r="S63" s="36"/>
      <c r="T63" s="36">
        <v>136.6</v>
      </c>
      <c r="U63" s="37"/>
      <c r="V63" s="38">
        <v>15</v>
      </c>
      <c r="W63" s="39"/>
      <c r="X63" s="39">
        <f>T63*1000/39.37/R63*31.5</f>
        <v>64.290516816327752</v>
      </c>
      <c r="Y63" s="40"/>
      <c r="Z63" s="40">
        <f>(AD63+X63)/2</f>
        <v>65.170258408163875</v>
      </c>
      <c r="AA63" s="41"/>
      <c r="AB63" s="42"/>
      <c r="AC63" s="43"/>
      <c r="AD63" s="43">
        <v>66.05</v>
      </c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/>
      <c r="F64" s="29">
        <v>690106</v>
      </c>
      <c r="G64" s="45">
        <v>970</v>
      </c>
      <c r="H64" s="31">
        <v>0</v>
      </c>
      <c r="I64" s="46">
        <v>135</v>
      </c>
      <c r="J64" s="64">
        <v>135</v>
      </c>
      <c r="K64" s="65">
        <f t="shared" si="5"/>
        <v>77.599999999999994</v>
      </c>
      <c r="L64" s="76">
        <f t="shared" si="5"/>
        <v>0</v>
      </c>
      <c r="M64" s="31">
        <v>1100</v>
      </c>
      <c r="N64" s="31">
        <v>2070</v>
      </c>
      <c r="O64" s="31">
        <v>2070</v>
      </c>
      <c r="P64" s="31">
        <v>2070</v>
      </c>
      <c r="Q64" s="35"/>
      <c r="R64" s="48"/>
      <c r="S64" s="36"/>
      <c r="T64" s="36"/>
      <c r="U64" s="37"/>
      <c r="V64" s="38"/>
      <c r="W64" s="39"/>
      <c r="X64" s="39"/>
      <c r="Y64" s="40"/>
      <c r="Z64" s="40"/>
      <c r="AA64" s="41"/>
      <c r="AB64" s="42"/>
      <c r="AC64" s="43"/>
      <c r="AD64" s="43"/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>
        <v>69010610</v>
      </c>
      <c r="F65" s="29">
        <v>690106</v>
      </c>
      <c r="G65" s="69">
        <v>930</v>
      </c>
      <c r="H65" s="31">
        <v>0</v>
      </c>
      <c r="I65" s="46">
        <v>135</v>
      </c>
      <c r="J65" s="32">
        <v>135</v>
      </c>
      <c r="K65" s="33">
        <f t="shared" si="5"/>
        <v>74.400000000000006</v>
      </c>
      <c r="L65" s="47">
        <f t="shared" si="5"/>
        <v>0</v>
      </c>
      <c r="M65" s="245">
        <v>0</v>
      </c>
      <c r="N65" s="31">
        <v>930</v>
      </c>
      <c r="O65" s="31">
        <v>930</v>
      </c>
      <c r="P65" s="31">
        <v>930</v>
      </c>
      <c r="Q65" s="35">
        <v>2730</v>
      </c>
      <c r="R65" s="48"/>
      <c r="S65" s="36">
        <v>216.8</v>
      </c>
      <c r="T65" s="36"/>
      <c r="U65" s="37">
        <v>25</v>
      </c>
      <c r="V65" s="38"/>
      <c r="W65" s="39">
        <f>S65*1000/39.37/Q65*31.5</f>
        <v>63.53920400148494</v>
      </c>
      <c r="X65" s="39"/>
      <c r="Y65" s="40">
        <f>(AC65+W65)/2</f>
        <v>64.149602000742476</v>
      </c>
      <c r="Z65" s="40"/>
      <c r="AA65" s="41"/>
      <c r="AB65" s="42"/>
      <c r="AC65" s="43">
        <v>64.760000000000005</v>
      </c>
      <c r="AD65" s="43"/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14" t="s">
        <v>211</v>
      </c>
      <c r="E66" s="28"/>
      <c r="F66" s="29"/>
      <c r="G66" s="45">
        <v>430</v>
      </c>
      <c r="H66" s="31">
        <v>0</v>
      </c>
      <c r="I66" s="46">
        <v>135</v>
      </c>
      <c r="J66" s="32">
        <v>135</v>
      </c>
      <c r="K66" s="33">
        <f t="shared" si="5"/>
        <v>34.4</v>
      </c>
      <c r="L66" s="47">
        <f t="shared" si="5"/>
        <v>0</v>
      </c>
      <c r="M66" s="31">
        <v>470</v>
      </c>
      <c r="N66" s="31">
        <v>900</v>
      </c>
      <c r="O66" s="31">
        <v>900</v>
      </c>
      <c r="P66" s="31">
        <v>900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>
        <v>69010647</v>
      </c>
      <c r="F67" s="29">
        <v>690128</v>
      </c>
      <c r="G67" s="45">
        <v>870</v>
      </c>
      <c r="H67" s="31">
        <v>0</v>
      </c>
      <c r="I67" s="46">
        <v>135</v>
      </c>
      <c r="J67" s="32">
        <v>135</v>
      </c>
      <c r="K67" s="33">
        <f t="shared" si="5"/>
        <v>69.599999999999994</v>
      </c>
      <c r="L67" s="47">
        <f t="shared" si="5"/>
        <v>0</v>
      </c>
      <c r="M67" s="31">
        <v>1120</v>
      </c>
      <c r="N67" s="31">
        <v>160</v>
      </c>
      <c r="O67" s="31">
        <v>160</v>
      </c>
      <c r="P67" s="31">
        <v>160</v>
      </c>
      <c r="Q67" s="35"/>
      <c r="R67" s="48">
        <v>1820</v>
      </c>
      <c r="S67" s="36"/>
      <c r="T67" s="36">
        <v>203</v>
      </c>
      <c r="U67" s="37"/>
      <c r="V67" s="38">
        <v>15</v>
      </c>
      <c r="W67" s="39"/>
      <c r="X67" s="39">
        <f>T67*1000/39.37/R67*42.5</f>
        <v>120.40601004278933</v>
      </c>
      <c r="Y67" s="40"/>
      <c r="Z67" s="40"/>
      <c r="AA67" s="41"/>
      <c r="AB67" s="235">
        <v>123.05</v>
      </c>
      <c r="AC67" s="239"/>
      <c r="AD67" s="43">
        <v>125.69</v>
      </c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43</v>
      </c>
      <c r="E68" s="28">
        <v>69010615</v>
      </c>
      <c r="F68" s="29">
        <v>690119</v>
      </c>
      <c r="G68" s="69">
        <v>867</v>
      </c>
      <c r="H68" s="31">
        <v>833</v>
      </c>
      <c r="I68" s="46">
        <v>130</v>
      </c>
      <c r="J68" s="32">
        <v>130</v>
      </c>
      <c r="K68" s="33">
        <f t="shared" si="5"/>
        <v>69.36</v>
      </c>
      <c r="L68" s="47">
        <f t="shared" si="5"/>
        <v>66.64</v>
      </c>
      <c r="M68" s="31">
        <v>724</v>
      </c>
      <c r="N68" s="31">
        <v>467</v>
      </c>
      <c r="O68" s="31">
        <v>467</v>
      </c>
      <c r="P68" s="31">
        <v>1300</v>
      </c>
      <c r="Q68" s="35">
        <v>2500</v>
      </c>
      <c r="R68" s="48"/>
      <c r="S68" s="36">
        <v>201.7</v>
      </c>
      <c r="T68" s="36"/>
      <c r="U68" s="37"/>
      <c r="V68" s="38"/>
      <c r="W68" s="39">
        <f>S68*1000/39.37/Q68*38.5</f>
        <v>78.897129794259584</v>
      </c>
      <c r="X68" s="39"/>
      <c r="Y68" s="40">
        <f>(AC68+W68)/2</f>
        <v>79.683564897129799</v>
      </c>
      <c r="Z68" s="40"/>
      <c r="AA68" s="41"/>
      <c r="AB68" s="42"/>
      <c r="AC68" s="43">
        <v>80.47</v>
      </c>
      <c r="AD68" s="43"/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47</v>
      </c>
      <c r="E69" s="28"/>
      <c r="F69" s="29">
        <v>690119</v>
      </c>
      <c r="G69" s="69">
        <v>0</v>
      </c>
      <c r="H69" s="31">
        <v>0</v>
      </c>
      <c r="I69" s="46">
        <v>780</v>
      </c>
      <c r="J69" s="32">
        <v>780</v>
      </c>
      <c r="K69" s="33">
        <f t="shared" si="5"/>
        <v>0</v>
      </c>
      <c r="L69" s="47">
        <f t="shared" si="5"/>
        <v>0</v>
      </c>
      <c r="M69" s="31">
        <v>597</v>
      </c>
      <c r="N69" s="31">
        <v>597</v>
      </c>
      <c r="O69" s="31">
        <v>597</v>
      </c>
      <c r="P69" s="31">
        <v>597</v>
      </c>
      <c r="Q69" s="35"/>
      <c r="R69" s="48"/>
      <c r="S69" s="36"/>
      <c r="T69" s="36"/>
      <c r="U69" s="37"/>
      <c r="V69" s="38"/>
      <c r="W69" s="39"/>
      <c r="X69" s="39"/>
      <c r="Y69" s="40"/>
      <c r="Z69" s="40"/>
      <c r="AA69" s="41"/>
      <c r="AB69" s="42"/>
      <c r="AC69" s="43"/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47</v>
      </c>
      <c r="E70" s="28"/>
      <c r="F70" s="29">
        <v>690119</v>
      </c>
      <c r="G70" s="45">
        <v>0</v>
      </c>
      <c r="H70" s="31">
        <v>0</v>
      </c>
      <c r="I70" s="46">
        <v>780</v>
      </c>
      <c r="J70" s="32">
        <v>780</v>
      </c>
      <c r="K70" s="33">
        <f t="shared" si="5"/>
        <v>0</v>
      </c>
      <c r="L70" s="47">
        <f t="shared" si="5"/>
        <v>0</v>
      </c>
      <c r="M70" s="82">
        <v>190</v>
      </c>
      <c r="N70" s="31">
        <v>190</v>
      </c>
      <c r="O70" s="31">
        <v>190</v>
      </c>
      <c r="P70" s="31">
        <v>190</v>
      </c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57</v>
      </c>
      <c r="E71" s="28">
        <v>69010630</v>
      </c>
      <c r="F71" s="29">
        <v>690106</v>
      </c>
      <c r="G71" s="45">
        <v>600</v>
      </c>
      <c r="H71" s="31">
        <v>0</v>
      </c>
      <c r="I71" s="46">
        <v>780</v>
      </c>
      <c r="J71" s="32">
        <v>780</v>
      </c>
      <c r="K71" s="33">
        <f t="shared" si="5"/>
        <v>48</v>
      </c>
      <c r="L71" s="47">
        <f t="shared" si="5"/>
        <v>0</v>
      </c>
      <c r="M71" s="240">
        <v>420</v>
      </c>
      <c r="N71" s="31">
        <v>404</v>
      </c>
      <c r="O71" s="31">
        <v>404</v>
      </c>
      <c r="P71" s="31">
        <v>404</v>
      </c>
      <c r="Q71" s="35"/>
      <c r="R71" s="48">
        <v>610</v>
      </c>
      <c r="S71" s="36"/>
      <c r="T71" s="36">
        <v>48.4</v>
      </c>
      <c r="U71" s="37"/>
      <c r="V71" s="38">
        <v>5</v>
      </c>
      <c r="W71" s="39"/>
      <c r="X71" s="39">
        <f>T71*1000/39.37/R71*31.5</f>
        <v>63.483471229237544</v>
      </c>
      <c r="Y71" s="40"/>
      <c r="Z71" s="40">
        <f t="shared" ref="Z71" si="6">(AD71+X71)/2</f>
        <v>64.296735614618768</v>
      </c>
      <c r="AA71" s="41"/>
      <c r="AB71" s="42"/>
      <c r="AC71" s="43"/>
      <c r="AD71" s="43">
        <v>65.11</v>
      </c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71</v>
      </c>
      <c r="E72" s="28"/>
      <c r="F72" s="29">
        <v>690104</v>
      </c>
      <c r="G72" s="77">
        <v>313</v>
      </c>
      <c r="H72" s="31">
        <v>0</v>
      </c>
      <c r="I72" s="63">
        <v>780</v>
      </c>
      <c r="J72" s="64">
        <v>780</v>
      </c>
      <c r="K72" s="65">
        <f t="shared" si="5"/>
        <v>25.04</v>
      </c>
      <c r="L72" s="47">
        <f t="shared" si="5"/>
        <v>0</v>
      </c>
      <c r="M72" s="31">
        <v>1049</v>
      </c>
      <c r="N72" s="31">
        <v>0</v>
      </c>
      <c r="O72" s="31">
        <v>0</v>
      </c>
      <c r="P72" s="31">
        <v>0</v>
      </c>
      <c r="Q72" s="35"/>
      <c r="R72" s="48"/>
      <c r="S72" s="36"/>
      <c r="T72" s="36"/>
      <c r="U72" s="37"/>
      <c r="V72" s="38"/>
      <c r="W72" s="39"/>
      <c r="X72" s="39"/>
      <c r="Y72" s="40"/>
      <c r="Z72" s="40"/>
      <c r="AA72" s="41"/>
      <c r="AB72" s="42"/>
      <c r="AC72" s="43"/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94</v>
      </c>
      <c r="E73" s="28">
        <v>69010633</v>
      </c>
      <c r="F73" s="29">
        <v>690107</v>
      </c>
      <c r="G73" s="78">
        <v>527</v>
      </c>
      <c r="H73" s="31">
        <v>0</v>
      </c>
      <c r="I73" s="63">
        <v>780</v>
      </c>
      <c r="J73" s="64">
        <v>780</v>
      </c>
      <c r="K73" s="65">
        <f t="shared" si="5"/>
        <v>42.16</v>
      </c>
      <c r="L73" s="47">
        <f t="shared" si="5"/>
        <v>0</v>
      </c>
      <c r="M73" s="31">
        <v>1406</v>
      </c>
      <c r="N73" s="31">
        <v>79</v>
      </c>
      <c r="O73" s="31">
        <v>79</v>
      </c>
      <c r="P73" s="31">
        <v>79</v>
      </c>
      <c r="Q73" s="35"/>
      <c r="R73" s="48">
        <v>1854</v>
      </c>
      <c r="S73" s="36"/>
      <c r="T73" s="36">
        <v>134.30000000000001</v>
      </c>
      <c r="U73" s="37"/>
      <c r="V73" s="38">
        <v>20</v>
      </c>
      <c r="W73" s="39"/>
      <c r="X73" s="39">
        <f>T73*1000/39.37/R73*38.5</f>
        <v>70.837234446852932</v>
      </c>
      <c r="Y73" s="40"/>
      <c r="Z73" s="40">
        <f>(AD73+X73)/2</f>
        <v>70.89861722342647</v>
      </c>
      <c r="AA73" s="41"/>
      <c r="AB73" s="42"/>
      <c r="AC73" s="43"/>
      <c r="AD73" s="43">
        <v>70.959999999999994</v>
      </c>
    </row>
    <row r="74" spans="1:30" ht="24" customHeight="1" thickBot="1" x14ac:dyDescent="0.45">
      <c r="A74" s="249" t="s">
        <v>138</v>
      </c>
      <c r="B74" s="246" t="s">
        <v>76</v>
      </c>
      <c r="C74" s="253" t="s">
        <v>34</v>
      </c>
      <c r="D74" s="256" t="s">
        <v>94</v>
      </c>
      <c r="E74" s="28">
        <v>69010624</v>
      </c>
      <c r="F74" s="29">
        <v>690107</v>
      </c>
      <c r="G74" s="79">
        <v>688</v>
      </c>
      <c r="H74" s="31">
        <v>0</v>
      </c>
      <c r="I74" s="63">
        <v>780</v>
      </c>
      <c r="J74" s="64">
        <v>780</v>
      </c>
      <c r="K74" s="65">
        <f t="shared" si="5"/>
        <v>55.04</v>
      </c>
      <c r="L74" s="68">
        <f t="shared" si="5"/>
        <v>0</v>
      </c>
      <c r="M74" s="241">
        <v>1406</v>
      </c>
      <c r="N74" s="31">
        <v>223</v>
      </c>
      <c r="O74" s="31">
        <v>223</v>
      </c>
      <c r="P74" s="31">
        <v>223</v>
      </c>
      <c r="Q74" s="35">
        <v>1871</v>
      </c>
      <c r="R74" s="48"/>
      <c r="S74" s="36">
        <v>134.19999999999999</v>
      </c>
      <c r="T74" s="36"/>
      <c r="U74" s="37">
        <v>20</v>
      </c>
      <c r="V74" s="38"/>
      <c r="W74" s="39">
        <f>S74*1000/39.37/Q74*38.5</f>
        <v>70.141337503412572</v>
      </c>
      <c r="X74" s="39"/>
      <c r="Y74" s="40">
        <f t="shared" ref="Y74:Y78" si="7">(AC74+W74)/2</f>
        <v>70.825668751706289</v>
      </c>
      <c r="Z74" s="40"/>
      <c r="AA74" s="41"/>
      <c r="AB74" s="42"/>
      <c r="AC74" s="43">
        <v>71.510000000000005</v>
      </c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146</v>
      </c>
      <c r="E75" s="28">
        <v>69010603</v>
      </c>
      <c r="F75" s="29">
        <v>690109</v>
      </c>
      <c r="G75" s="80">
        <v>1012</v>
      </c>
      <c r="H75" s="31">
        <v>555</v>
      </c>
      <c r="I75" s="46">
        <v>800</v>
      </c>
      <c r="J75" s="32">
        <v>800</v>
      </c>
      <c r="K75" s="33">
        <f t="shared" si="5"/>
        <v>80.959999999999994</v>
      </c>
      <c r="L75" s="47">
        <f t="shared" si="5"/>
        <v>44.4</v>
      </c>
      <c r="M75" s="242">
        <v>1971</v>
      </c>
      <c r="N75" s="31">
        <v>983</v>
      </c>
      <c r="O75" s="31">
        <v>983</v>
      </c>
      <c r="P75" s="31">
        <v>1538</v>
      </c>
      <c r="Q75" s="35">
        <v>2000</v>
      </c>
      <c r="R75" s="48"/>
      <c r="S75" s="36">
        <v>152.19999999999999</v>
      </c>
      <c r="T75" s="36"/>
      <c r="U75" s="37"/>
      <c r="V75" s="38"/>
      <c r="W75" s="39">
        <f>S75*1000/39.37/Q75*38.5</f>
        <v>74.418338836677677</v>
      </c>
      <c r="X75" s="39"/>
      <c r="Y75" s="40">
        <f t="shared" si="7"/>
        <v>74.589169418338841</v>
      </c>
      <c r="Z75" s="40"/>
      <c r="AA75" s="41"/>
      <c r="AB75" s="42"/>
      <c r="AC75" s="43">
        <v>74.760000000000005</v>
      </c>
      <c r="AD75" s="43"/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146</v>
      </c>
      <c r="E76" s="28">
        <v>69010602</v>
      </c>
      <c r="F76" s="29">
        <v>690109</v>
      </c>
      <c r="G76" s="45">
        <v>982</v>
      </c>
      <c r="H76" s="31">
        <v>724</v>
      </c>
      <c r="I76" s="46">
        <v>800</v>
      </c>
      <c r="J76" s="32">
        <v>800</v>
      </c>
      <c r="K76" s="33">
        <f t="shared" si="5"/>
        <v>78.56</v>
      </c>
      <c r="L76" s="47">
        <f t="shared" si="5"/>
        <v>57.92</v>
      </c>
      <c r="M76" s="31">
        <v>138</v>
      </c>
      <c r="N76" s="31">
        <v>1120</v>
      </c>
      <c r="O76" s="31">
        <v>1120</v>
      </c>
      <c r="P76" s="31">
        <v>1844</v>
      </c>
      <c r="Q76" s="35">
        <v>2000</v>
      </c>
      <c r="R76" s="48"/>
      <c r="S76" s="36">
        <v>149.5</v>
      </c>
      <c r="T76" s="36"/>
      <c r="U76" s="37"/>
      <c r="V76" s="38"/>
      <c r="W76" s="39">
        <f>S76*1000/39.37/Q76*38.5</f>
        <v>73.098171196342392</v>
      </c>
      <c r="X76" s="39"/>
      <c r="Y76" s="40">
        <f t="shared" si="7"/>
        <v>73.514085598171192</v>
      </c>
      <c r="Z76" s="40"/>
      <c r="AA76" s="41"/>
      <c r="AB76" s="42"/>
      <c r="AC76" s="43">
        <v>73.930000000000007</v>
      </c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146</v>
      </c>
      <c r="E77" s="28">
        <v>69010601</v>
      </c>
      <c r="F77" s="29">
        <v>690109</v>
      </c>
      <c r="G77" s="45">
        <v>1000</v>
      </c>
      <c r="H77" s="31">
        <v>774</v>
      </c>
      <c r="I77" s="46">
        <v>800</v>
      </c>
      <c r="J77" s="32">
        <v>800</v>
      </c>
      <c r="K77" s="33">
        <f t="shared" si="5"/>
        <v>80</v>
      </c>
      <c r="L77" s="47">
        <f t="shared" si="5"/>
        <v>61.92</v>
      </c>
      <c r="M77" s="31">
        <v>246</v>
      </c>
      <c r="N77" s="31">
        <v>1246</v>
      </c>
      <c r="O77" s="31">
        <v>1246</v>
      </c>
      <c r="P77" s="31">
        <v>20</v>
      </c>
      <c r="Q77" s="35">
        <v>2000</v>
      </c>
      <c r="R77" s="48"/>
      <c r="S77" s="36">
        <v>146.80000000000001</v>
      </c>
      <c r="T77" s="36"/>
      <c r="U77" s="37"/>
      <c r="V77" s="38"/>
      <c r="W77" s="39">
        <f>S77*1000/39.37/Q77*38.5</f>
        <v>71.778003556007107</v>
      </c>
      <c r="X77" s="39"/>
      <c r="Y77" s="40">
        <f t="shared" si="7"/>
        <v>72.85400177800355</v>
      </c>
      <c r="Z77" s="40"/>
      <c r="AA77" s="41"/>
      <c r="AB77" s="42"/>
      <c r="AC77" s="43">
        <v>73.930000000000007</v>
      </c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57</v>
      </c>
      <c r="E78" s="28">
        <v>69010611</v>
      </c>
      <c r="F78" s="29">
        <v>690106</v>
      </c>
      <c r="G78" s="45">
        <v>1035</v>
      </c>
      <c r="H78" s="31">
        <v>901</v>
      </c>
      <c r="I78" s="46">
        <v>800</v>
      </c>
      <c r="J78" s="32">
        <v>800</v>
      </c>
      <c r="K78" s="33">
        <f t="shared" si="5"/>
        <v>82.8</v>
      </c>
      <c r="L78" s="47">
        <f t="shared" si="5"/>
        <v>72.08</v>
      </c>
      <c r="M78" s="31">
        <v>1401</v>
      </c>
      <c r="N78" s="31">
        <v>816</v>
      </c>
      <c r="O78" s="31">
        <v>816</v>
      </c>
      <c r="P78" s="31">
        <v>1717</v>
      </c>
      <c r="Q78" s="35">
        <v>1840</v>
      </c>
      <c r="R78" s="48"/>
      <c r="S78" s="36">
        <v>147.30000000000001</v>
      </c>
      <c r="T78" s="36"/>
      <c r="U78" s="37">
        <v>20</v>
      </c>
      <c r="V78" s="38"/>
      <c r="W78" s="39">
        <f>S78*1000/39.37/Q78*31.5</f>
        <v>64.051611798875783</v>
      </c>
      <c r="X78" s="39"/>
      <c r="Y78" s="40">
        <f t="shared" si="7"/>
        <v>65.200805899437881</v>
      </c>
      <c r="Z78" s="40"/>
      <c r="AA78" s="41"/>
      <c r="AB78" s="42"/>
      <c r="AC78" s="43">
        <v>66.349999999999994</v>
      </c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146</v>
      </c>
      <c r="E79" s="28">
        <v>69010621</v>
      </c>
      <c r="F79" s="29">
        <v>690109</v>
      </c>
      <c r="G79" s="45">
        <v>860</v>
      </c>
      <c r="H79" s="31">
        <v>1225</v>
      </c>
      <c r="I79" s="46">
        <v>800</v>
      </c>
      <c r="J79" s="32">
        <v>800</v>
      </c>
      <c r="K79" s="33"/>
      <c r="L79" s="47">
        <f t="shared" si="5"/>
        <v>98</v>
      </c>
      <c r="M79" s="31">
        <v>1410</v>
      </c>
      <c r="N79" s="31">
        <v>633</v>
      </c>
      <c r="O79" s="31">
        <v>633</v>
      </c>
      <c r="P79" s="31">
        <v>1858</v>
      </c>
      <c r="Q79" s="35">
        <v>1637</v>
      </c>
      <c r="R79" s="48"/>
      <c r="S79" s="36">
        <v>125.8</v>
      </c>
      <c r="T79" s="36"/>
      <c r="U79" s="37"/>
      <c r="V79" s="38"/>
      <c r="W79" s="39">
        <f>S79*1000/39.37/Q79*38.5</f>
        <v>75.149704361717824</v>
      </c>
      <c r="X79" s="39"/>
      <c r="Y79" s="40">
        <f>(AC79+W79)/2</f>
        <v>76.164852180858915</v>
      </c>
      <c r="Z79" s="40"/>
      <c r="AA79" s="41"/>
      <c r="AB79" s="42"/>
      <c r="AC79" s="43">
        <v>77.180000000000007</v>
      </c>
      <c r="AD79" s="43"/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146</v>
      </c>
      <c r="E80" s="28">
        <v>69010604</v>
      </c>
      <c r="F80" s="29">
        <v>690109</v>
      </c>
      <c r="G80" s="45">
        <v>1130</v>
      </c>
      <c r="H80" s="31">
        <v>935</v>
      </c>
      <c r="I80" s="46">
        <v>800</v>
      </c>
      <c r="J80" s="32">
        <v>800</v>
      </c>
      <c r="K80" s="33">
        <f t="shared" si="5"/>
        <v>90.4</v>
      </c>
      <c r="L80" s="47">
        <f t="shared" si="5"/>
        <v>74.8</v>
      </c>
      <c r="M80" s="31">
        <v>1945</v>
      </c>
      <c r="N80" s="31">
        <v>1075</v>
      </c>
      <c r="O80" s="31">
        <v>1075</v>
      </c>
      <c r="P80" s="31">
        <v>10</v>
      </c>
      <c r="Q80" s="35">
        <v>2000</v>
      </c>
      <c r="R80" s="48"/>
      <c r="S80" s="36">
        <v>150.4</v>
      </c>
      <c r="T80" s="36"/>
      <c r="U80" s="37"/>
      <c r="V80" s="38"/>
      <c r="W80" s="39">
        <f>S80*1000/39.37/Q80*38.5</f>
        <v>73.538227076454163</v>
      </c>
      <c r="X80" s="39"/>
      <c r="Y80" s="40">
        <f>(AC80+W80)/2</f>
        <v>74.614113538227087</v>
      </c>
      <c r="Z80" s="40"/>
      <c r="AA80" s="41"/>
      <c r="AB80" s="42"/>
      <c r="AC80" s="43">
        <v>75.69</v>
      </c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47</v>
      </c>
      <c r="E81" s="28">
        <v>69010635</v>
      </c>
      <c r="F81" s="29">
        <v>690119</v>
      </c>
      <c r="G81" s="45">
        <v>1068</v>
      </c>
      <c r="H81" s="31">
        <v>1008</v>
      </c>
      <c r="I81" s="46">
        <v>800</v>
      </c>
      <c r="J81" s="32">
        <v>800</v>
      </c>
      <c r="K81" s="33">
        <f t="shared" si="5"/>
        <v>85.44</v>
      </c>
      <c r="L81" s="47">
        <f t="shared" si="5"/>
        <v>80.64</v>
      </c>
      <c r="M81" s="31">
        <v>1966</v>
      </c>
      <c r="N81" s="31">
        <v>534</v>
      </c>
      <c r="O81" s="31">
        <v>534</v>
      </c>
      <c r="P81" s="31">
        <v>1542</v>
      </c>
      <c r="Q81" s="35"/>
      <c r="R81" s="48">
        <v>2500</v>
      </c>
      <c r="S81" s="36"/>
      <c r="T81" s="36">
        <v>208.1</v>
      </c>
      <c r="U81" s="37"/>
      <c r="V81" s="38">
        <v>25</v>
      </c>
      <c r="W81" s="39"/>
      <c r="X81" s="39">
        <f>T81*1000/39.37/R81*38.5</f>
        <v>81.400558801117612</v>
      </c>
      <c r="Y81" s="40"/>
      <c r="Z81" s="40">
        <v>81.64</v>
      </c>
      <c r="AA81" s="41"/>
      <c r="AB81" s="42"/>
      <c r="AC81" s="43"/>
      <c r="AD81" s="43">
        <v>81.87</v>
      </c>
    </row>
    <row r="82" spans="1:34" ht="24" customHeight="1" x14ac:dyDescent="0.4">
      <c r="A82" s="249" t="s">
        <v>148</v>
      </c>
      <c r="B82" s="246" t="s">
        <v>116</v>
      </c>
      <c r="C82" s="253" t="s">
        <v>63</v>
      </c>
      <c r="D82" s="256" t="s">
        <v>47</v>
      </c>
      <c r="E82" s="28">
        <v>69010614</v>
      </c>
      <c r="F82" s="29">
        <v>690119</v>
      </c>
      <c r="G82" s="45">
        <v>1005</v>
      </c>
      <c r="H82" s="31">
        <v>948</v>
      </c>
      <c r="I82" s="46">
        <v>800</v>
      </c>
      <c r="J82" s="32">
        <v>800</v>
      </c>
      <c r="K82" s="33">
        <f t="shared" si="5"/>
        <v>80.400000000000006</v>
      </c>
      <c r="L82" s="47">
        <f t="shared" si="5"/>
        <v>75.84</v>
      </c>
      <c r="M82" s="31">
        <v>0</v>
      </c>
      <c r="N82" s="31">
        <v>1005</v>
      </c>
      <c r="O82" s="31">
        <v>1005</v>
      </c>
      <c r="P82" s="31">
        <v>1953</v>
      </c>
      <c r="Q82" s="35">
        <v>2520</v>
      </c>
      <c r="R82" s="48"/>
      <c r="S82" s="36">
        <v>211.9</v>
      </c>
      <c r="T82" s="36"/>
      <c r="U82" s="37">
        <v>25</v>
      </c>
      <c r="V82" s="38"/>
      <c r="W82" s="39">
        <f>S82*1000/39.37/Q82*38.5</f>
        <v>82.229136680495586</v>
      </c>
      <c r="X82" s="39"/>
      <c r="Y82" s="40">
        <f>(AC82+W82)/2</f>
        <v>83.444568340247798</v>
      </c>
      <c r="Z82" s="40"/>
      <c r="AA82" s="41"/>
      <c r="AB82" s="42"/>
      <c r="AC82" s="43">
        <v>84.66</v>
      </c>
      <c r="AD82" s="43"/>
    </row>
    <row r="83" spans="1:34" ht="24" customHeight="1" x14ac:dyDescent="0.4">
      <c r="A83" s="251" t="s">
        <v>143</v>
      </c>
      <c r="B83" s="246" t="s">
        <v>116</v>
      </c>
      <c r="C83" s="253" t="s">
        <v>63</v>
      </c>
      <c r="D83" s="256" t="s">
        <v>146</v>
      </c>
      <c r="E83" s="28">
        <v>69010622</v>
      </c>
      <c r="F83" s="29">
        <v>690128</v>
      </c>
      <c r="G83" s="45"/>
      <c r="H83" s="31">
        <v>0</v>
      </c>
      <c r="I83" s="46">
        <v>750</v>
      </c>
      <c r="J83" s="32">
        <v>750</v>
      </c>
      <c r="K83" s="33">
        <f t="shared" ref="K83:L83" si="8">G83*8/100</f>
        <v>0</v>
      </c>
      <c r="L83" s="47">
        <f t="shared" si="8"/>
        <v>0</v>
      </c>
      <c r="M83" s="31">
        <v>230</v>
      </c>
      <c r="N83" s="31">
        <v>230</v>
      </c>
      <c r="O83" s="31">
        <v>230</v>
      </c>
      <c r="P83" s="31">
        <v>230</v>
      </c>
      <c r="Q83" s="35">
        <v>1620</v>
      </c>
      <c r="R83" s="48"/>
      <c r="S83" s="36">
        <v>121.5</v>
      </c>
      <c r="T83" s="36"/>
      <c r="U83" s="37"/>
      <c r="V83" s="38"/>
      <c r="W83" s="39">
        <f>S83*1000/39.37/Q83*38.5</f>
        <v>73.342646685293374</v>
      </c>
      <c r="X83" s="39"/>
      <c r="Y83" s="40">
        <f>(AC83+W83)/2</f>
        <v>73.781323342646687</v>
      </c>
      <c r="Z83" s="40"/>
      <c r="AA83" s="41"/>
      <c r="AB83" s="42"/>
      <c r="AC83" s="43">
        <v>74.22</v>
      </c>
      <c r="AD83" s="43"/>
    </row>
    <row r="84" spans="1:34" ht="24" customHeight="1" x14ac:dyDescent="0.4">
      <c r="A84" s="251" t="s">
        <v>132</v>
      </c>
      <c r="B84" s="246" t="s">
        <v>51</v>
      </c>
      <c r="C84" s="253" t="s">
        <v>233</v>
      </c>
      <c r="D84" s="256" t="s">
        <v>47</v>
      </c>
      <c r="E84" s="28">
        <v>69010637</v>
      </c>
      <c r="F84" s="29">
        <v>690119</v>
      </c>
      <c r="G84" s="45"/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1">
        <v>34</v>
      </c>
      <c r="N84" s="31">
        <v>34</v>
      </c>
      <c r="O84" s="31">
        <v>34</v>
      </c>
      <c r="P84" s="31">
        <v>34</v>
      </c>
      <c r="Q84" s="35"/>
      <c r="R84" s="48">
        <v>1124</v>
      </c>
      <c r="S84" s="36"/>
      <c r="T84" s="36">
        <v>92.4</v>
      </c>
      <c r="U84" s="37"/>
      <c r="V84" s="38">
        <v>10</v>
      </c>
      <c r="W84" s="39"/>
      <c r="X84" s="39">
        <f>T84*1000/39.37/R84*38.5</f>
        <v>80.3898049077237</v>
      </c>
      <c r="Y84" s="40"/>
      <c r="Z84" s="40">
        <v>81.510000000000005</v>
      </c>
      <c r="AA84" s="41"/>
      <c r="AB84" s="41"/>
      <c r="AC84" s="43"/>
      <c r="AD84" s="43">
        <v>82.63</v>
      </c>
    </row>
    <row r="85" spans="1:34" ht="24" customHeight="1" x14ac:dyDescent="0.4">
      <c r="A85" s="71" t="s">
        <v>149</v>
      </c>
      <c r="B85" s="26"/>
      <c r="C85" s="254"/>
      <c r="D85" s="256" t="s">
        <v>104</v>
      </c>
      <c r="E85" s="28"/>
      <c r="F85" s="29">
        <v>690128</v>
      </c>
      <c r="G85" s="45"/>
      <c r="H85" s="31">
        <v>0</v>
      </c>
      <c r="I85" s="46">
        <v>800</v>
      </c>
      <c r="J85" s="32">
        <v>800</v>
      </c>
      <c r="K85" s="33">
        <f t="shared" ref="K85:L86" si="9">G85*8/100</f>
        <v>0</v>
      </c>
      <c r="L85" s="47">
        <f t="shared" si="9"/>
        <v>0</v>
      </c>
      <c r="M85" s="81">
        <v>62</v>
      </c>
      <c r="N85" s="81">
        <v>62</v>
      </c>
      <c r="O85" s="81">
        <v>62</v>
      </c>
      <c r="P85" s="8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54"/>
      <c r="D86" s="257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9"/>
        <v>0</v>
      </c>
      <c r="L86" s="47">
        <f t="shared" si="9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54933</v>
      </c>
      <c r="H87" s="86">
        <f>SUM(H6:H82)</f>
        <v>48078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53222</v>
      </c>
      <c r="R87" s="89">
        <f>SUM(R6:R86)</f>
        <v>50651</v>
      </c>
      <c r="S87" s="90">
        <f>SUM(S6:S86)</f>
        <v>4210.5000000000009</v>
      </c>
      <c r="T87" s="91">
        <f>SUM(T6:T86)</f>
        <v>4299.5999999999995</v>
      </c>
      <c r="U87" s="89">
        <f>SUM(U6:U86)</f>
        <v>275</v>
      </c>
      <c r="V87" s="89">
        <f>SUM(V6:V84)</f>
        <v>450</v>
      </c>
      <c r="W87" s="92">
        <f>SUM(W6:W86)</f>
        <v>1916.4448359599812</v>
      </c>
      <c r="X87" s="93">
        <f>SUM(X6:X86)</f>
        <v>2061.6106130193716</v>
      </c>
      <c r="Y87" s="94">
        <f>SUM(Y6:Y86)</f>
        <v>1937.10741797999</v>
      </c>
      <c r="Z87" s="95">
        <f>SUM(Z6:Z86)</f>
        <v>1963.172596154094</v>
      </c>
      <c r="AA87" s="96">
        <f>SUM(AA6:AA82)</f>
        <v>0</v>
      </c>
      <c r="AB87" s="97">
        <f>SUM(AB6:AB82)</f>
        <v>123.05</v>
      </c>
      <c r="AC87" s="98">
        <f>SUM(AC6:AC86)</f>
        <v>1957.7700000000002</v>
      </c>
      <c r="AD87" s="98">
        <f>SUM(AD6:AD86)</f>
        <v>2110.7800000000002</v>
      </c>
    </row>
    <row r="88" spans="1:34" ht="24" customHeight="1" thickBot="1" x14ac:dyDescent="0.45">
      <c r="A88" s="334"/>
      <c r="B88" s="83">
        <v>74</v>
      </c>
      <c r="C88" s="83">
        <v>55</v>
      </c>
      <c r="D88" s="84"/>
      <c r="E88" s="84"/>
      <c r="F88" s="84"/>
      <c r="G88" s="341">
        <f>G87+H87</f>
        <v>103011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</f>
        <v>103873</v>
      </c>
      <c r="R88" s="342"/>
      <c r="S88" s="375">
        <f>S87+T87+S133</f>
        <v>8510.1</v>
      </c>
      <c r="T88" s="376"/>
      <c r="U88" s="341">
        <f>U87+V87+U133</f>
        <v>725</v>
      </c>
      <c r="V88" s="342"/>
      <c r="W88" s="375">
        <f>W87+X87+W133</f>
        <v>3978.0554489793531</v>
      </c>
      <c r="X88" s="376"/>
      <c r="Y88" s="375">
        <f>Y87+Z87+Y133</f>
        <v>3900.280014134084</v>
      </c>
      <c r="Z88" s="376"/>
      <c r="AA88" s="375">
        <f>AA87+AB87+AA133</f>
        <v>123.05</v>
      </c>
      <c r="AB88" s="376"/>
      <c r="AC88" s="375">
        <f>AC87+AD87+AC133</f>
        <v>4068.55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245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103873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725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54933</v>
      </c>
      <c r="O91" s="108" t="s">
        <v>158</v>
      </c>
      <c r="P91" s="108"/>
      <c r="Q91" s="108" t="s">
        <v>159</v>
      </c>
      <c r="R91" s="109"/>
      <c r="S91" s="120">
        <f>H87</f>
        <v>48078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275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1.19258</v>
      </c>
      <c r="F92" s="124"/>
      <c r="G92" s="108" t="s">
        <v>162</v>
      </c>
      <c r="H92" s="125"/>
      <c r="I92" s="125">
        <v>1701</v>
      </c>
      <c r="J92" s="117" t="s">
        <v>154</v>
      </c>
      <c r="K92" s="108"/>
      <c r="L92" s="108" t="s">
        <v>163</v>
      </c>
      <c r="M92" s="108"/>
      <c r="N92" s="126">
        <f>G87/B88</f>
        <v>742.33783783783781</v>
      </c>
      <c r="O92" s="108" t="s">
        <v>158</v>
      </c>
      <c r="P92" s="108"/>
      <c r="Q92" s="108" t="s">
        <v>164</v>
      </c>
      <c r="S92" s="126">
        <f>H87/C88</f>
        <v>874.14545454545453</v>
      </c>
      <c r="T92" s="108"/>
      <c r="U92" s="108" t="s">
        <v>158</v>
      </c>
      <c r="W92" s="110"/>
      <c r="X92" s="108"/>
      <c r="Y92" s="127" t="s">
        <v>165</v>
      </c>
      <c r="AA92" s="122">
        <f>V87</f>
        <v>450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220</v>
      </c>
      <c r="F93" s="129"/>
      <c r="G93" s="108" t="s">
        <v>162</v>
      </c>
      <c r="H93" s="125"/>
      <c r="I93" s="125">
        <v>7870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>
        <v>18772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169</v>
      </c>
      <c r="F95" s="116"/>
      <c r="G95" s="108" t="s">
        <v>162</v>
      </c>
      <c r="H95" s="125"/>
      <c r="I95" s="125">
        <v>12500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>
        <v>4000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247</v>
      </c>
      <c r="F97" s="129"/>
      <c r="G97" s="108" t="s">
        <v>162</v>
      </c>
      <c r="H97" s="125"/>
      <c r="I97" s="125">
        <v>2500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74</v>
      </c>
      <c r="P97" s="108" t="s">
        <v>25</v>
      </c>
      <c r="Q97" s="108"/>
      <c r="R97" s="108"/>
      <c r="S97" s="130" t="s">
        <v>177</v>
      </c>
      <c r="T97" s="138">
        <f>C88</f>
        <v>55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25218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3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>
        <v>2000</v>
      </c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222</v>
      </c>
      <c r="F100" s="148"/>
      <c r="G100" s="108" t="s">
        <v>162</v>
      </c>
      <c r="H100" s="125"/>
      <c r="I100" s="125">
        <v>2500</v>
      </c>
      <c r="J100" s="117" t="s">
        <v>154</v>
      </c>
      <c r="K100" s="8"/>
      <c r="L100" s="149" t="s">
        <v>188</v>
      </c>
      <c r="M100" s="150" t="s">
        <v>242</v>
      </c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190</v>
      </c>
      <c r="F101" s="155"/>
      <c r="G101" s="108" t="s">
        <v>162</v>
      </c>
      <c r="H101" s="125"/>
      <c r="I101" s="125">
        <v>8000</v>
      </c>
      <c r="J101" s="117" t="s">
        <v>154</v>
      </c>
      <c r="K101" s="108"/>
      <c r="L101" s="149"/>
      <c r="M101" s="150" t="s">
        <v>243</v>
      </c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261" t="s">
        <v>246</v>
      </c>
      <c r="F102" s="262"/>
      <c r="G102" s="108" t="s">
        <v>162</v>
      </c>
      <c r="H102" s="125"/>
      <c r="I102" s="125">
        <v>1500</v>
      </c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>
        <v>1970</v>
      </c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198</v>
      </c>
      <c r="F105" s="155"/>
      <c r="G105" s="108" t="s">
        <v>162</v>
      </c>
      <c r="H105" s="125"/>
      <c r="I105" s="125">
        <v>11257</v>
      </c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>
        <v>5585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202</v>
      </c>
      <c r="F107" s="155"/>
      <c r="G107" s="108" t="s">
        <v>162</v>
      </c>
      <c r="H107" s="125"/>
      <c r="I107" s="125"/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203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 t="s">
        <v>228</v>
      </c>
      <c r="AB108" s="149" t="s">
        <v>229</v>
      </c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 t="s">
        <v>228</v>
      </c>
      <c r="AB109" s="149" t="s">
        <v>230</v>
      </c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72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54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10">SUM(Q122:Q131)</f>
        <v>0</v>
      </c>
      <c r="R132" s="237">
        <f t="shared" si="10"/>
        <v>0</v>
      </c>
      <c r="S132" s="238">
        <f t="shared" si="10"/>
        <v>0</v>
      </c>
      <c r="T132" s="238">
        <f t="shared" si="10"/>
        <v>0</v>
      </c>
      <c r="U132" s="237">
        <f t="shared" si="10"/>
        <v>0</v>
      </c>
      <c r="V132" s="237">
        <f t="shared" si="10"/>
        <v>0</v>
      </c>
      <c r="W132" s="238">
        <f t="shared" si="10"/>
        <v>0</v>
      </c>
      <c r="X132" s="238">
        <f t="shared" si="10"/>
        <v>0</v>
      </c>
      <c r="Y132" s="95">
        <f t="shared" si="10"/>
        <v>0</v>
      </c>
      <c r="Z132" s="95">
        <f t="shared" si="10"/>
        <v>0</v>
      </c>
      <c r="AA132" s="238">
        <f t="shared" si="10"/>
        <v>0</v>
      </c>
      <c r="AB132" s="238">
        <f t="shared" si="10"/>
        <v>0</v>
      </c>
      <c r="AC132" s="98"/>
      <c r="AD132" s="98">
        <f t="shared" si="10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  <row r="134" spans="1:30" ht="18.75" thickBot="1" x14ac:dyDescent="0.45"/>
    <row r="135" spans="1:30" x14ac:dyDescent="0.4">
      <c r="A135" s="368" t="s">
        <v>1</v>
      </c>
      <c r="B135" s="349" t="s">
        <v>2</v>
      </c>
      <c r="C135" s="350"/>
      <c r="D135" s="5" t="s">
        <v>3</v>
      </c>
      <c r="E135" s="7"/>
      <c r="F135" s="7"/>
      <c r="G135" s="349" t="s">
        <v>4</v>
      </c>
      <c r="H135" s="350"/>
      <c r="I135" s="349" t="s">
        <v>5</v>
      </c>
      <c r="J135" s="350"/>
      <c r="K135" s="349" t="s">
        <v>6</v>
      </c>
      <c r="L135" s="350"/>
      <c r="M135" s="370" t="s">
        <v>7</v>
      </c>
      <c r="N135" s="371"/>
      <c r="O135" s="362" t="s">
        <v>7</v>
      </c>
      <c r="P135" s="363"/>
      <c r="Q135" s="364" t="s">
        <v>8</v>
      </c>
      <c r="R135" s="365"/>
      <c r="S135" s="349" t="s">
        <v>9</v>
      </c>
      <c r="T135" s="350"/>
      <c r="U135" s="366" t="s">
        <v>10</v>
      </c>
      <c r="V135" s="367"/>
      <c r="W135" s="349" t="s">
        <v>11</v>
      </c>
      <c r="X135" s="350"/>
      <c r="Y135" s="349" t="s">
        <v>12</v>
      </c>
      <c r="Z135" s="350"/>
      <c r="AA135" s="349" t="s">
        <v>13</v>
      </c>
      <c r="AB135" s="350"/>
      <c r="AC135" s="349" t="s">
        <v>14</v>
      </c>
      <c r="AD135" s="353"/>
    </row>
    <row r="136" spans="1:30" ht="21" x14ac:dyDescent="0.4">
      <c r="A136" s="369"/>
      <c r="B136" s="351"/>
      <c r="C136" s="352"/>
      <c r="D136" s="8" t="s">
        <v>15</v>
      </c>
      <c r="E136" s="205" t="s">
        <v>16</v>
      </c>
      <c r="F136" s="9" t="s">
        <v>17</v>
      </c>
      <c r="G136" s="351"/>
      <c r="H136" s="352"/>
      <c r="I136" s="351"/>
      <c r="J136" s="352"/>
      <c r="K136" s="351"/>
      <c r="L136" s="352"/>
      <c r="M136" s="354" t="s">
        <v>18</v>
      </c>
      <c r="N136" s="355"/>
      <c r="O136" s="356" t="s">
        <v>19</v>
      </c>
      <c r="P136" s="357"/>
      <c r="Q136" s="358" t="s">
        <v>20</v>
      </c>
      <c r="R136" s="359"/>
      <c r="S136" s="351" t="s">
        <v>21</v>
      </c>
      <c r="T136" s="352"/>
      <c r="U136" s="360" t="s">
        <v>22</v>
      </c>
      <c r="V136" s="359"/>
      <c r="W136" s="351" t="s">
        <v>23</v>
      </c>
      <c r="X136" s="352"/>
      <c r="Y136" s="351"/>
      <c r="Z136" s="352"/>
      <c r="AA136" s="351"/>
      <c r="AB136" s="352"/>
      <c r="AC136" s="351" t="s">
        <v>24</v>
      </c>
      <c r="AD136" s="361"/>
    </row>
    <row r="137" spans="1:30" ht="18.75" thickBot="1" x14ac:dyDescent="0.45">
      <c r="A137" s="10" t="s">
        <v>25</v>
      </c>
      <c r="B137" s="206" t="s">
        <v>207</v>
      </c>
      <c r="C137" s="12" t="s">
        <v>208</v>
      </c>
      <c r="D137" s="13" t="s">
        <v>28</v>
      </c>
      <c r="E137" s="207"/>
      <c r="F137" s="207"/>
      <c r="G137" s="12" t="s">
        <v>26</v>
      </c>
      <c r="H137" s="12" t="s">
        <v>27</v>
      </c>
      <c r="I137" s="11" t="s">
        <v>26</v>
      </c>
      <c r="J137" s="12" t="s">
        <v>27</v>
      </c>
      <c r="K137" s="11" t="s">
        <v>29</v>
      </c>
      <c r="L137" s="14" t="s">
        <v>30</v>
      </c>
      <c r="M137" s="208" t="s">
        <v>31</v>
      </c>
      <c r="N137" s="209" t="s">
        <v>32</v>
      </c>
      <c r="O137" s="210" t="s">
        <v>31</v>
      </c>
      <c r="P137" s="211" t="s">
        <v>32</v>
      </c>
      <c r="Q137" s="19" t="s">
        <v>26</v>
      </c>
      <c r="R137" s="12" t="s">
        <v>27</v>
      </c>
      <c r="S137" s="20" t="s">
        <v>26</v>
      </c>
      <c r="T137" s="12" t="s">
        <v>27</v>
      </c>
      <c r="U137" s="19" t="s">
        <v>26</v>
      </c>
      <c r="V137" s="12" t="s">
        <v>27</v>
      </c>
      <c r="W137" s="21" t="s">
        <v>26</v>
      </c>
      <c r="X137" s="12" t="s">
        <v>27</v>
      </c>
      <c r="Y137" s="22" t="s">
        <v>26</v>
      </c>
      <c r="Z137" s="23" t="s">
        <v>27</v>
      </c>
      <c r="AA137" s="19" t="s">
        <v>26</v>
      </c>
      <c r="AB137" s="12" t="s">
        <v>27</v>
      </c>
      <c r="AC137" s="11" t="s">
        <v>26</v>
      </c>
      <c r="AD137" s="24" t="s">
        <v>27</v>
      </c>
    </row>
    <row r="138" spans="1:30" ht="32.25" thickBot="1" x14ac:dyDescent="0.55000000000000004">
      <c r="A138" s="212" t="s">
        <v>130</v>
      </c>
      <c r="B138" s="213" t="s">
        <v>209</v>
      </c>
      <c r="C138" s="213" t="s">
        <v>210</v>
      </c>
      <c r="D138" s="258" t="s">
        <v>237</v>
      </c>
      <c r="E138" s="215"/>
      <c r="F138" s="73">
        <v>690133</v>
      </c>
      <c r="G138" s="216"/>
      <c r="H138" s="217"/>
      <c r="I138" s="46">
        <v>800</v>
      </c>
      <c r="J138" s="32">
        <v>800</v>
      </c>
      <c r="K138" s="218"/>
      <c r="L138" s="218"/>
      <c r="M138" s="219"/>
      <c r="N138" s="220"/>
      <c r="O138" s="220"/>
      <c r="P138" s="221"/>
      <c r="Q138" s="222"/>
      <c r="R138" s="223"/>
      <c r="S138" s="224"/>
      <c r="T138" s="57"/>
      <c r="U138" s="59"/>
      <c r="V138" s="59"/>
      <c r="W138" s="39"/>
      <c r="X138" s="39"/>
      <c r="Y138" s="40"/>
      <c r="Z138" s="40"/>
      <c r="AA138" s="225"/>
      <c r="AB138" s="226"/>
      <c r="AC138" s="227"/>
      <c r="AD138" s="228"/>
    </row>
    <row r="139" spans="1:30" ht="32.25" thickBot="1" x14ac:dyDescent="0.55000000000000004">
      <c r="A139" s="212" t="s">
        <v>72</v>
      </c>
      <c r="B139" s="213" t="s">
        <v>209</v>
      </c>
      <c r="C139" s="213" t="s">
        <v>210</v>
      </c>
      <c r="D139" s="258" t="s">
        <v>237</v>
      </c>
      <c r="E139" s="215">
        <v>69010634</v>
      </c>
      <c r="F139" s="73">
        <v>690133</v>
      </c>
      <c r="G139" s="216"/>
      <c r="H139" s="217"/>
      <c r="I139" s="46">
        <v>800</v>
      </c>
      <c r="J139" s="32">
        <v>800</v>
      </c>
      <c r="K139" s="218"/>
      <c r="L139" s="218"/>
      <c r="M139" s="219"/>
      <c r="N139" s="220"/>
      <c r="O139" s="220"/>
      <c r="P139" s="221"/>
      <c r="Q139" s="222"/>
      <c r="R139" s="67">
        <v>1500</v>
      </c>
      <c r="S139" s="229"/>
      <c r="T139" s="57">
        <v>197</v>
      </c>
      <c r="U139" s="58"/>
      <c r="V139" s="59"/>
      <c r="W139" s="39"/>
      <c r="X139" s="39">
        <f>T139*1000/39.37/R139*38.5</f>
        <v>128.43112352891373</v>
      </c>
      <c r="Y139" s="40"/>
      <c r="Z139" s="40"/>
      <c r="AA139" s="225"/>
      <c r="AB139" s="226">
        <v>130.08000000000001</v>
      </c>
      <c r="AC139" s="227"/>
      <c r="AD139" s="228">
        <v>131.72999999999999</v>
      </c>
    </row>
    <row r="140" spans="1:30" ht="32.25" thickBot="1" x14ac:dyDescent="0.55000000000000004">
      <c r="A140" s="212" t="s">
        <v>117</v>
      </c>
      <c r="B140" s="213" t="s">
        <v>209</v>
      </c>
      <c r="C140" s="213" t="s">
        <v>210</v>
      </c>
      <c r="D140" s="258" t="s">
        <v>237</v>
      </c>
      <c r="E140" s="215"/>
      <c r="F140" s="73">
        <v>690133</v>
      </c>
      <c r="G140" s="216"/>
      <c r="H140" s="217"/>
      <c r="I140" s="46">
        <v>800</v>
      </c>
      <c r="J140" s="32">
        <v>800</v>
      </c>
      <c r="K140" s="218"/>
      <c r="L140" s="218"/>
      <c r="M140" s="219"/>
      <c r="N140" s="220"/>
      <c r="O140" s="220"/>
      <c r="P140" s="221"/>
      <c r="Q140" s="230"/>
      <c r="R140" s="56"/>
      <c r="S140" s="231"/>
      <c r="T140" s="57"/>
      <c r="U140" s="58"/>
      <c r="V140" s="59"/>
      <c r="W140" s="39"/>
      <c r="X140" s="39"/>
      <c r="Y140" s="40"/>
      <c r="Z140" s="40"/>
      <c r="AA140" s="232"/>
      <c r="AB140" s="226"/>
      <c r="AC140" s="233"/>
      <c r="AD140" s="234"/>
    </row>
    <row r="141" spans="1:30" ht="32.25" thickBot="1" x14ac:dyDescent="0.55000000000000004">
      <c r="A141" s="212" t="s">
        <v>54</v>
      </c>
      <c r="B141" s="213" t="s">
        <v>209</v>
      </c>
      <c r="C141" s="213" t="s">
        <v>210</v>
      </c>
      <c r="D141" s="258" t="s">
        <v>237</v>
      </c>
      <c r="E141" s="215"/>
      <c r="F141" s="73">
        <v>690133</v>
      </c>
      <c r="G141" s="216"/>
      <c r="H141" s="217"/>
      <c r="I141" s="46">
        <v>800</v>
      </c>
      <c r="J141" s="32">
        <v>800</v>
      </c>
      <c r="K141" s="218"/>
      <c r="L141" s="218"/>
      <c r="M141" s="219"/>
      <c r="N141" s="220"/>
      <c r="O141" s="220"/>
      <c r="P141" s="221"/>
      <c r="Q141" s="230"/>
      <c r="R141" s="56"/>
      <c r="S141" s="231"/>
      <c r="T141" s="57"/>
      <c r="U141" s="58"/>
      <c r="V141" s="59"/>
      <c r="W141" s="39"/>
      <c r="X141" s="39"/>
      <c r="Y141" s="40"/>
      <c r="Z141" s="40"/>
      <c r="AA141" s="232"/>
      <c r="AB141" s="226"/>
      <c r="AC141" s="233"/>
      <c r="AD141" s="234"/>
    </row>
    <row r="142" spans="1:30" ht="32.25" thickBot="1" x14ac:dyDescent="0.55000000000000004">
      <c r="A142" s="212" t="s">
        <v>38</v>
      </c>
      <c r="B142" s="213" t="s">
        <v>209</v>
      </c>
      <c r="C142" s="213" t="s">
        <v>210</v>
      </c>
      <c r="D142" s="258" t="s">
        <v>237</v>
      </c>
      <c r="E142" s="215"/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30"/>
      <c r="R142" s="56"/>
      <c r="S142" s="231"/>
      <c r="T142" s="57"/>
      <c r="U142" s="58"/>
      <c r="V142" s="59"/>
      <c r="W142" s="39"/>
      <c r="X142" s="39"/>
      <c r="Y142" s="40"/>
      <c r="Z142" s="40"/>
      <c r="AA142" s="232"/>
      <c r="AB142" s="226"/>
      <c r="AC142" s="233"/>
      <c r="AD142" s="234"/>
    </row>
    <row r="143" spans="1:30" ht="32.25" thickBot="1" x14ac:dyDescent="0.55000000000000004">
      <c r="A143" s="212" t="s">
        <v>40</v>
      </c>
      <c r="B143" s="213" t="s">
        <v>209</v>
      </c>
      <c r="C143" s="213" t="s">
        <v>210</v>
      </c>
      <c r="D143" s="258" t="s">
        <v>237</v>
      </c>
      <c r="E143" s="215"/>
      <c r="F143" s="73">
        <v>690133</v>
      </c>
      <c r="G143" s="216"/>
      <c r="H143" s="217"/>
      <c r="I143" s="46">
        <v>800</v>
      </c>
      <c r="J143" s="32">
        <v>800</v>
      </c>
      <c r="K143" s="218"/>
      <c r="L143" s="218"/>
      <c r="M143" s="219"/>
      <c r="N143" s="220"/>
      <c r="O143" s="220"/>
      <c r="P143" s="221"/>
      <c r="Q143" s="222"/>
      <c r="R143" s="67"/>
      <c r="S143" s="229"/>
      <c r="T143" s="57"/>
      <c r="U143" s="58"/>
      <c r="V143" s="59"/>
      <c r="W143" s="39"/>
      <c r="X143" s="39"/>
      <c r="Y143" s="40"/>
      <c r="Z143" s="40"/>
      <c r="AA143" s="225"/>
      <c r="AB143" s="226"/>
      <c r="AC143" s="227"/>
      <c r="AD143" s="228"/>
    </row>
    <row r="144" spans="1:30" ht="32.25" thickBot="1" x14ac:dyDescent="0.55000000000000004">
      <c r="A144" s="212" t="s">
        <v>125</v>
      </c>
      <c r="B144" s="213" t="s">
        <v>209</v>
      </c>
      <c r="C144" s="213" t="s">
        <v>210</v>
      </c>
      <c r="D144" s="258" t="s">
        <v>237</v>
      </c>
      <c r="E144" s="215"/>
      <c r="F144" s="73">
        <v>690133</v>
      </c>
      <c r="G144" s="216"/>
      <c r="H144" s="217"/>
      <c r="I144" s="46">
        <v>800</v>
      </c>
      <c r="J144" s="32">
        <v>800</v>
      </c>
      <c r="K144" s="218"/>
      <c r="L144" s="218"/>
      <c r="M144" s="219"/>
      <c r="N144" s="220"/>
      <c r="O144" s="220"/>
      <c r="P144" s="221"/>
      <c r="Q144" s="230"/>
      <c r="R144" s="56"/>
      <c r="S144" s="231"/>
      <c r="T144" s="57"/>
      <c r="U144" s="58"/>
      <c r="V144" s="59"/>
      <c r="W144" s="39"/>
      <c r="X144" s="39"/>
      <c r="Y144" s="40"/>
      <c r="Z144" s="40"/>
      <c r="AA144" s="232"/>
      <c r="AB144" s="226"/>
      <c r="AC144" s="233"/>
      <c r="AD144" s="234"/>
    </row>
    <row r="145" spans="1:30" ht="32.25" thickBot="1" x14ac:dyDescent="0.55000000000000004">
      <c r="A145" s="212" t="s">
        <v>86</v>
      </c>
      <c r="B145" s="213" t="s">
        <v>209</v>
      </c>
      <c r="C145" s="213" t="s">
        <v>210</v>
      </c>
      <c r="D145" s="258" t="s">
        <v>237</v>
      </c>
      <c r="E145" s="215"/>
      <c r="F145" s="73">
        <v>690133</v>
      </c>
      <c r="G145" s="216"/>
      <c r="H145" s="217"/>
      <c r="I145" s="46">
        <v>800</v>
      </c>
      <c r="J145" s="32">
        <v>800</v>
      </c>
      <c r="K145" s="218"/>
      <c r="L145" s="218"/>
      <c r="M145" s="219"/>
      <c r="N145" s="220"/>
      <c r="O145" s="220"/>
      <c r="P145" s="221"/>
      <c r="Q145" s="222"/>
      <c r="R145" s="67"/>
      <c r="S145" s="229"/>
      <c r="T145" s="57"/>
      <c r="U145" s="58"/>
      <c r="V145" s="59"/>
      <c r="W145" s="39"/>
      <c r="X145" s="39"/>
      <c r="Y145" s="40"/>
      <c r="Z145" s="40"/>
      <c r="AA145" s="232"/>
      <c r="AB145" s="226"/>
      <c r="AC145" s="233"/>
      <c r="AD145" s="234"/>
    </row>
    <row r="146" spans="1:30" ht="32.25" thickBot="1" x14ac:dyDescent="0.55000000000000004">
      <c r="A146" s="212" t="s">
        <v>74</v>
      </c>
      <c r="B146" s="213" t="s">
        <v>209</v>
      </c>
      <c r="C146" s="213" t="s">
        <v>210</v>
      </c>
      <c r="D146" s="258" t="s">
        <v>237</v>
      </c>
      <c r="E146" s="215"/>
      <c r="F146" s="73">
        <v>690133</v>
      </c>
      <c r="G146" s="216"/>
      <c r="H146" s="217"/>
      <c r="I146" s="46">
        <v>800</v>
      </c>
      <c r="J146" s="32">
        <v>800</v>
      </c>
      <c r="K146" s="218"/>
      <c r="L146" s="218"/>
      <c r="M146" s="219"/>
      <c r="N146" s="220"/>
      <c r="O146" s="220"/>
      <c r="P146" s="221"/>
      <c r="Q146" s="230"/>
      <c r="R146" s="56"/>
      <c r="S146" s="231"/>
      <c r="T146" s="57"/>
      <c r="U146" s="58"/>
      <c r="V146" s="59"/>
      <c r="W146" s="39"/>
      <c r="X146" s="39"/>
      <c r="Y146" s="40"/>
      <c r="Z146" s="40"/>
      <c r="AA146" s="232"/>
      <c r="AB146" s="226"/>
      <c r="AC146" s="233"/>
      <c r="AD146" s="234"/>
    </row>
    <row r="147" spans="1:30" ht="32.25" thickBot="1" x14ac:dyDescent="0.55000000000000004">
      <c r="A147" s="212" t="s">
        <v>102</v>
      </c>
      <c r="B147" s="213" t="s">
        <v>209</v>
      </c>
      <c r="C147" s="213" t="s">
        <v>210</v>
      </c>
      <c r="D147" s="258" t="s">
        <v>211</v>
      </c>
      <c r="E147" s="215"/>
      <c r="F147" s="73">
        <v>690134</v>
      </c>
      <c r="G147" s="216"/>
      <c r="H147" s="217"/>
      <c r="I147" s="46">
        <v>800</v>
      </c>
      <c r="J147" s="32">
        <v>800</v>
      </c>
      <c r="K147" s="218"/>
      <c r="L147" s="218"/>
      <c r="M147" s="219"/>
      <c r="N147" s="220"/>
      <c r="O147" s="220"/>
      <c r="P147" s="221"/>
      <c r="Q147" s="222"/>
      <c r="R147" s="223"/>
      <c r="S147" s="224"/>
      <c r="T147" s="57"/>
      <c r="U147" s="59"/>
      <c r="V147" s="59"/>
      <c r="W147" s="39"/>
      <c r="X147" s="39"/>
      <c r="Y147" s="40"/>
      <c r="Z147" s="40"/>
      <c r="AA147" s="225"/>
      <c r="AB147" s="235"/>
      <c r="AC147" s="233"/>
      <c r="AD147" s="234"/>
    </row>
    <row r="148" spans="1:30" ht="24" thickBot="1" x14ac:dyDescent="0.45">
      <c r="A148" s="333" t="s">
        <v>150</v>
      </c>
      <c r="B148" s="83" t="s">
        <v>25</v>
      </c>
      <c r="C148" s="83" t="s">
        <v>25</v>
      </c>
      <c r="D148" s="84"/>
      <c r="E148" s="85"/>
      <c r="F148" s="84"/>
      <c r="G148" s="236">
        <f>SUM(G134:G134)</f>
        <v>0</v>
      </c>
      <c r="H148" s="236">
        <f>SUM(H134:H134)</f>
        <v>0</v>
      </c>
      <c r="I148" s="87"/>
      <c r="J148" s="87"/>
      <c r="K148" s="87"/>
      <c r="L148" s="88"/>
      <c r="M148" s="335"/>
      <c r="N148" s="336"/>
      <c r="O148" s="336"/>
      <c r="P148" s="337"/>
      <c r="Q148" s="237">
        <f t="shared" ref="Q148:AB148" si="11">SUM(Q138:Q147)</f>
        <v>0</v>
      </c>
      <c r="R148" s="237">
        <f t="shared" si="11"/>
        <v>1500</v>
      </c>
      <c r="S148" s="238">
        <f t="shared" si="11"/>
        <v>0</v>
      </c>
      <c r="T148" s="238">
        <f t="shared" si="11"/>
        <v>197</v>
      </c>
      <c r="U148" s="237">
        <f t="shared" si="11"/>
        <v>0</v>
      </c>
      <c r="V148" s="237">
        <f t="shared" si="11"/>
        <v>0</v>
      </c>
      <c r="W148" s="238">
        <f t="shared" si="11"/>
        <v>0</v>
      </c>
      <c r="X148" s="238">
        <f t="shared" si="11"/>
        <v>128.43112352891373</v>
      </c>
      <c r="Y148" s="95">
        <f t="shared" si="11"/>
        <v>0</v>
      </c>
      <c r="Z148" s="95">
        <f t="shared" si="11"/>
        <v>0</v>
      </c>
      <c r="AA148" s="238">
        <f t="shared" si="11"/>
        <v>0</v>
      </c>
      <c r="AB148" s="238">
        <f t="shared" si="11"/>
        <v>130.08000000000001</v>
      </c>
      <c r="AC148" s="98"/>
      <c r="AD148" s="98">
        <f t="shared" ref="AD148" si="12">SUM(AD138:AD147)</f>
        <v>131.72999999999999</v>
      </c>
    </row>
    <row r="149" spans="1:30" ht="27" thickBot="1" x14ac:dyDescent="0.45">
      <c r="A149" s="334"/>
      <c r="B149" s="83">
        <v>2</v>
      </c>
      <c r="C149" s="83">
        <v>2</v>
      </c>
      <c r="D149" s="84"/>
      <c r="E149" s="84"/>
      <c r="F149" s="84"/>
      <c r="G149" s="99">
        <v>0</v>
      </c>
      <c r="H149" s="100"/>
      <c r="I149" s="99"/>
      <c r="J149" s="100"/>
      <c r="K149" s="341"/>
      <c r="L149" s="342"/>
      <c r="M149" s="338"/>
      <c r="N149" s="339"/>
      <c r="O149" s="339"/>
      <c r="P149" s="340"/>
      <c r="Q149" s="343">
        <f>Q148+R148</f>
        <v>1500</v>
      </c>
      <c r="R149" s="344"/>
      <c r="S149" s="345">
        <f>S148+T148</f>
        <v>197</v>
      </c>
      <c r="T149" s="346"/>
      <c r="U149" s="347">
        <f>U148+V148</f>
        <v>0</v>
      </c>
      <c r="V149" s="348"/>
      <c r="W149" s="327">
        <f>W148+X148</f>
        <v>128.43112352891373</v>
      </c>
      <c r="X149" s="328"/>
      <c r="Y149" s="329">
        <f>Y148+Z148</f>
        <v>0</v>
      </c>
      <c r="Z149" s="330"/>
      <c r="AA149" s="327">
        <f>AA148+AB148</f>
        <v>130.08000000000001</v>
      </c>
      <c r="AB149" s="328"/>
      <c r="AC149" s="331">
        <f>AC148+AD148</f>
        <v>131.72999999999999</v>
      </c>
      <c r="AD149" s="332"/>
    </row>
  </sheetData>
  <autoFilter ref="A5:AD112" xr:uid="{3D257094-AFCF-44D4-9CB6-CF8FC9C29795}"/>
  <mergeCells count="104">
    <mergeCell ref="Y3:Z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E4:E5"/>
    <mergeCell ref="M4:N4"/>
    <mergeCell ref="O4:P4"/>
    <mergeCell ref="Q4:R4"/>
    <mergeCell ref="S4:T4"/>
    <mergeCell ref="U4:V4"/>
    <mergeCell ref="S3:T3"/>
    <mergeCell ref="U3:V3"/>
    <mergeCell ref="W3:X3"/>
    <mergeCell ref="S88:T88"/>
    <mergeCell ref="U88:V88"/>
    <mergeCell ref="W88:X88"/>
    <mergeCell ref="Y88:Z88"/>
    <mergeCell ref="AA88:AB88"/>
    <mergeCell ref="AC88:AD88"/>
    <mergeCell ref="A87:A88"/>
    <mergeCell ref="M87:P88"/>
    <mergeCell ref="G88:H88"/>
    <mergeCell ref="I88:J88"/>
    <mergeCell ref="K88:L88"/>
    <mergeCell ref="Q88:R88"/>
    <mergeCell ref="A119:A120"/>
    <mergeCell ref="B119:C120"/>
    <mergeCell ref="G119:H120"/>
    <mergeCell ref="I119:J120"/>
    <mergeCell ref="K119:L120"/>
    <mergeCell ref="M119:N119"/>
    <mergeCell ref="E90:J90"/>
    <mergeCell ref="M112:Q112"/>
    <mergeCell ref="X112:AD112"/>
    <mergeCell ref="M113:Q113"/>
    <mergeCell ref="X113:AD113"/>
    <mergeCell ref="F114:G114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U119:V119"/>
    <mergeCell ref="W119:X119"/>
    <mergeCell ref="Y119:Z120"/>
    <mergeCell ref="W133:X133"/>
    <mergeCell ref="Y133:Z133"/>
    <mergeCell ref="AA133:AB133"/>
    <mergeCell ref="AC133:AD133"/>
    <mergeCell ref="A135:A136"/>
    <mergeCell ref="B135:C136"/>
    <mergeCell ref="G135:H136"/>
    <mergeCell ref="I135:J136"/>
    <mergeCell ref="K135:L136"/>
    <mergeCell ref="M135:N135"/>
    <mergeCell ref="A132:A133"/>
    <mergeCell ref="M132:P133"/>
    <mergeCell ref="K133:L133"/>
    <mergeCell ref="Q133:R133"/>
    <mergeCell ref="S133:T133"/>
    <mergeCell ref="U133:V133"/>
    <mergeCell ref="AA135:AB136"/>
    <mergeCell ref="AC135:AD135"/>
    <mergeCell ref="M136:N136"/>
    <mergeCell ref="O136:P136"/>
    <mergeCell ref="Q136:R136"/>
    <mergeCell ref="S136:T136"/>
    <mergeCell ref="U136:V136"/>
    <mergeCell ref="W136:X136"/>
    <mergeCell ref="AC136:AD136"/>
    <mergeCell ref="O135:P135"/>
    <mergeCell ref="Q135:R135"/>
    <mergeCell ref="S135:T135"/>
    <mergeCell ref="U135:V135"/>
    <mergeCell ref="W135:X135"/>
    <mergeCell ref="Y135:Z136"/>
    <mergeCell ref="W149:X149"/>
    <mergeCell ref="Y149:Z149"/>
    <mergeCell ref="AA149:AB149"/>
    <mergeCell ref="AC149:AD149"/>
    <mergeCell ref="A148:A149"/>
    <mergeCell ref="M148:P149"/>
    <mergeCell ref="K149:L149"/>
    <mergeCell ref="Q149:R149"/>
    <mergeCell ref="S149:T149"/>
    <mergeCell ref="U149:V149"/>
  </mergeCells>
  <dataValidations count="1">
    <dataValidation type="list" allowBlank="1" showInputMessage="1" showErrorMessage="1" sqref="B10:C10 B54:C54" xr:uid="{CA414A7B-5D50-4C44-9919-D3908576E09B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272C-53D4-4E98-90AE-2FD355F79009}">
  <sheetPr>
    <tabColor rgb="FF00B050"/>
  </sheetPr>
  <dimension ref="A1:AL149"/>
  <sheetViews>
    <sheetView zoomScale="78" zoomScaleNormal="78" zoomScaleSheetLayoutView="70" workbookViewId="0">
      <pane xSplit="4" ySplit="5" topLeftCell="E101" activePane="bottomRight" state="frozen"/>
      <selection activeCell="M107" sqref="M107"/>
      <selection pane="topRight" activeCell="M107" sqref="M107"/>
      <selection pane="bottomLeft" activeCell="M107" sqref="M107"/>
      <selection pane="bottomRight" activeCell="E88" sqref="E87:AD109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227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252" t="s">
        <v>26</v>
      </c>
      <c r="C5" s="23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48" t="s">
        <v>33</v>
      </c>
      <c r="B6" s="246" t="s">
        <v>35</v>
      </c>
      <c r="C6" s="253"/>
      <c r="D6" s="255" t="s">
        <v>36</v>
      </c>
      <c r="E6" s="28"/>
      <c r="F6" s="29">
        <v>690126</v>
      </c>
      <c r="G6" s="30">
        <v>340</v>
      </c>
      <c r="H6" s="31">
        <v>721</v>
      </c>
      <c r="I6" s="32">
        <v>750</v>
      </c>
      <c r="J6" s="32">
        <v>750</v>
      </c>
      <c r="K6" s="33">
        <f>G6*8/100</f>
        <v>27.2</v>
      </c>
      <c r="L6" s="34">
        <f>H6*8/100</f>
        <v>57.68</v>
      </c>
      <c r="M6" s="31">
        <v>110</v>
      </c>
      <c r="N6" s="31">
        <v>450</v>
      </c>
      <c r="O6" s="31">
        <v>450</v>
      </c>
      <c r="P6" s="31">
        <v>1171</v>
      </c>
      <c r="Q6" s="35"/>
      <c r="R6" s="35"/>
      <c r="S6" s="36"/>
      <c r="T6" s="36"/>
      <c r="U6" s="37"/>
      <c r="V6" s="38"/>
      <c r="W6" s="39"/>
      <c r="X6" s="39"/>
      <c r="Y6" s="40"/>
      <c r="Z6" s="40"/>
      <c r="AA6" s="41"/>
      <c r="AB6" s="42"/>
      <c r="AC6" s="43"/>
      <c r="AD6" s="43"/>
    </row>
    <row r="7" spans="1:31" ht="24" customHeight="1" x14ac:dyDescent="0.4">
      <c r="A7" s="249" t="s">
        <v>37</v>
      </c>
      <c r="B7" s="246" t="s">
        <v>35</v>
      </c>
      <c r="C7" s="253"/>
      <c r="D7" s="256" t="s">
        <v>36</v>
      </c>
      <c r="E7" s="28"/>
      <c r="F7" s="29">
        <v>690126</v>
      </c>
      <c r="G7" s="45">
        <v>477</v>
      </c>
      <c r="H7" s="31">
        <v>747</v>
      </c>
      <c r="I7" s="46">
        <v>750</v>
      </c>
      <c r="J7" s="32">
        <v>750</v>
      </c>
      <c r="K7" s="33">
        <f t="shared" ref="K7:L38" si="0">G7*8/100</f>
        <v>38.159999999999997</v>
      </c>
      <c r="L7" s="47">
        <f t="shared" si="0"/>
        <v>59.76</v>
      </c>
      <c r="M7" s="31">
        <v>309</v>
      </c>
      <c r="N7" s="31">
        <v>786</v>
      </c>
      <c r="O7" s="31">
        <v>786</v>
      </c>
      <c r="P7" s="31">
        <v>1533</v>
      </c>
      <c r="Q7" s="35"/>
      <c r="R7" s="48"/>
      <c r="S7" s="36"/>
      <c r="T7" s="36"/>
      <c r="U7" s="37"/>
      <c r="V7" s="38"/>
      <c r="W7" s="39"/>
      <c r="X7" s="39"/>
      <c r="Y7" s="40"/>
      <c r="Z7" s="40"/>
      <c r="AA7" s="41"/>
      <c r="AB7" s="42"/>
      <c r="AC7" s="43"/>
      <c r="AD7" s="43"/>
    </row>
    <row r="8" spans="1:31" ht="24" customHeight="1" x14ac:dyDescent="0.4">
      <c r="A8" s="249" t="s">
        <v>38</v>
      </c>
      <c r="B8" s="246" t="s">
        <v>35</v>
      </c>
      <c r="C8" s="253" t="s">
        <v>34</v>
      </c>
      <c r="D8" s="256" t="s">
        <v>39</v>
      </c>
      <c r="E8" s="28">
        <v>69010507</v>
      </c>
      <c r="F8" s="29">
        <v>690111</v>
      </c>
      <c r="G8" s="45">
        <v>1070</v>
      </c>
      <c r="H8" s="31">
        <v>854</v>
      </c>
      <c r="I8" s="46">
        <v>750</v>
      </c>
      <c r="J8" s="32">
        <v>750</v>
      </c>
      <c r="K8" s="33">
        <f t="shared" si="0"/>
        <v>85.6</v>
      </c>
      <c r="L8" s="47">
        <f t="shared" si="0"/>
        <v>68.319999999999993</v>
      </c>
      <c r="M8" s="31">
        <v>656</v>
      </c>
      <c r="N8" s="31">
        <v>1726</v>
      </c>
      <c r="O8" s="31">
        <v>1726</v>
      </c>
      <c r="P8" s="31">
        <v>80</v>
      </c>
      <c r="Q8" s="35">
        <v>2500</v>
      </c>
      <c r="R8" s="48"/>
      <c r="S8" s="36">
        <v>170.7</v>
      </c>
      <c r="T8" s="36"/>
      <c r="U8" s="37">
        <v>25</v>
      </c>
      <c r="V8" s="38"/>
      <c r="W8" s="39">
        <f>S8*1000/39.37/Q8*38.5</f>
        <v>66.771145542291094</v>
      </c>
      <c r="X8" s="39"/>
      <c r="Y8" s="40">
        <f>(AC8+W8)/2</f>
        <v>66.765572771145543</v>
      </c>
      <c r="Z8" s="40"/>
      <c r="AA8" s="41"/>
      <c r="AB8" s="42"/>
      <c r="AC8" s="43">
        <v>66.760000000000005</v>
      </c>
      <c r="AD8" s="43"/>
    </row>
    <row r="9" spans="1:31" ht="24" customHeight="1" x14ac:dyDescent="0.4">
      <c r="A9" s="250" t="s">
        <v>40</v>
      </c>
      <c r="B9" s="246" t="s">
        <v>42</v>
      </c>
      <c r="C9" s="253" t="s">
        <v>41</v>
      </c>
      <c r="D9" s="256" t="s">
        <v>47</v>
      </c>
      <c r="E9" s="28"/>
      <c r="F9" s="29">
        <v>690109</v>
      </c>
      <c r="G9" s="45">
        <v>702</v>
      </c>
      <c r="H9" s="31">
        <v>978</v>
      </c>
      <c r="I9" s="46">
        <v>110</v>
      </c>
      <c r="J9" s="32">
        <v>110</v>
      </c>
      <c r="K9" s="33">
        <f t="shared" si="0"/>
        <v>56.16</v>
      </c>
      <c r="L9" s="47">
        <f t="shared" si="0"/>
        <v>78.239999999999995</v>
      </c>
      <c r="M9" s="31">
        <v>1138</v>
      </c>
      <c r="N9" s="31">
        <v>1840</v>
      </c>
      <c r="O9" s="31">
        <v>1840</v>
      </c>
      <c r="P9" s="31">
        <v>318</v>
      </c>
      <c r="Q9" s="35"/>
      <c r="R9" s="48"/>
      <c r="S9" s="36"/>
      <c r="T9" s="36"/>
      <c r="U9" s="37"/>
      <c r="V9" s="38"/>
      <c r="W9" s="39"/>
      <c r="X9" s="39"/>
      <c r="Y9" s="40"/>
      <c r="Z9" s="40"/>
      <c r="AA9" s="41"/>
      <c r="AB9" s="42"/>
      <c r="AC9" s="43"/>
      <c r="AD9" s="43"/>
    </row>
    <row r="10" spans="1:31" ht="24" customHeight="1" x14ac:dyDescent="0.4">
      <c r="A10" s="250" t="s">
        <v>44</v>
      </c>
      <c r="B10" s="246" t="s">
        <v>46</v>
      </c>
      <c r="C10" s="253" t="s">
        <v>45</v>
      </c>
      <c r="D10" s="256" t="s">
        <v>43</v>
      </c>
      <c r="E10" s="28">
        <v>69010501</v>
      </c>
      <c r="F10" s="29">
        <v>690119</v>
      </c>
      <c r="G10" s="51">
        <v>890</v>
      </c>
      <c r="H10" s="31">
        <v>1015</v>
      </c>
      <c r="I10" s="46">
        <v>110</v>
      </c>
      <c r="J10" s="32">
        <v>110</v>
      </c>
      <c r="K10" s="33">
        <f t="shared" si="0"/>
        <v>71.2</v>
      </c>
      <c r="L10" s="47">
        <f t="shared" si="0"/>
        <v>81.2</v>
      </c>
      <c r="M10" s="31">
        <v>2400</v>
      </c>
      <c r="N10" s="31">
        <v>815</v>
      </c>
      <c r="O10" s="31">
        <v>815</v>
      </c>
      <c r="P10" s="31">
        <v>1830</v>
      </c>
      <c r="Q10" s="35">
        <v>2475</v>
      </c>
      <c r="R10" s="48"/>
      <c r="S10" s="36">
        <v>200</v>
      </c>
      <c r="T10" s="36"/>
      <c r="U10" s="37">
        <v>25</v>
      </c>
      <c r="V10" s="38"/>
      <c r="W10" s="39">
        <f>S10*1000/39.37/Q10*38.5</f>
        <v>79.022380266982765</v>
      </c>
      <c r="X10" s="39"/>
      <c r="Y10" s="40">
        <f>(AC10+W10)/2</f>
        <v>79.886190133491382</v>
      </c>
      <c r="Z10" s="52"/>
      <c r="AA10" s="41"/>
      <c r="AB10" s="42"/>
      <c r="AC10" s="43">
        <v>80.75</v>
      </c>
      <c r="AD10" s="43"/>
    </row>
    <row r="11" spans="1:31" ht="23.25" customHeight="1" x14ac:dyDescent="0.4">
      <c r="A11" s="249" t="s">
        <v>48</v>
      </c>
      <c r="B11" s="246" t="s">
        <v>49</v>
      </c>
      <c r="C11" s="253" t="s">
        <v>233</v>
      </c>
      <c r="D11" s="256" t="s">
        <v>36</v>
      </c>
      <c r="E11" s="28"/>
      <c r="F11" s="29">
        <v>690126</v>
      </c>
      <c r="G11" s="45">
        <v>475</v>
      </c>
      <c r="H11" s="31">
        <v>0</v>
      </c>
      <c r="I11" s="46">
        <v>800</v>
      </c>
      <c r="J11" s="32">
        <v>800</v>
      </c>
      <c r="K11" s="33">
        <f t="shared" si="0"/>
        <v>38</v>
      </c>
      <c r="L11" s="47">
        <f>H11*8/100</f>
        <v>0</v>
      </c>
      <c r="M11" s="53">
        <v>635</v>
      </c>
      <c r="N11" s="31">
        <v>1110</v>
      </c>
      <c r="O11" s="31">
        <v>1110</v>
      </c>
      <c r="P11" s="53">
        <v>1110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249" t="s">
        <v>50</v>
      </c>
      <c r="B12" s="246" t="s">
        <v>51</v>
      </c>
      <c r="C12" s="253" t="s">
        <v>233</v>
      </c>
      <c r="D12" s="256" t="s">
        <v>52</v>
      </c>
      <c r="E12" s="28">
        <v>69010525</v>
      </c>
      <c r="F12" s="29">
        <v>690113</v>
      </c>
      <c r="G12" s="45">
        <v>708</v>
      </c>
      <c r="H12" s="31">
        <v>0</v>
      </c>
      <c r="I12" s="46">
        <v>800</v>
      </c>
      <c r="J12" s="32">
        <v>800</v>
      </c>
      <c r="K12" s="33">
        <f t="shared" si="0"/>
        <v>56.64</v>
      </c>
      <c r="L12" s="47">
        <f t="shared" si="0"/>
        <v>0</v>
      </c>
      <c r="M12" s="31">
        <v>2118</v>
      </c>
      <c r="N12" s="31">
        <v>326</v>
      </c>
      <c r="O12" s="31">
        <v>326</v>
      </c>
      <c r="P12" s="31">
        <v>326</v>
      </c>
      <c r="Q12" s="35">
        <v>2500</v>
      </c>
      <c r="R12" s="48"/>
      <c r="S12" s="36">
        <v>183.1</v>
      </c>
      <c r="T12" s="36"/>
      <c r="U12" s="37">
        <v>25</v>
      </c>
      <c r="V12" s="38"/>
      <c r="W12" s="39">
        <f>S12*1000/39.37/Q12*35.5</f>
        <v>66.040640081280159</v>
      </c>
      <c r="X12" s="39"/>
      <c r="Y12" s="40">
        <f>(AC12+W12)/2</f>
        <v>66.350320040640071</v>
      </c>
      <c r="Z12" s="40"/>
      <c r="AA12" s="41"/>
      <c r="AB12" s="42"/>
      <c r="AC12" s="43">
        <v>66.66</v>
      </c>
      <c r="AD12" s="43"/>
    </row>
    <row r="13" spans="1:31" ht="24" customHeight="1" x14ac:dyDescent="0.4">
      <c r="A13" s="249" t="s">
        <v>53</v>
      </c>
      <c r="B13" s="246" t="s">
        <v>51</v>
      </c>
      <c r="C13" s="253" t="s">
        <v>233</v>
      </c>
      <c r="D13" s="256" t="s">
        <v>52</v>
      </c>
      <c r="E13" s="28"/>
      <c r="F13" s="29">
        <v>690113</v>
      </c>
      <c r="G13" s="45">
        <v>716</v>
      </c>
      <c r="H13" s="31">
        <v>0</v>
      </c>
      <c r="I13" s="46">
        <v>800</v>
      </c>
      <c r="J13" s="32">
        <v>800</v>
      </c>
      <c r="K13" s="33">
        <f t="shared" si="0"/>
        <v>57.28</v>
      </c>
      <c r="L13" s="47">
        <f t="shared" si="0"/>
        <v>0</v>
      </c>
      <c r="M13" s="31">
        <v>1054</v>
      </c>
      <c r="N13" s="31">
        <v>1770</v>
      </c>
      <c r="O13" s="31">
        <v>1770</v>
      </c>
      <c r="P13" s="31">
        <v>1770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249" t="s">
        <v>54</v>
      </c>
      <c r="B14" s="246" t="s">
        <v>51</v>
      </c>
      <c r="C14" s="253" t="s">
        <v>233</v>
      </c>
      <c r="D14" s="214" t="s">
        <v>211</v>
      </c>
      <c r="E14" s="28"/>
      <c r="F14" s="29">
        <v>690134</v>
      </c>
      <c r="G14" s="45">
        <v>317</v>
      </c>
      <c r="H14" s="31">
        <v>0</v>
      </c>
      <c r="I14" s="46">
        <v>800</v>
      </c>
      <c r="J14" s="32">
        <v>800</v>
      </c>
      <c r="K14" s="33">
        <f t="shared" si="0"/>
        <v>25.36</v>
      </c>
      <c r="L14" s="47">
        <f t="shared" si="0"/>
        <v>0</v>
      </c>
      <c r="M14" s="31">
        <v>651</v>
      </c>
      <c r="N14" s="31">
        <v>110</v>
      </c>
      <c r="O14" s="31">
        <v>110</v>
      </c>
      <c r="P14" s="31">
        <v>110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249" t="s">
        <v>55</v>
      </c>
      <c r="B15" s="246" t="s">
        <v>51</v>
      </c>
      <c r="C15" s="253" t="s">
        <v>233</v>
      </c>
      <c r="D15" s="256" t="s">
        <v>47</v>
      </c>
      <c r="E15" s="28"/>
      <c r="F15" s="29">
        <v>690119</v>
      </c>
      <c r="G15" s="55">
        <v>0</v>
      </c>
      <c r="H15" s="31">
        <v>0</v>
      </c>
      <c r="I15" s="46">
        <v>800</v>
      </c>
      <c r="J15" s="32">
        <v>800</v>
      </c>
      <c r="K15" s="33">
        <f t="shared" si="0"/>
        <v>0</v>
      </c>
      <c r="L15" s="47">
        <f t="shared" si="0"/>
        <v>0</v>
      </c>
      <c r="M15" s="31">
        <v>0</v>
      </c>
      <c r="N15" s="31">
        <v>0</v>
      </c>
      <c r="O15" s="31">
        <v>0</v>
      </c>
      <c r="P15" s="31">
        <v>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249" t="s">
        <v>56</v>
      </c>
      <c r="B16" s="246" t="s">
        <v>51</v>
      </c>
      <c r="C16" s="253" t="s">
        <v>233</v>
      </c>
      <c r="D16" s="256" t="s">
        <v>57</v>
      </c>
      <c r="E16" s="28"/>
      <c r="F16" s="29">
        <v>690106</v>
      </c>
      <c r="G16" s="55">
        <v>937</v>
      </c>
      <c r="H16" s="31">
        <v>961</v>
      </c>
      <c r="I16" s="46">
        <v>800</v>
      </c>
      <c r="J16" s="32">
        <v>800</v>
      </c>
      <c r="K16" s="33">
        <f t="shared" si="0"/>
        <v>74.959999999999994</v>
      </c>
      <c r="L16" s="47">
        <f t="shared" si="0"/>
        <v>76.88</v>
      </c>
      <c r="M16" s="31">
        <v>1137</v>
      </c>
      <c r="N16" s="31">
        <v>2074</v>
      </c>
      <c r="O16" s="31">
        <v>2074</v>
      </c>
      <c r="P16" s="31">
        <v>535</v>
      </c>
      <c r="Q16" s="35"/>
      <c r="R16" s="48"/>
      <c r="S16" s="36"/>
      <c r="T16" s="36"/>
      <c r="U16" s="37"/>
      <c r="V16" s="38"/>
      <c r="W16" s="39"/>
      <c r="X16" s="39"/>
      <c r="Y16" s="40"/>
      <c r="Z16" s="52"/>
      <c r="AA16" s="41"/>
      <c r="AB16" s="42"/>
      <c r="AC16" s="43"/>
      <c r="AD16" s="43"/>
    </row>
    <row r="17" spans="1:35" ht="24" customHeight="1" x14ac:dyDescent="0.4">
      <c r="A17" s="249" t="s">
        <v>58</v>
      </c>
      <c r="B17" s="246" t="s">
        <v>51</v>
      </c>
      <c r="C17" s="253" t="s">
        <v>233</v>
      </c>
      <c r="D17" s="256" t="s">
        <v>61</v>
      </c>
      <c r="E17" s="28"/>
      <c r="F17" s="29">
        <v>690106</v>
      </c>
      <c r="G17" s="55">
        <v>1042</v>
      </c>
      <c r="H17" s="31">
        <v>617</v>
      </c>
      <c r="I17" s="46">
        <v>800</v>
      </c>
      <c r="J17" s="32">
        <v>800</v>
      </c>
      <c r="K17" s="33">
        <f t="shared" si="0"/>
        <v>83.36</v>
      </c>
      <c r="L17" s="47">
        <f t="shared" si="0"/>
        <v>49.36</v>
      </c>
      <c r="M17" s="31">
        <v>213</v>
      </c>
      <c r="N17" s="31">
        <v>1255</v>
      </c>
      <c r="O17" s="31">
        <v>1255</v>
      </c>
      <c r="P17" s="31">
        <v>1872</v>
      </c>
      <c r="Q17" s="35"/>
      <c r="R17" s="48"/>
      <c r="S17" s="36"/>
      <c r="T17" s="36"/>
      <c r="U17" s="37"/>
      <c r="V17" s="38"/>
      <c r="W17" s="39"/>
      <c r="X17" s="39"/>
      <c r="Y17" s="40"/>
      <c r="Z17" s="40"/>
      <c r="AA17" s="41"/>
      <c r="AB17" s="42"/>
      <c r="AC17" s="43"/>
      <c r="AD17" s="43"/>
    </row>
    <row r="18" spans="1:35" ht="24" customHeight="1" x14ac:dyDescent="0.4">
      <c r="A18" s="249" t="s">
        <v>60</v>
      </c>
      <c r="B18" s="246" t="s">
        <v>51</v>
      </c>
      <c r="C18" s="253" t="s">
        <v>233</v>
      </c>
      <c r="D18" s="256" t="s">
        <v>61</v>
      </c>
      <c r="E18" s="28">
        <v>69010510</v>
      </c>
      <c r="F18" s="29">
        <v>690106</v>
      </c>
      <c r="G18" s="55">
        <v>774</v>
      </c>
      <c r="H18" s="31">
        <v>937</v>
      </c>
      <c r="I18" s="46">
        <v>800</v>
      </c>
      <c r="J18" s="32">
        <v>800</v>
      </c>
      <c r="K18" s="33">
        <f t="shared" si="0"/>
        <v>61.92</v>
      </c>
      <c r="L18" s="47">
        <f t="shared" si="0"/>
        <v>74.959999999999994</v>
      </c>
      <c r="M18" s="31">
        <v>562</v>
      </c>
      <c r="N18" s="31">
        <v>1336</v>
      </c>
      <c r="O18" s="31">
        <v>1336</v>
      </c>
      <c r="P18" s="31">
        <v>273</v>
      </c>
      <c r="Q18" s="35">
        <v>2000</v>
      </c>
      <c r="R18" s="48"/>
      <c r="S18" s="36">
        <v>154.69999999999999</v>
      </c>
      <c r="T18" s="36"/>
      <c r="U18" s="37"/>
      <c r="V18" s="38"/>
      <c r="W18" s="39">
        <f>S18*1000/39.37/Q18*38.5</f>
        <v>75.640716281432574</v>
      </c>
      <c r="X18" s="39"/>
      <c r="Y18" s="40">
        <f>(AC18+W18)/2</f>
        <v>76.420358140716289</v>
      </c>
      <c r="Z18" s="40"/>
      <c r="AA18" s="41"/>
      <c r="AB18" s="42"/>
      <c r="AC18" s="43">
        <v>77.2</v>
      </c>
      <c r="AD18" s="43"/>
    </row>
    <row r="19" spans="1:35" ht="24" customHeight="1" x14ac:dyDescent="0.4">
      <c r="A19" s="249" t="s">
        <v>62</v>
      </c>
      <c r="B19" s="246" t="s">
        <v>35</v>
      </c>
      <c r="C19" s="253" t="s">
        <v>34</v>
      </c>
      <c r="D19" s="256" t="s">
        <v>61</v>
      </c>
      <c r="E19" s="28"/>
      <c r="F19" s="29">
        <v>690112</v>
      </c>
      <c r="G19" s="45">
        <v>1105</v>
      </c>
      <c r="H19" s="31">
        <v>978</v>
      </c>
      <c r="I19" s="46">
        <v>750</v>
      </c>
      <c r="J19" s="32">
        <v>750</v>
      </c>
      <c r="K19" s="33">
        <f t="shared" si="0"/>
        <v>88.4</v>
      </c>
      <c r="L19" s="47">
        <f t="shared" si="0"/>
        <v>78.239999999999995</v>
      </c>
      <c r="M19" s="31">
        <v>446</v>
      </c>
      <c r="N19" s="31">
        <v>1551</v>
      </c>
      <c r="O19" s="31">
        <v>1551</v>
      </c>
      <c r="P19" s="31">
        <v>529</v>
      </c>
      <c r="Q19" s="35"/>
      <c r="R19" s="48"/>
      <c r="S19" s="36"/>
      <c r="T19" s="36"/>
      <c r="U19" s="37"/>
      <c r="V19" s="38"/>
      <c r="W19" s="39"/>
      <c r="X19" s="39"/>
      <c r="Y19" s="40"/>
      <c r="Z19" s="40"/>
      <c r="AA19" s="41"/>
      <c r="AB19" s="42"/>
      <c r="AC19" s="43"/>
      <c r="AD19" s="43"/>
      <c r="AF19" s="54"/>
    </row>
    <row r="20" spans="1:35" ht="24" customHeight="1" x14ac:dyDescent="0.4">
      <c r="A20" s="249" t="s">
        <v>66</v>
      </c>
      <c r="B20" s="246" t="s">
        <v>35</v>
      </c>
      <c r="C20" s="253" t="s">
        <v>34</v>
      </c>
      <c r="D20" s="256" t="s">
        <v>47</v>
      </c>
      <c r="E20" s="28"/>
      <c r="F20" s="29">
        <v>690119</v>
      </c>
      <c r="G20" s="45">
        <v>811</v>
      </c>
      <c r="H20" s="31">
        <v>874</v>
      </c>
      <c r="I20" s="46">
        <v>750</v>
      </c>
      <c r="J20" s="32">
        <v>750</v>
      </c>
      <c r="K20" s="33">
        <f t="shared" si="0"/>
        <v>64.88</v>
      </c>
      <c r="L20" s="47">
        <f t="shared" si="0"/>
        <v>69.92</v>
      </c>
      <c r="M20" s="31">
        <v>1130</v>
      </c>
      <c r="N20" s="31">
        <v>1941</v>
      </c>
      <c r="O20" s="31">
        <v>1941</v>
      </c>
      <c r="P20" s="31">
        <v>315</v>
      </c>
      <c r="Q20" s="35"/>
      <c r="R20" s="48"/>
      <c r="S20" s="36"/>
      <c r="T20" s="36"/>
      <c r="U20" s="37"/>
      <c r="V20" s="38"/>
      <c r="W20" s="39"/>
      <c r="X20" s="39"/>
      <c r="Y20" s="40"/>
      <c r="Z20" s="40"/>
      <c r="AA20" s="41"/>
      <c r="AB20" s="42"/>
      <c r="AC20" s="43"/>
      <c r="AD20" s="43"/>
    </row>
    <row r="21" spans="1:35" ht="24" customHeight="1" thickBot="1" x14ac:dyDescent="0.45">
      <c r="A21" s="249" t="s">
        <v>67</v>
      </c>
      <c r="B21" s="246" t="s">
        <v>35</v>
      </c>
      <c r="C21" s="253" t="s">
        <v>34</v>
      </c>
      <c r="D21" s="256" t="s">
        <v>47</v>
      </c>
      <c r="E21" s="28">
        <v>69010505</v>
      </c>
      <c r="F21" s="29">
        <v>690119</v>
      </c>
      <c r="G21" s="45">
        <v>900</v>
      </c>
      <c r="H21" s="31">
        <v>1000</v>
      </c>
      <c r="I21" s="46">
        <v>750</v>
      </c>
      <c r="J21" s="32">
        <v>750</v>
      </c>
      <c r="K21" s="33">
        <f t="shared" si="0"/>
        <v>72</v>
      </c>
      <c r="L21" s="47">
        <f t="shared" si="0"/>
        <v>80</v>
      </c>
      <c r="M21" s="31">
        <v>218</v>
      </c>
      <c r="N21" s="31">
        <v>1118</v>
      </c>
      <c r="O21" s="31">
        <v>1118</v>
      </c>
      <c r="P21" s="31">
        <v>2118</v>
      </c>
      <c r="Q21" s="35">
        <v>2490</v>
      </c>
      <c r="R21" s="48"/>
      <c r="S21" s="36">
        <v>204</v>
      </c>
      <c r="T21" s="36"/>
      <c r="U21" s="37">
        <v>25</v>
      </c>
      <c r="V21" s="38"/>
      <c r="W21" s="39">
        <f>S21*1000/39.37/Q21*38.5</f>
        <v>80.117268668272288</v>
      </c>
      <c r="X21" s="39"/>
      <c r="Y21" s="40">
        <f>(AC21+W21)/2</f>
        <v>80.243634334136146</v>
      </c>
      <c r="Z21" s="40"/>
      <c r="AA21" s="41"/>
      <c r="AB21" s="42"/>
      <c r="AC21" s="43">
        <v>80.37</v>
      </c>
      <c r="AD21" s="43"/>
    </row>
    <row r="22" spans="1:35" ht="26.25" customHeight="1" x14ac:dyDescent="0.4">
      <c r="A22" s="249" t="s">
        <v>68</v>
      </c>
      <c r="B22" s="246" t="s">
        <v>42</v>
      </c>
      <c r="C22" s="253" t="s">
        <v>41</v>
      </c>
      <c r="D22" s="256" t="s">
        <v>61</v>
      </c>
      <c r="E22" s="28">
        <v>69010513</v>
      </c>
      <c r="F22" s="29">
        <v>690112</v>
      </c>
      <c r="G22" s="45">
        <v>758</v>
      </c>
      <c r="H22" s="31">
        <v>1230</v>
      </c>
      <c r="I22" s="46">
        <v>750</v>
      </c>
      <c r="J22" s="32">
        <v>750</v>
      </c>
      <c r="K22" s="33">
        <f t="shared" si="0"/>
        <v>60.64</v>
      </c>
      <c r="L22" s="47">
        <f t="shared" si="0"/>
        <v>98.4</v>
      </c>
      <c r="M22" s="240">
        <v>303</v>
      </c>
      <c r="N22" s="31">
        <v>1061</v>
      </c>
      <c r="O22" s="31">
        <v>1061</v>
      </c>
      <c r="P22" s="31">
        <v>291</v>
      </c>
      <c r="Q22" s="35">
        <v>2000</v>
      </c>
      <c r="R22" s="48"/>
      <c r="S22" s="36">
        <v>155.30000000000001</v>
      </c>
      <c r="T22" s="36"/>
      <c r="U22" s="37"/>
      <c r="V22" s="38"/>
      <c r="W22" s="39">
        <f>S22*1000/39.37/Q22*38.5</f>
        <v>75.93408686817375</v>
      </c>
      <c r="X22" s="39"/>
      <c r="Y22" s="40">
        <f>(AC22+W22)/2</f>
        <v>76.822043434086879</v>
      </c>
      <c r="Z22" s="40"/>
      <c r="AA22" s="41"/>
      <c r="AB22" s="42"/>
      <c r="AC22" s="43">
        <v>77.709999999999994</v>
      </c>
      <c r="AD22" s="43"/>
    </row>
    <row r="23" spans="1:35" ht="24" customHeight="1" x14ac:dyDescent="0.4">
      <c r="A23" s="249" t="s">
        <v>70</v>
      </c>
      <c r="B23" s="246" t="s">
        <v>42</v>
      </c>
      <c r="C23" s="253" t="s">
        <v>41</v>
      </c>
      <c r="D23" s="256" t="s">
        <v>71</v>
      </c>
      <c r="E23" s="28">
        <v>69010516</v>
      </c>
      <c r="F23" s="29">
        <v>690104</v>
      </c>
      <c r="G23" s="45">
        <v>680</v>
      </c>
      <c r="H23" s="31">
        <v>940</v>
      </c>
      <c r="I23" s="46">
        <v>750</v>
      </c>
      <c r="J23" s="32">
        <v>750</v>
      </c>
      <c r="K23" s="33">
        <f t="shared" si="0"/>
        <v>54.4</v>
      </c>
      <c r="L23" s="47">
        <f t="shared" si="0"/>
        <v>75.2</v>
      </c>
      <c r="M23" s="31">
        <v>650</v>
      </c>
      <c r="N23" s="31">
        <v>1330</v>
      </c>
      <c r="O23" s="31">
        <v>1330</v>
      </c>
      <c r="P23" s="31">
        <v>2270</v>
      </c>
      <c r="Q23" s="35">
        <v>1470</v>
      </c>
      <c r="R23" s="48"/>
      <c r="S23" s="36">
        <v>101.5</v>
      </c>
      <c r="T23" s="36"/>
      <c r="U23" s="37">
        <v>15</v>
      </c>
      <c r="V23" s="38"/>
      <c r="W23" s="39">
        <f>S23*1000/39.37/Q23*31.5</f>
        <v>55.245110490220988</v>
      </c>
      <c r="X23" s="39"/>
      <c r="Y23" s="40">
        <f>(AC23+W23)/2</f>
        <v>56.157555245110494</v>
      </c>
      <c r="Z23" s="40"/>
      <c r="AA23" s="41"/>
      <c r="AB23" s="42"/>
      <c r="AC23" s="43">
        <v>57.07</v>
      </c>
      <c r="AD23" s="43"/>
    </row>
    <row r="24" spans="1:35" ht="24" customHeight="1" x14ac:dyDescent="0.5">
      <c r="A24" s="249" t="s">
        <v>72</v>
      </c>
      <c r="B24" s="246" t="s">
        <v>42</v>
      </c>
      <c r="C24" s="253" t="s">
        <v>41</v>
      </c>
      <c r="D24" s="214" t="s">
        <v>211</v>
      </c>
      <c r="E24" s="28"/>
      <c r="F24" s="29">
        <v>690126</v>
      </c>
      <c r="G24" s="45">
        <v>599</v>
      </c>
      <c r="H24" s="31">
        <v>940</v>
      </c>
      <c r="I24" s="46">
        <v>750</v>
      </c>
      <c r="J24" s="32">
        <v>750</v>
      </c>
      <c r="K24" s="33">
        <f t="shared" si="0"/>
        <v>47.92</v>
      </c>
      <c r="L24" s="47">
        <f t="shared" si="0"/>
        <v>75.2</v>
      </c>
      <c r="M24" s="31">
        <v>1148</v>
      </c>
      <c r="N24" s="31">
        <v>312</v>
      </c>
      <c r="O24" s="31">
        <v>312</v>
      </c>
      <c r="P24" s="31">
        <v>1252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249" t="s">
        <v>73</v>
      </c>
      <c r="B25" s="246" t="s">
        <v>42</v>
      </c>
      <c r="C25" s="253" t="s">
        <v>41</v>
      </c>
      <c r="D25" s="256" t="s">
        <v>36</v>
      </c>
      <c r="E25" s="28"/>
      <c r="F25" s="29">
        <v>690126</v>
      </c>
      <c r="G25" s="45">
        <v>609</v>
      </c>
      <c r="H25" s="31">
        <v>814</v>
      </c>
      <c r="I25" s="46">
        <v>750</v>
      </c>
      <c r="J25" s="32">
        <v>750</v>
      </c>
      <c r="K25" s="33">
        <f t="shared" si="0"/>
        <v>48.72</v>
      </c>
      <c r="L25" s="47">
        <f t="shared" si="0"/>
        <v>65.12</v>
      </c>
      <c r="M25" s="241">
        <v>1158</v>
      </c>
      <c r="N25" s="31">
        <v>1767</v>
      </c>
      <c r="O25" s="31">
        <v>1767</v>
      </c>
      <c r="P25" s="31">
        <v>681</v>
      </c>
      <c r="Q25" s="35"/>
      <c r="R25" s="48"/>
      <c r="S25" s="36"/>
      <c r="T25" s="36"/>
      <c r="U25" s="37"/>
      <c r="V25" s="38"/>
      <c r="W25" s="39"/>
      <c r="X25" s="39"/>
      <c r="Y25" s="40"/>
      <c r="Z25" s="40"/>
      <c r="AA25" s="41"/>
      <c r="AB25" s="42"/>
      <c r="AC25" s="239"/>
      <c r="AD25" s="43"/>
      <c r="AF25" s="54"/>
    </row>
    <row r="26" spans="1:35" ht="22.5" customHeight="1" x14ac:dyDescent="0.4">
      <c r="A26" s="249" t="s">
        <v>74</v>
      </c>
      <c r="B26" s="246" t="s">
        <v>76</v>
      </c>
      <c r="C26" s="253" t="s">
        <v>75</v>
      </c>
      <c r="D26" s="256" t="s">
        <v>43</v>
      </c>
      <c r="E26" s="28">
        <v>69010506</v>
      </c>
      <c r="F26" s="29">
        <v>690119</v>
      </c>
      <c r="G26" s="55">
        <v>1070</v>
      </c>
      <c r="H26" s="31">
        <v>813</v>
      </c>
      <c r="I26" s="46">
        <v>800</v>
      </c>
      <c r="J26" s="32">
        <v>800</v>
      </c>
      <c r="K26" s="33">
        <f t="shared" si="0"/>
        <v>85.6</v>
      </c>
      <c r="L26" s="47">
        <f t="shared" si="0"/>
        <v>65.040000000000006</v>
      </c>
      <c r="M26" s="242">
        <v>1838</v>
      </c>
      <c r="N26" s="31">
        <v>948</v>
      </c>
      <c r="O26" s="31">
        <v>948</v>
      </c>
      <c r="P26" s="31">
        <v>1761</v>
      </c>
      <c r="Q26" s="35">
        <v>1960</v>
      </c>
      <c r="R26" s="35"/>
      <c r="S26" s="36">
        <v>159.30000000000001</v>
      </c>
      <c r="T26" s="36"/>
      <c r="U26" s="37">
        <v>20</v>
      </c>
      <c r="V26" s="38"/>
      <c r="W26" s="39">
        <f>S26*1000/39.37/Q26*38.5</f>
        <v>79.47948038753222</v>
      </c>
      <c r="X26" s="39"/>
      <c r="Y26" s="40">
        <f>(AC26+W26)/2</f>
        <v>80.124740193766115</v>
      </c>
      <c r="Z26" s="40"/>
      <c r="AA26" s="41"/>
      <c r="AB26" s="42"/>
      <c r="AC26" s="43">
        <v>80.77</v>
      </c>
      <c r="AD26" s="43"/>
    </row>
    <row r="27" spans="1:35" ht="22.5" customHeight="1" x14ac:dyDescent="0.4">
      <c r="A27" s="249" t="s">
        <v>77</v>
      </c>
      <c r="B27" s="246" t="s">
        <v>76</v>
      </c>
      <c r="C27" s="253" t="s">
        <v>75</v>
      </c>
      <c r="D27" s="256" t="s">
        <v>61</v>
      </c>
      <c r="E27" s="28"/>
      <c r="F27" s="29">
        <v>690112</v>
      </c>
      <c r="G27" s="55">
        <v>1064</v>
      </c>
      <c r="H27" s="31">
        <v>812</v>
      </c>
      <c r="I27" s="46">
        <v>800</v>
      </c>
      <c r="J27" s="32">
        <v>800</v>
      </c>
      <c r="K27" s="33">
        <f t="shared" si="0"/>
        <v>85.12</v>
      </c>
      <c r="L27" s="47">
        <f t="shared" si="0"/>
        <v>64.959999999999994</v>
      </c>
      <c r="M27" s="31">
        <v>2</v>
      </c>
      <c r="N27" s="31">
        <v>1066</v>
      </c>
      <c r="O27" s="31">
        <v>1066</v>
      </c>
      <c r="P27" s="31">
        <v>1878</v>
      </c>
      <c r="Q27" s="35"/>
      <c r="R27" s="56"/>
      <c r="S27" s="57"/>
      <c r="T27" s="57"/>
      <c r="U27" s="58"/>
      <c r="V27" s="59"/>
      <c r="W27" s="39"/>
      <c r="X27" s="39"/>
      <c r="Y27" s="40"/>
      <c r="Z27" s="40"/>
      <c r="AA27" s="41"/>
      <c r="AB27" s="42"/>
      <c r="AC27" s="43"/>
      <c r="AD27" s="43"/>
    </row>
    <row r="28" spans="1:35" ht="24" customHeight="1" x14ac:dyDescent="0.4">
      <c r="A28" s="249" t="s">
        <v>78</v>
      </c>
      <c r="B28" s="246" t="s">
        <v>76</v>
      </c>
      <c r="C28" s="253" t="s">
        <v>75</v>
      </c>
      <c r="D28" s="256" t="s">
        <v>61</v>
      </c>
      <c r="E28" s="28"/>
      <c r="F28" s="29">
        <v>690112</v>
      </c>
      <c r="G28" s="45">
        <v>930</v>
      </c>
      <c r="H28" s="31">
        <v>706</v>
      </c>
      <c r="I28" s="46">
        <v>800</v>
      </c>
      <c r="J28" s="32">
        <v>800</v>
      </c>
      <c r="K28" s="33">
        <f t="shared" si="0"/>
        <v>74.400000000000006</v>
      </c>
      <c r="L28" s="47">
        <f t="shared" si="0"/>
        <v>56.48</v>
      </c>
      <c r="M28" s="31">
        <v>783</v>
      </c>
      <c r="N28" s="31">
        <v>1713</v>
      </c>
      <c r="O28" s="31">
        <v>1713</v>
      </c>
      <c r="P28" s="31">
        <v>419</v>
      </c>
      <c r="Q28" s="35"/>
      <c r="R28" s="48"/>
      <c r="S28" s="36"/>
      <c r="T28" s="36"/>
      <c r="U28" s="37"/>
      <c r="V28" s="38"/>
      <c r="W28" s="39"/>
      <c r="X28" s="39"/>
      <c r="Y28" s="40"/>
      <c r="Z28" s="40"/>
      <c r="AA28" s="41"/>
      <c r="AB28" s="42"/>
      <c r="AC28" s="43"/>
      <c r="AD28" s="43"/>
      <c r="AF28" s="54"/>
    </row>
    <row r="29" spans="1:35" ht="23.25" customHeight="1" x14ac:dyDescent="0.4">
      <c r="A29" s="249" t="s">
        <v>79</v>
      </c>
      <c r="B29" s="246" t="s">
        <v>76</v>
      </c>
      <c r="C29" s="253" t="s">
        <v>75</v>
      </c>
      <c r="D29" s="256" t="s">
        <v>43</v>
      </c>
      <c r="E29" s="28">
        <v>69010504</v>
      </c>
      <c r="F29" s="29">
        <v>690119</v>
      </c>
      <c r="G29" s="45">
        <v>1171</v>
      </c>
      <c r="H29" s="31">
        <v>734</v>
      </c>
      <c r="I29" s="46">
        <v>800</v>
      </c>
      <c r="J29" s="32">
        <v>800</v>
      </c>
      <c r="K29" s="33">
        <f t="shared" si="0"/>
        <v>93.68</v>
      </c>
      <c r="L29" s="47">
        <f t="shared" si="0"/>
        <v>58.72</v>
      </c>
      <c r="M29" s="31">
        <v>48</v>
      </c>
      <c r="N29" s="31">
        <v>1219</v>
      </c>
      <c r="O29" s="31">
        <v>1219</v>
      </c>
      <c r="P29" s="31">
        <v>1953</v>
      </c>
      <c r="Q29" s="35">
        <v>2500</v>
      </c>
      <c r="R29" s="48"/>
      <c r="S29" s="36">
        <v>201.8</v>
      </c>
      <c r="T29" s="36"/>
      <c r="U29" s="37">
        <v>25</v>
      </c>
      <c r="V29" s="38"/>
      <c r="W29" s="39">
        <f>S29*1000/39.37/Q29*38.5</f>
        <v>78.936245872491753</v>
      </c>
      <c r="X29" s="39"/>
      <c r="Y29" s="40">
        <f>(AC29+W29)/2</f>
        <v>79.663122936245884</v>
      </c>
      <c r="Z29" s="40"/>
      <c r="AA29" s="41"/>
      <c r="AB29" s="42"/>
      <c r="AC29" s="43">
        <v>80.39</v>
      </c>
      <c r="AD29" s="43"/>
    </row>
    <row r="30" spans="1:35" ht="24" customHeight="1" x14ac:dyDescent="0.4">
      <c r="A30" s="249" t="s">
        <v>80</v>
      </c>
      <c r="B30" s="246"/>
      <c r="C30" s="253" t="s">
        <v>75</v>
      </c>
      <c r="D30" s="256" t="s">
        <v>43</v>
      </c>
      <c r="E30" s="28">
        <v>69010534</v>
      </c>
      <c r="F30" s="29">
        <v>690108</v>
      </c>
      <c r="G30" s="45">
        <v>1076</v>
      </c>
      <c r="H30" s="31">
        <v>741</v>
      </c>
      <c r="I30" s="46">
        <v>800</v>
      </c>
      <c r="J30" s="32">
        <v>800</v>
      </c>
      <c r="K30" s="33">
        <f t="shared" si="0"/>
        <v>86.08</v>
      </c>
      <c r="L30" s="47">
        <f t="shared" si="0"/>
        <v>59.28</v>
      </c>
      <c r="M30" s="31">
        <v>2134</v>
      </c>
      <c r="N30" s="31">
        <v>710</v>
      </c>
      <c r="O30" s="31">
        <v>710</v>
      </c>
      <c r="P30" s="31">
        <v>1451</v>
      </c>
      <c r="Q30" s="35"/>
      <c r="R30" s="35">
        <v>2500</v>
      </c>
      <c r="S30" s="36"/>
      <c r="T30" s="36">
        <v>202</v>
      </c>
      <c r="U30" s="37"/>
      <c r="V30" s="38">
        <v>25</v>
      </c>
      <c r="W30" s="39"/>
      <c r="X30" s="39">
        <f>T30*1000/39.37/R30*38.5</f>
        <v>79.014478028956063</v>
      </c>
      <c r="Y30" s="40"/>
      <c r="Z30" s="40">
        <v>79.8</v>
      </c>
      <c r="AA30" s="41"/>
      <c r="AB30" s="42"/>
      <c r="AC30" s="43"/>
      <c r="AD30" s="43">
        <v>80.58</v>
      </c>
    </row>
    <row r="31" spans="1:35" ht="24" customHeight="1" x14ac:dyDescent="0.4">
      <c r="A31" s="250" t="s">
        <v>81</v>
      </c>
      <c r="B31" s="247"/>
      <c r="C31" s="253"/>
      <c r="D31" s="256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1">
        <v>0</v>
      </c>
      <c r="N31" s="31">
        <v>0</v>
      </c>
      <c r="O31" s="31">
        <v>0</v>
      </c>
      <c r="P31" s="31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250" t="s">
        <v>82</v>
      </c>
      <c r="B32" s="247"/>
      <c r="C32" s="253"/>
      <c r="D32" s="256" t="s">
        <v>47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1">
        <v>570</v>
      </c>
      <c r="N32" s="31">
        <v>570</v>
      </c>
      <c r="O32" s="31">
        <v>570</v>
      </c>
      <c r="P32" s="31">
        <v>570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250" t="s">
        <v>83</v>
      </c>
      <c r="B33" s="247" t="s">
        <v>85</v>
      </c>
      <c r="C33" s="253" t="s">
        <v>234</v>
      </c>
      <c r="D33" s="256" t="s">
        <v>47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1">
        <v>700</v>
      </c>
      <c r="N33" s="31">
        <v>700</v>
      </c>
      <c r="O33" s="31">
        <v>700</v>
      </c>
      <c r="P33" s="31">
        <v>700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250" t="s">
        <v>84</v>
      </c>
      <c r="B34" s="246" t="s">
        <v>85</v>
      </c>
      <c r="C34" s="253" t="s">
        <v>234</v>
      </c>
      <c r="D34" s="256" t="s">
        <v>47</v>
      </c>
      <c r="E34" s="28">
        <v>69010531</v>
      </c>
      <c r="F34" s="29">
        <v>690119</v>
      </c>
      <c r="G34" s="60">
        <v>748</v>
      </c>
      <c r="H34" s="31">
        <v>763</v>
      </c>
      <c r="I34" s="46">
        <v>110</v>
      </c>
      <c r="J34" s="32">
        <v>110</v>
      </c>
      <c r="K34" s="33">
        <f t="shared" si="0"/>
        <v>59.84</v>
      </c>
      <c r="L34" s="47">
        <f t="shared" si="0"/>
        <v>61.04</v>
      </c>
      <c r="M34" s="31">
        <v>2147</v>
      </c>
      <c r="N34" s="31">
        <v>395</v>
      </c>
      <c r="O34" s="31">
        <v>395</v>
      </c>
      <c r="P34" s="31">
        <v>1158</v>
      </c>
      <c r="Q34" s="35"/>
      <c r="R34" s="48">
        <v>2508</v>
      </c>
      <c r="S34" s="36"/>
      <c r="T34" s="36">
        <v>211.6</v>
      </c>
      <c r="U34" s="37"/>
      <c r="V34" s="38">
        <v>25</v>
      </c>
      <c r="W34" s="39"/>
      <c r="X34" s="39">
        <f>T34*1000/39.37/R34*38.5</f>
        <v>82.505603607698447</v>
      </c>
      <c r="Y34" s="40"/>
      <c r="Z34" s="40">
        <f>(AD34+X34)/2</f>
        <v>83.642801803849224</v>
      </c>
      <c r="AA34" s="41"/>
      <c r="AB34" s="42"/>
      <c r="AC34" s="43"/>
      <c r="AD34" s="43">
        <v>84.78</v>
      </c>
    </row>
    <row r="35" spans="1:38" ht="24" customHeight="1" x14ac:dyDescent="0.5">
      <c r="A35" s="250" t="s">
        <v>86</v>
      </c>
      <c r="B35" s="246" t="s">
        <v>85</v>
      </c>
      <c r="C35" s="253" t="s">
        <v>234</v>
      </c>
      <c r="D35" s="214" t="s">
        <v>211</v>
      </c>
      <c r="E35" s="28"/>
      <c r="F35" s="29"/>
      <c r="G35" s="45">
        <v>0</v>
      </c>
      <c r="H35" s="31">
        <v>0</v>
      </c>
      <c r="I35" s="46">
        <v>110</v>
      </c>
      <c r="J35" s="32">
        <v>110</v>
      </c>
      <c r="K35" s="33">
        <f t="shared" si="0"/>
        <v>0</v>
      </c>
      <c r="L35" s="47">
        <f t="shared" si="0"/>
        <v>0</v>
      </c>
      <c r="M35" s="31">
        <v>204</v>
      </c>
      <c r="N35" s="31">
        <v>0</v>
      </c>
      <c r="O35" s="31">
        <v>0</v>
      </c>
      <c r="P35" s="31">
        <v>0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250" t="s">
        <v>88</v>
      </c>
      <c r="B36" s="246" t="s">
        <v>90</v>
      </c>
      <c r="C36" s="253" t="s">
        <v>69</v>
      </c>
      <c r="D36" s="256" t="s">
        <v>57</v>
      </c>
      <c r="E36" s="28"/>
      <c r="F36" s="29">
        <v>690106</v>
      </c>
      <c r="G36" s="45">
        <v>724</v>
      </c>
      <c r="H36" s="31">
        <v>0</v>
      </c>
      <c r="I36" s="46">
        <v>115</v>
      </c>
      <c r="J36" s="32">
        <v>115</v>
      </c>
      <c r="K36" s="33">
        <f t="shared" si="0"/>
        <v>57.92</v>
      </c>
      <c r="L36" s="47">
        <f t="shared" si="0"/>
        <v>0</v>
      </c>
      <c r="M36" s="31">
        <v>1548</v>
      </c>
      <c r="N36" s="31">
        <v>2272</v>
      </c>
      <c r="O36" s="31">
        <v>2272</v>
      </c>
      <c r="P36" s="31">
        <v>2272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250" t="s">
        <v>91</v>
      </c>
      <c r="B37" s="246" t="s">
        <v>90</v>
      </c>
      <c r="C37" s="253" t="s">
        <v>69</v>
      </c>
      <c r="D37" s="256" t="s">
        <v>57</v>
      </c>
      <c r="E37" s="28"/>
      <c r="F37" s="29">
        <v>690106</v>
      </c>
      <c r="G37" s="45">
        <v>579</v>
      </c>
      <c r="H37" s="31">
        <v>0</v>
      </c>
      <c r="I37" s="46">
        <v>115</v>
      </c>
      <c r="J37" s="32">
        <v>115</v>
      </c>
      <c r="K37" s="33">
        <f t="shared" si="0"/>
        <v>46.32</v>
      </c>
      <c r="L37" s="47">
        <f t="shared" si="0"/>
        <v>0</v>
      </c>
      <c r="M37" s="31">
        <v>174</v>
      </c>
      <c r="N37" s="31">
        <v>753</v>
      </c>
      <c r="O37" s="31">
        <v>753</v>
      </c>
      <c r="P37" s="31">
        <v>753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250" t="s">
        <v>92</v>
      </c>
      <c r="B38" s="246" t="s">
        <v>97</v>
      </c>
      <c r="C38" s="253" t="s">
        <v>69</v>
      </c>
      <c r="D38" s="256" t="s">
        <v>57</v>
      </c>
      <c r="E38" s="28"/>
      <c r="F38" s="29">
        <v>690106</v>
      </c>
      <c r="G38" s="45">
        <v>570</v>
      </c>
      <c r="H38" s="31">
        <v>0</v>
      </c>
      <c r="I38" s="46">
        <v>115</v>
      </c>
      <c r="J38" s="32">
        <v>115</v>
      </c>
      <c r="K38" s="33">
        <f t="shared" si="0"/>
        <v>45.6</v>
      </c>
      <c r="L38" s="47">
        <f t="shared" si="0"/>
        <v>0</v>
      </c>
      <c r="M38" s="31">
        <v>1163</v>
      </c>
      <c r="N38" s="31">
        <v>1733</v>
      </c>
      <c r="O38" s="31">
        <v>1733</v>
      </c>
      <c r="P38" s="31">
        <v>1733</v>
      </c>
      <c r="Q38" s="35"/>
      <c r="R38" s="67"/>
      <c r="S38" s="3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250" t="s">
        <v>93</v>
      </c>
      <c r="B39" s="246" t="s">
        <v>97</v>
      </c>
      <c r="C39" s="253" t="s">
        <v>69</v>
      </c>
      <c r="D39" s="256" t="s">
        <v>94</v>
      </c>
      <c r="E39" s="28">
        <v>69010526</v>
      </c>
      <c r="F39" s="29">
        <v>690107</v>
      </c>
      <c r="G39" s="45">
        <v>744</v>
      </c>
      <c r="H39" s="31">
        <v>0</v>
      </c>
      <c r="I39" s="63">
        <v>115</v>
      </c>
      <c r="J39" s="64">
        <v>115</v>
      </c>
      <c r="K39" s="65">
        <f t="shared" ref="K39:L55" si="1">G39*8/100</f>
        <v>59.52</v>
      </c>
      <c r="L39" s="68">
        <f t="shared" si="1"/>
        <v>0</v>
      </c>
      <c r="M39" s="31">
        <v>1980</v>
      </c>
      <c r="N39" s="31">
        <v>174</v>
      </c>
      <c r="O39" s="31">
        <v>174</v>
      </c>
      <c r="P39" s="31">
        <v>174</v>
      </c>
      <c r="Q39" s="35"/>
      <c r="R39" s="67">
        <v>2195</v>
      </c>
      <c r="S39" s="36"/>
      <c r="T39" s="36">
        <v>153.9</v>
      </c>
      <c r="U39" s="37"/>
      <c r="V39" s="37">
        <v>20</v>
      </c>
      <c r="W39" s="39"/>
      <c r="X39" s="39">
        <f>T39*1000/39.37/R39*38.5</f>
        <v>68.564515261148969</v>
      </c>
      <c r="Y39" s="40"/>
      <c r="Z39" s="40">
        <f>(AD39+X39)/2</f>
        <v>69.847257630574489</v>
      </c>
      <c r="AA39" s="41"/>
      <c r="AB39" s="42"/>
      <c r="AC39" s="43"/>
      <c r="AD39" s="43">
        <v>71.13</v>
      </c>
    </row>
    <row r="40" spans="1:38" ht="24" customHeight="1" x14ac:dyDescent="0.4">
      <c r="A40" s="250" t="s">
        <v>95</v>
      </c>
      <c r="B40" s="246" t="s">
        <v>97</v>
      </c>
      <c r="C40" s="253" t="s">
        <v>69</v>
      </c>
      <c r="D40" s="256" t="s">
        <v>57</v>
      </c>
      <c r="E40" s="28"/>
      <c r="F40" s="29">
        <v>690106</v>
      </c>
      <c r="G40" s="45">
        <v>0</v>
      </c>
      <c r="H40" s="31">
        <v>0</v>
      </c>
      <c r="I40" s="63">
        <v>115</v>
      </c>
      <c r="J40" s="64">
        <v>115</v>
      </c>
      <c r="K40" s="65">
        <f t="shared" si="1"/>
        <v>0</v>
      </c>
      <c r="L40" s="68">
        <f t="shared" si="1"/>
        <v>0</v>
      </c>
      <c r="M40" s="31">
        <v>914</v>
      </c>
      <c r="N40" s="31">
        <v>914</v>
      </c>
      <c r="O40" s="31">
        <v>914</v>
      </c>
      <c r="P40" s="31">
        <v>247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x14ac:dyDescent="0.4">
      <c r="A41" s="250" t="s">
        <v>96</v>
      </c>
      <c r="B41" s="246" t="s">
        <v>97</v>
      </c>
      <c r="C41" s="253" t="s">
        <v>69</v>
      </c>
      <c r="D41" s="256" t="s">
        <v>47</v>
      </c>
      <c r="E41" s="28">
        <v>69010536</v>
      </c>
      <c r="F41" s="29">
        <v>690119</v>
      </c>
      <c r="G41" s="45">
        <v>780</v>
      </c>
      <c r="H41" s="31">
        <v>600</v>
      </c>
      <c r="I41" s="46">
        <v>120</v>
      </c>
      <c r="J41" s="32">
        <v>120</v>
      </c>
      <c r="K41" s="33">
        <f t="shared" si="1"/>
        <v>62.4</v>
      </c>
      <c r="L41" s="47">
        <f t="shared" si="1"/>
        <v>48</v>
      </c>
      <c r="M41" s="31">
        <v>1381</v>
      </c>
      <c r="N41" s="31">
        <v>138</v>
      </c>
      <c r="O41" s="31">
        <v>138</v>
      </c>
      <c r="P41" s="31">
        <v>738</v>
      </c>
      <c r="Q41" s="35"/>
      <c r="R41" s="48">
        <v>2023</v>
      </c>
      <c r="S41" s="36"/>
      <c r="T41" s="36">
        <v>168.8</v>
      </c>
      <c r="U41" s="37"/>
      <c r="V41" s="38">
        <v>20</v>
      </c>
      <c r="W41" s="39"/>
      <c r="X41" s="39">
        <f>T41*1000/39.37/R41*38.5</f>
        <v>81.596564577212206</v>
      </c>
      <c r="Y41" s="40"/>
      <c r="Z41" s="40">
        <v>83.23</v>
      </c>
      <c r="AA41" s="41"/>
      <c r="AB41" s="42"/>
      <c r="AC41" s="43"/>
      <c r="AD41" s="43">
        <v>84.86</v>
      </c>
    </row>
    <row r="42" spans="1:38" ht="23.25" customHeight="1" x14ac:dyDescent="0.4">
      <c r="A42" s="250" t="s">
        <v>98</v>
      </c>
      <c r="B42" s="246" t="s">
        <v>97</v>
      </c>
      <c r="C42" s="253" t="s">
        <v>69</v>
      </c>
      <c r="D42" s="256" t="s">
        <v>47</v>
      </c>
      <c r="E42" s="28">
        <v>69010537</v>
      </c>
      <c r="F42" s="29">
        <v>690119</v>
      </c>
      <c r="G42" s="45">
        <v>747</v>
      </c>
      <c r="H42" s="31">
        <v>627</v>
      </c>
      <c r="I42" s="46">
        <v>120</v>
      </c>
      <c r="J42" s="32">
        <v>120</v>
      </c>
      <c r="K42" s="33">
        <f t="shared" si="1"/>
        <v>59.76</v>
      </c>
      <c r="L42" s="47">
        <f t="shared" si="1"/>
        <v>50.16</v>
      </c>
      <c r="M42" s="31">
        <v>1578</v>
      </c>
      <c r="N42" s="31">
        <v>115</v>
      </c>
      <c r="O42" s="31">
        <v>115</v>
      </c>
      <c r="P42" s="31">
        <v>742</v>
      </c>
      <c r="Q42" s="35"/>
      <c r="R42" s="48">
        <v>2200</v>
      </c>
      <c r="S42" s="36"/>
      <c r="T42" s="36">
        <v>180.7</v>
      </c>
      <c r="U42" s="37"/>
      <c r="V42" s="38">
        <v>20</v>
      </c>
      <c r="W42" s="39"/>
      <c r="X42" s="39">
        <f>T42*1000/39.37/R42*38.5</f>
        <v>80.321310642621299</v>
      </c>
      <c r="Y42" s="40"/>
      <c r="Z42" s="40">
        <v>82.06</v>
      </c>
      <c r="AA42" s="41"/>
      <c r="AB42" s="42"/>
      <c r="AC42" s="43"/>
      <c r="AD42" s="43">
        <v>83.79</v>
      </c>
    </row>
    <row r="43" spans="1:38" ht="24" customHeight="1" x14ac:dyDescent="0.4">
      <c r="A43" s="250" t="s">
        <v>99</v>
      </c>
      <c r="B43" s="246" t="s">
        <v>97</v>
      </c>
      <c r="C43" s="253" t="s">
        <v>69</v>
      </c>
      <c r="D43" s="256" t="s">
        <v>47</v>
      </c>
      <c r="E43" s="28"/>
      <c r="F43" s="29">
        <v>690119</v>
      </c>
      <c r="G43" s="45">
        <v>732</v>
      </c>
      <c r="H43" s="31">
        <v>648</v>
      </c>
      <c r="I43" s="46">
        <v>120</v>
      </c>
      <c r="J43" s="32">
        <v>120</v>
      </c>
      <c r="K43" s="33">
        <f t="shared" si="1"/>
        <v>58.56</v>
      </c>
      <c r="L43" s="47">
        <f t="shared" si="1"/>
        <v>51.84</v>
      </c>
      <c r="M43" s="31">
        <v>1240</v>
      </c>
      <c r="N43" s="31">
        <v>1972</v>
      </c>
      <c r="O43" s="31">
        <v>1972</v>
      </c>
      <c r="P43" s="31">
        <v>0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customHeight="1" x14ac:dyDescent="0.4">
      <c r="A44" s="250" t="s">
        <v>100</v>
      </c>
      <c r="B44" s="246" t="s">
        <v>97</v>
      </c>
      <c r="C44" s="253" t="s">
        <v>69</v>
      </c>
      <c r="D44" s="256" t="s">
        <v>104</v>
      </c>
      <c r="E44" s="28">
        <v>69010508</v>
      </c>
      <c r="F44" s="29">
        <v>690128</v>
      </c>
      <c r="G44" s="69">
        <v>648</v>
      </c>
      <c r="H44" s="31">
        <v>555</v>
      </c>
      <c r="I44" s="46">
        <v>120</v>
      </c>
      <c r="J44" s="32">
        <v>120</v>
      </c>
      <c r="K44" s="33">
        <f t="shared" si="1"/>
        <v>51.84</v>
      </c>
      <c r="L44" s="47">
        <f t="shared" si="1"/>
        <v>44.4</v>
      </c>
      <c r="M44" s="31">
        <v>385</v>
      </c>
      <c r="N44" s="31">
        <v>1033</v>
      </c>
      <c r="O44" s="31">
        <v>1033</v>
      </c>
      <c r="P44" s="31">
        <v>0</v>
      </c>
      <c r="Q44" s="35">
        <v>1460</v>
      </c>
      <c r="R44" s="48"/>
      <c r="S44" s="36">
        <v>162.80000000000001</v>
      </c>
      <c r="T44" s="36"/>
      <c r="U44" s="37">
        <v>15</v>
      </c>
      <c r="V44" s="38"/>
      <c r="W44" s="39">
        <f>S44*1000/39.37/Q44*42.5</f>
        <v>120.37188457938559</v>
      </c>
      <c r="X44" s="39"/>
      <c r="Y44" s="40">
        <f>(AC44+W44)/2</f>
        <v>122.66594228969279</v>
      </c>
      <c r="Z44" s="40"/>
      <c r="AA44" s="41"/>
      <c r="AB44" s="42"/>
      <c r="AC44" s="43">
        <v>124.96</v>
      </c>
      <c r="AD44" s="43"/>
    </row>
    <row r="45" spans="1:38" ht="23.25" customHeight="1" thickBot="1" x14ac:dyDescent="0.45">
      <c r="A45" s="250" t="s">
        <v>102</v>
      </c>
      <c r="B45" s="246" t="s">
        <v>97</v>
      </c>
      <c r="C45" s="253" t="s">
        <v>69</v>
      </c>
      <c r="D45" s="256" t="s">
        <v>47</v>
      </c>
      <c r="E45" s="28">
        <v>69010538</v>
      </c>
      <c r="F45" s="29">
        <v>690119</v>
      </c>
      <c r="G45" s="45">
        <v>739</v>
      </c>
      <c r="H45" s="31">
        <v>625</v>
      </c>
      <c r="I45" s="63">
        <v>120</v>
      </c>
      <c r="J45" s="64">
        <v>120</v>
      </c>
      <c r="K45" s="65">
        <f t="shared" si="1"/>
        <v>59.12</v>
      </c>
      <c r="L45" s="68">
        <f t="shared" si="1"/>
        <v>50</v>
      </c>
      <c r="M45" s="82">
        <v>1501</v>
      </c>
      <c r="N45" s="31">
        <v>140</v>
      </c>
      <c r="O45" s="31">
        <v>140</v>
      </c>
      <c r="P45" s="31">
        <v>765</v>
      </c>
      <c r="Q45" s="35"/>
      <c r="R45" s="48">
        <v>2105</v>
      </c>
      <c r="S45" s="36"/>
      <c r="T45" s="36">
        <v>174.8</v>
      </c>
      <c r="U45" s="37"/>
      <c r="V45" s="38">
        <v>20</v>
      </c>
      <c r="W45" s="39"/>
      <c r="X45" s="39">
        <f>T45*1000/39.37/R45*38.5</f>
        <v>81.205350059156174</v>
      </c>
      <c r="Y45" s="40"/>
      <c r="Z45" s="40">
        <v>83.59</v>
      </c>
      <c r="AA45" s="41"/>
      <c r="AB45" s="42"/>
      <c r="AC45" s="43"/>
      <c r="AD45" s="43">
        <v>85.96</v>
      </c>
      <c r="AE45" s="70"/>
    </row>
    <row r="46" spans="1:38" ht="21.75" customHeight="1" x14ac:dyDescent="0.4">
      <c r="A46" s="251" t="s">
        <v>103</v>
      </c>
      <c r="B46" s="246" t="s">
        <v>90</v>
      </c>
      <c r="C46" s="253" t="s">
        <v>89</v>
      </c>
      <c r="D46" s="256" t="s">
        <v>104</v>
      </c>
      <c r="E46" s="28">
        <v>69010523</v>
      </c>
      <c r="F46" s="29">
        <v>690128</v>
      </c>
      <c r="G46" s="45">
        <v>712</v>
      </c>
      <c r="H46" s="31">
        <v>801</v>
      </c>
      <c r="I46" s="46">
        <v>650</v>
      </c>
      <c r="J46" s="32">
        <v>650</v>
      </c>
      <c r="K46" s="33">
        <f t="shared" si="1"/>
        <v>56.96</v>
      </c>
      <c r="L46" s="47">
        <f t="shared" si="1"/>
        <v>64.08</v>
      </c>
      <c r="M46" s="240">
        <v>1284</v>
      </c>
      <c r="N46" s="31">
        <v>506</v>
      </c>
      <c r="O46" s="31">
        <v>506</v>
      </c>
      <c r="P46" s="31">
        <v>1307</v>
      </c>
      <c r="Q46" s="35">
        <v>1490</v>
      </c>
      <c r="R46" s="48"/>
      <c r="S46" s="36">
        <v>168.3</v>
      </c>
      <c r="T46" s="36"/>
      <c r="U46" s="37">
        <v>15</v>
      </c>
      <c r="V46" s="38"/>
      <c r="W46" s="39">
        <f>S46*1000/39.37/Q46*42.5</f>
        <v>121.93302910095754</v>
      </c>
      <c r="X46" s="39"/>
      <c r="Y46" s="40">
        <f t="shared" ref="Y46:Y48" si="2">(AC46+W46)/2</f>
        <v>123.38151455047877</v>
      </c>
      <c r="Z46" s="40"/>
      <c r="AA46" s="41"/>
      <c r="AB46" s="42"/>
      <c r="AC46" s="239">
        <v>124.83</v>
      </c>
      <c r="AD46" s="43"/>
      <c r="AE46" s="72"/>
    </row>
    <row r="47" spans="1:38" ht="20.25" customHeight="1" x14ac:dyDescent="0.4">
      <c r="A47" s="251" t="s">
        <v>105</v>
      </c>
      <c r="B47" s="246" t="s">
        <v>90</v>
      </c>
      <c r="C47" s="253" t="s">
        <v>89</v>
      </c>
      <c r="D47" s="256" t="s">
        <v>104</v>
      </c>
      <c r="E47" s="28">
        <v>69010524</v>
      </c>
      <c r="F47" s="29">
        <v>690128</v>
      </c>
      <c r="G47" s="45">
        <v>686</v>
      </c>
      <c r="H47" s="31">
        <v>769</v>
      </c>
      <c r="I47" s="63">
        <v>650</v>
      </c>
      <c r="J47" s="64">
        <v>650</v>
      </c>
      <c r="K47" s="65">
        <f t="shared" si="1"/>
        <v>54.88</v>
      </c>
      <c r="L47" s="68">
        <f t="shared" si="1"/>
        <v>61.52</v>
      </c>
      <c r="M47" s="31">
        <v>1103</v>
      </c>
      <c r="N47" s="31">
        <v>296</v>
      </c>
      <c r="O47" s="31">
        <v>296</v>
      </c>
      <c r="P47" s="31">
        <v>1065</v>
      </c>
      <c r="Q47" s="35">
        <v>1493</v>
      </c>
      <c r="R47" s="48"/>
      <c r="S47" s="36">
        <v>168.5</v>
      </c>
      <c r="T47" s="36"/>
      <c r="U47" s="37">
        <v>15</v>
      </c>
      <c r="V47" s="38"/>
      <c r="W47" s="39">
        <f>S47*1000/39.37/Q47*42.5</f>
        <v>121.83262812607339</v>
      </c>
      <c r="X47" s="39"/>
      <c r="Y47" s="40">
        <f t="shared" si="2"/>
        <v>122.9213140630367</v>
      </c>
      <c r="Z47" s="40"/>
      <c r="AA47" s="41"/>
      <c r="AB47" s="42"/>
      <c r="AC47" s="239">
        <v>124.01</v>
      </c>
      <c r="AD47" s="43"/>
    </row>
    <row r="48" spans="1:38" ht="24" customHeight="1" x14ac:dyDescent="0.4">
      <c r="A48" s="251" t="s">
        <v>106</v>
      </c>
      <c r="B48" s="246" t="s">
        <v>90</v>
      </c>
      <c r="C48" s="253" t="s">
        <v>89</v>
      </c>
      <c r="D48" s="256" t="s">
        <v>104</v>
      </c>
      <c r="E48" s="28">
        <v>69010522</v>
      </c>
      <c r="F48" s="29">
        <v>690128</v>
      </c>
      <c r="G48" s="69">
        <v>761</v>
      </c>
      <c r="H48" s="31">
        <v>737</v>
      </c>
      <c r="I48" s="63">
        <v>650</v>
      </c>
      <c r="J48" s="64">
        <v>650</v>
      </c>
      <c r="K48" s="65">
        <f t="shared" si="1"/>
        <v>60.88</v>
      </c>
      <c r="L48" s="68">
        <f t="shared" si="1"/>
        <v>58.96</v>
      </c>
      <c r="M48" s="31">
        <v>1067</v>
      </c>
      <c r="N48" s="31">
        <v>368</v>
      </c>
      <c r="O48" s="31">
        <v>368</v>
      </c>
      <c r="P48" s="31">
        <v>1105</v>
      </c>
      <c r="Q48" s="35">
        <v>1460</v>
      </c>
      <c r="R48" s="48"/>
      <c r="S48" s="36">
        <v>163</v>
      </c>
      <c r="T48" s="36"/>
      <c r="U48" s="37">
        <v>15</v>
      </c>
      <c r="V48" s="38"/>
      <c r="W48" s="39">
        <f>S48*1000/39.37/Q48*42.5</f>
        <v>120.51976158746839</v>
      </c>
      <c r="X48" s="39"/>
      <c r="Y48" s="40">
        <f t="shared" si="2"/>
        <v>121.7098807937342</v>
      </c>
      <c r="Z48" s="40"/>
      <c r="AA48" s="41"/>
      <c r="AB48" s="42"/>
      <c r="AC48" s="239">
        <v>122.9</v>
      </c>
      <c r="AD48" s="43"/>
    </row>
    <row r="49" spans="1:35" ht="24" customHeight="1" x14ac:dyDescent="0.4">
      <c r="A49" s="251" t="s">
        <v>107</v>
      </c>
      <c r="B49" s="246" t="s">
        <v>90</v>
      </c>
      <c r="C49" s="253" t="s">
        <v>89</v>
      </c>
      <c r="D49" s="256" t="s">
        <v>47</v>
      </c>
      <c r="E49" s="28">
        <v>69010539</v>
      </c>
      <c r="F49" s="29">
        <v>690119</v>
      </c>
      <c r="G49" s="73">
        <v>887</v>
      </c>
      <c r="H49" s="31">
        <v>942</v>
      </c>
      <c r="I49" s="46">
        <v>650</v>
      </c>
      <c r="J49" s="32">
        <v>650</v>
      </c>
      <c r="K49" s="33">
        <f t="shared" si="1"/>
        <v>70.959999999999994</v>
      </c>
      <c r="L49" s="47">
        <f t="shared" si="1"/>
        <v>75.36</v>
      </c>
      <c r="M49" s="31">
        <v>1550</v>
      </c>
      <c r="N49" s="31">
        <v>170</v>
      </c>
      <c r="O49" s="31">
        <v>170</v>
      </c>
      <c r="P49" s="31">
        <v>1112</v>
      </c>
      <c r="Q49" s="35"/>
      <c r="R49" s="48">
        <v>2267</v>
      </c>
      <c r="S49" s="36"/>
      <c r="T49" s="36">
        <v>187.8</v>
      </c>
      <c r="U49" s="37"/>
      <c r="V49" s="38">
        <v>20</v>
      </c>
      <c r="W49" s="39"/>
      <c r="X49" s="39">
        <f>T49*1000/39.37/R49*38.5</f>
        <v>81.01013996469986</v>
      </c>
      <c r="Y49" s="40"/>
      <c r="Z49" s="40">
        <v>81.72</v>
      </c>
      <c r="AA49" s="41"/>
      <c r="AB49" s="42"/>
      <c r="AC49" s="43"/>
      <c r="AD49" s="43">
        <v>82.42</v>
      </c>
    </row>
    <row r="50" spans="1:35" ht="24" customHeight="1" thickBot="1" x14ac:dyDescent="0.45">
      <c r="A50" s="251" t="s">
        <v>108</v>
      </c>
      <c r="B50" s="246" t="s">
        <v>90</v>
      </c>
      <c r="C50" s="253" t="s">
        <v>89</v>
      </c>
      <c r="D50" s="256" t="s">
        <v>47</v>
      </c>
      <c r="E50" s="28">
        <v>69010503</v>
      </c>
      <c r="F50" s="29">
        <v>690119</v>
      </c>
      <c r="G50" s="74">
        <v>906</v>
      </c>
      <c r="H50" s="31">
        <v>899</v>
      </c>
      <c r="I50" s="46">
        <v>650</v>
      </c>
      <c r="J50" s="32">
        <v>650</v>
      </c>
      <c r="K50" s="33">
        <f t="shared" si="1"/>
        <v>72.48</v>
      </c>
      <c r="L50" s="47">
        <f t="shared" si="1"/>
        <v>71.92</v>
      </c>
      <c r="M50" s="243">
        <v>303</v>
      </c>
      <c r="N50" s="31">
        <v>1209</v>
      </c>
      <c r="O50" s="31">
        <v>1209</v>
      </c>
      <c r="P50" s="31">
        <v>2108</v>
      </c>
      <c r="Q50" s="35">
        <v>2500</v>
      </c>
      <c r="R50" s="48"/>
      <c r="S50" s="36">
        <v>206.1</v>
      </c>
      <c r="T50" s="36"/>
      <c r="U50" s="37">
        <v>25</v>
      </c>
      <c r="V50" s="38"/>
      <c r="W50" s="39">
        <f>S50*1000/39.37/Q50*38.5</f>
        <v>80.618237236474485</v>
      </c>
      <c r="X50" s="39"/>
      <c r="Y50" s="40">
        <f>(AC50+W50)/2</f>
        <v>81.619118618237252</v>
      </c>
      <c r="Z50" s="40"/>
      <c r="AA50" s="41"/>
      <c r="AB50" s="42"/>
      <c r="AC50" s="43">
        <v>82.62</v>
      </c>
      <c r="AD50" s="43"/>
    </row>
    <row r="51" spans="1:35" ht="24" customHeight="1" thickBot="1" x14ac:dyDescent="0.45">
      <c r="A51" s="251" t="s">
        <v>109</v>
      </c>
      <c r="B51" s="246" t="s">
        <v>46</v>
      </c>
      <c r="C51" s="253" t="s">
        <v>89</v>
      </c>
      <c r="D51" s="256" t="s">
        <v>52</v>
      </c>
      <c r="E51" s="28"/>
      <c r="F51" s="29">
        <v>690113</v>
      </c>
      <c r="G51" s="45">
        <v>884</v>
      </c>
      <c r="H51" s="31">
        <v>826</v>
      </c>
      <c r="I51" s="46">
        <v>650</v>
      </c>
      <c r="J51" s="32">
        <v>650</v>
      </c>
      <c r="K51" s="33">
        <f t="shared" si="1"/>
        <v>70.72</v>
      </c>
      <c r="L51" s="47">
        <f t="shared" si="1"/>
        <v>66.08</v>
      </c>
      <c r="M51" s="244">
        <v>843</v>
      </c>
      <c r="N51" s="31">
        <v>1727</v>
      </c>
      <c r="O51" s="31">
        <v>1727</v>
      </c>
      <c r="P51" s="31">
        <v>53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.75" customHeight="1" x14ac:dyDescent="0.4">
      <c r="A52" s="251" t="s">
        <v>110</v>
      </c>
      <c r="B52" s="246" t="s">
        <v>46</v>
      </c>
      <c r="C52" s="253" t="s">
        <v>45</v>
      </c>
      <c r="D52" s="256" t="s">
        <v>47</v>
      </c>
      <c r="E52" s="28">
        <v>69010535</v>
      </c>
      <c r="F52" s="29">
        <v>690119</v>
      </c>
      <c r="G52" s="45">
        <v>950</v>
      </c>
      <c r="H52" s="31">
        <v>950</v>
      </c>
      <c r="I52" s="46">
        <v>125</v>
      </c>
      <c r="J52" s="32">
        <v>125</v>
      </c>
      <c r="K52" s="33">
        <f t="shared" si="1"/>
        <v>76</v>
      </c>
      <c r="L52" s="47">
        <f t="shared" si="1"/>
        <v>76</v>
      </c>
      <c r="M52" s="242">
        <v>1650</v>
      </c>
      <c r="N52" s="31">
        <v>160</v>
      </c>
      <c r="O52" s="31">
        <v>160</v>
      </c>
      <c r="P52" s="31">
        <v>1110</v>
      </c>
      <c r="Q52" s="35"/>
      <c r="R52" s="48">
        <v>2430</v>
      </c>
      <c r="S52" s="36"/>
      <c r="T52" s="36">
        <v>199.5</v>
      </c>
      <c r="U52" s="37"/>
      <c r="V52" s="38">
        <v>25</v>
      </c>
      <c r="W52" s="39"/>
      <c r="X52" s="39">
        <f>T52*1000/39.37/R52*38.5</f>
        <v>80.284543285135953</v>
      </c>
      <c r="Y52" s="40"/>
      <c r="Z52" s="40">
        <v>81.19</v>
      </c>
      <c r="AA52" s="41"/>
      <c r="AB52" s="42"/>
      <c r="AC52" s="43"/>
      <c r="AD52" s="43">
        <v>82.09</v>
      </c>
    </row>
    <row r="53" spans="1:35" ht="23.25" customHeight="1" x14ac:dyDescent="0.4">
      <c r="A53" s="251" t="s">
        <v>111</v>
      </c>
      <c r="B53" s="246" t="s">
        <v>46</v>
      </c>
      <c r="C53" s="253" t="s">
        <v>45</v>
      </c>
      <c r="D53" s="256" t="s">
        <v>52</v>
      </c>
      <c r="E53" s="28">
        <v>69010540</v>
      </c>
      <c r="F53" s="29">
        <v>690113</v>
      </c>
      <c r="G53" s="69">
        <v>1000</v>
      </c>
      <c r="H53" s="31">
        <v>1005</v>
      </c>
      <c r="I53" s="46">
        <v>125</v>
      </c>
      <c r="J53" s="32">
        <v>125</v>
      </c>
      <c r="K53" s="33">
        <f t="shared" si="1"/>
        <v>80</v>
      </c>
      <c r="L53" s="47">
        <f t="shared" si="1"/>
        <v>80.400000000000006</v>
      </c>
      <c r="M53" s="31">
        <v>1600</v>
      </c>
      <c r="N53" s="31">
        <v>100</v>
      </c>
      <c r="O53" s="31">
        <v>100</v>
      </c>
      <c r="P53" s="31">
        <v>1105</v>
      </c>
      <c r="Q53" s="35"/>
      <c r="R53" s="48">
        <v>2500</v>
      </c>
      <c r="S53" s="36"/>
      <c r="T53" s="36">
        <v>176.6</v>
      </c>
      <c r="U53" s="37"/>
      <c r="V53" s="38">
        <v>25</v>
      </c>
      <c r="W53" s="39"/>
      <c r="X53" s="39">
        <f>T53*1000/39.37/R53*35.5</f>
        <v>63.696215392430794</v>
      </c>
      <c r="Y53" s="40"/>
      <c r="Z53" s="40">
        <v>65.459999999999994</v>
      </c>
      <c r="AA53" s="41"/>
      <c r="AB53" s="42"/>
      <c r="AC53" s="43"/>
      <c r="AD53" s="43">
        <v>67.22</v>
      </c>
    </row>
    <row r="54" spans="1:35" ht="24" customHeight="1" x14ac:dyDescent="0.4">
      <c r="A54" s="251" t="s">
        <v>112</v>
      </c>
      <c r="B54" s="246" t="s">
        <v>46</v>
      </c>
      <c r="C54" s="253" t="s">
        <v>45</v>
      </c>
      <c r="D54" s="256" t="s">
        <v>57</v>
      </c>
      <c r="E54" s="28">
        <v>69010543</v>
      </c>
      <c r="F54" s="29">
        <v>690106</v>
      </c>
      <c r="G54" s="69">
        <v>755</v>
      </c>
      <c r="H54" s="31">
        <v>965</v>
      </c>
      <c r="I54" s="63">
        <v>125</v>
      </c>
      <c r="J54" s="64">
        <v>125</v>
      </c>
      <c r="K54" s="65">
        <f t="shared" si="1"/>
        <v>60.4</v>
      </c>
      <c r="L54" s="68">
        <f t="shared" si="1"/>
        <v>77.2</v>
      </c>
      <c r="M54" s="31">
        <v>1225</v>
      </c>
      <c r="N54" s="31">
        <v>300</v>
      </c>
      <c r="O54" s="31">
        <v>300</v>
      </c>
      <c r="P54" s="31">
        <v>1265</v>
      </c>
      <c r="Q54" s="35"/>
      <c r="R54" s="48">
        <v>1680</v>
      </c>
      <c r="S54" s="36"/>
      <c r="T54" s="36">
        <v>134.80000000000001</v>
      </c>
      <c r="U54" s="37"/>
      <c r="V54" s="38">
        <v>15</v>
      </c>
      <c r="W54" s="39"/>
      <c r="X54" s="39">
        <f>T54*1000/39.37/R54*31.5</f>
        <v>64.198628397256797</v>
      </c>
      <c r="Y54" s="40"/>
      <c r="Z54" s="40">
        <v>65.59</v>
      </c>
      <c r="AA54" s="41"/>
      <c r="AB54" s="42"/>
      <c r="AC54" s="43"/>
      <c r="AD54" s="43">
        <v>66.98</v>
      </c>
    </row>
    <row r="55" spans="1:35" ht="24.75" customHeight="1" x14ac:dyDescent="0.4">
      <c r="A55" s="251" t="s">
        <v>113</v>
      </c>
      <c r="B55" s="246" t="s">
        <v>46</v>
      </c>
      <c r="C55" s="253" t="s">
        <v>45</v>
      </c>
      <c r="D55" s="256" t="s">
        <v>57</v>
      </c>
      <c r="E55" s="28">
        <v>69010542</v>
      </c>
      <c r="F55" s="29">
        <v>690106</v>
      </c>
      <c r="G55" s="45">
        <v>880</v>
      </c>
      <c r="H55" s="31">
        <v>980</v>
      </c>
      <c r="I55" s="46">
        <v>125</v>
      </c>
      <c r="J55" s="32">
        <v>125</v>
      </c>
      <c r="K55" s="33">
        <f t="shared" si="1"/>
        <v>70.400000000000006</v>
      </c>
      <c r="L55" s="47">
        <f t="shared" si="1"/>
        <v>78.400000000000006</v>
      </c>
      <c r="M55" s="31">
        <v>1440</v>
      </c>
      <c r="N55" s="31">
        <v>290</v>
      </c>
      <c r="O55" s="31">
        <v>290</v>
      </c>
      <c r="P55" s="31">
        <v>1270</v>
      </c>
      <c r="Q55" s="35"/>
      <c r="R55" s="48">
        <v>2030</v>
      </c>
      <c r="S55" s="36"/>
      <c r="T55" s="36">
        <v>163.69999999999999</v>
      </c>
      <c r="U55" s="37"/>
      <c r="V55" s="38">
        <v>20</v>
      </c>
      <c r="W55" s="39"/>
      <c r="X55" s="39">
        <f>T55*1000/39.37/R55*31.5</f>
        <v>64.520508351361528</v>
      </c>
      <c r="Y55" s="40"/>
      <c r="Z55" s="40">
        <v>65.19</v>
      </c>
      <c r="AA55" s="41"/>
      <c r="AB55" s="42"/>
      <c r="AC55" s="43"/>
      <c r="AD55" s="43">
        <v>65.852999999999994</v>
      </c>
    </row>
    <row r="56" spans="1:35" ht="24" customHeight="1" x14ac:dyDescent="0.4">
      <c r="A56" s="251" t="s">
        <v>114</v>
      </c>
      <c r="B56" s="246" t="s">
        <v>116</v>
      </c>
      <c r="C56" s="253" t="s">
        <v>63</v>
      </c>
      <c r="D56" s="256" t="s">
        <v>71</v>
      </c>
      <c r="E56" s="28">
        <v>69010514</v>
      </c>
      <c r="F56" s="29">
        <v>690106</v>
      </c>
      <c r="G56" s="45">
        <v>851</v>
      </c>
      <c r="H56" s="31">
        <v>721</v>
      </c>
      <c r="I56" s="63">
        <v>115</v>
      </c>
      <c r="J56" s="64">
        <v>115</v>
      </c>
      <c r="K56" s="65">
        <v>0</v>
      </c>
      <c r="L56" s="68">
        <v>0</v>
      </c>
      <c r="M56" s="31">
        <v>429</v>
      </c>
      <c r="N56" s="31">
        <v>385</v>
      </c>
      <c r="O56" s="31">
        <v>385</v>
      </c>
      <c r="P56" s="31">
        <v>1106</v>
      </c>
      <c r="Q56" s="35">
        <v>2060</v>
      </c>
      <c r="R56" s="48"/>
      <c r="S56" s="36">
        <v>144.9</v>
      </c>
      <c r="T56" s="36"/>
      <c r="U56" s="37">
        <v>20</v>
      </c>
      <c r="V56" s="38"/>
      <c r="W56" s="39">
        <f>S56*1000/39.37/Q56*31.5</f>
        <v>56.278991198759094</v>
      </c>
      <c r="X56" s="39"/>
      <c r="Y56" s="40">
        <f>(AC56+W56)/2</f>
        <v>57.904495599379544</v>
      </c>
      <c r="Z56" s="40"/>
      <c r="AA56" s="41"/>
      <c r="AB56" s="41"/>
      <c r="AC56" s="43">
        <v>59.53</v>
      </c>
      <c r="AD56" s="43"/>
    </row>
    <row r="57" spans="1:35" ht="24" customHeight="1" thickBot="1" x14ac:dyDescent="0.55000000000000004">
      <c r="A57" s="251" t="s">
        <v>117</v>
      </c>
      <c r="B57" s="246" t="s">
        <v>115</v>
      </c>
      <c r="C57" s="253" t="s">
        <v>63</v>
      </c>
      <c r="D57" s="214" t="s">
        <v>211</v>
      </c>
      <c r="E57" s="28"/>
      <c r="F57" s="29"/>
      <c r="G57" s="69">
        <v>550</v>
      </c>
      <c r="H57" s="31">
        <v>0</v>
      </c>
      <c r="I57" s="46">
        <v>115</v>
      </c>
      <c r="J57" s="32">
        <v>115</v>
      </c>
      <c r="K57" s="33">
        <f t="shared" ref="K57:L82" si="3">G57*8/100</f>
        <v>44</v>
      </c>
      <c r="L57" s="47">
        <f t="shared" si="3"/>
        <v>0</v>
      </c>
      <c r="M57" s="82">
        <v>470</v>
      </c>
      <c r="N57" s="31">
        <v>250</v>
      </c>
      <c r="O57" s="31">
        <v>250</v>
      </c>
      <c r="P57" s="31">
        <v>250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251" t="s">
        <v>119</v>
      </c>
      <c r="B58" s="246" t="s">
        <v>121</v>
      </c>
      <c r="C58" s="253" t="s">
        <v>120</v>
      </c>
      <c r="D58" s="256" t="s">
        <v>94</v>
      </c>
      <c r="E58" s="28">
        <v>69010527</v>
      </c>
      <c r="F58" s="29">
        <v>690107</v>
      </c>
      <c r="G58" s="45">
        <v>1029</v>
      </c>
      <c r="H58" s="31">
        <v>1085</v>
      </c>
      <c r="I58" s="46">
        <v>135</v>
      </c>
      <c r="J58" s="32">
        <v>135</v>
      </c>
      <c r="K58" s="33">
        <f t="shared" si="3"/>
        <v>82.32</v>
      </c>
      <c r="L58" s="47">
        <f t="shared" si="3"/>
        <v>86.8</v>
      </c>
      <c r="M58" s="240">
        <v>1345</v>
      </c>
      <c r="N58" s="31">
        <v>405</v>
      </c>
      <c r="O58" s="31">
        <v>405</v>
      </c>
      <c r="P58" s="31">
        <v>1490</v>
      </c>
      <c r="Q58" s="35"/>
      <c r="R58" s="48">
        <v>1930</v>
      </c>
      <c r="S58" s="36"/>
      <c r="T58" s="36">
        <v>132.69999999999999</v>
      </c>
      <c r="U58" s="37"/>
      <c r="V58" s="38">
        <v>20</v>
      </c>
      <c r="W58" s="39"/>
      <c r="X58" s="39">
        <f>T58*1000/39.37/R58*38.5</f>
        <v>67.237093023408846</v>
      </c>
      <c r="Y58" s="40"/>
      <c r="Z58" s="40">
        <f>(AD58+X58)/2</f>
        <v>67.173546511704416</v>
      </c>
      <c r="AA58" s="41"/>
      <c r="AB58" s="41"/>
      <c r="AC58" s="43"/>
      <c r="AD58" s="43">
        <v>67.11</v>
      </c>
    </row>
    <row r="59" spans="1:35" ht="24" customHeight="1" x14ac:dyDescent="0.45">
      <c r="A59" s="251" t="s">
        <v>122</v>
      </c>
      <c r="B59" s="246" t="s">
        <v>121</v>
      </c>
      <c r="C59" s="253" t="s">
        <v>120</v>
      </c>
      <c r="D59" s="256" t="s">
        <v>57</v>
      </c>
      <c r="E59" s="28">
        <v>69010547</v>
      </c>
      <c r="F59" s="29">
        <v>690106</v>
      </c>
      <c r="G59" s="45">
        <v>1162</v>
      </c>
      <c r="H59" s="31">
        <v>1195</v>
      </c>
      <c r="I59" s="46">
        <v>135</v>
      </c>
      <c r="J59" s="32">
        <v>135</v>
      </c>
      <c r="K59" s="33">
        <f t="shared" si="3"/>
        <v>92.96</v>
      </c>
      <c r="L59" s="47">
        <f t="shared" si="3"/>
        <v>95.6</v>
      </c>
      <c r="M59" s="31">
        <v>1402</v>
      </c>
      <c r="N59" s="31">
        <v>175</v>
      </c>
      <c r="O59" s="31">
        <v>175</v>
      </c>
      <c r="P59" s="31">
        <v>1370</v>
      </c>
      <c r="Q59" s="35"/>
      <c r="R59" s="48">
        <v>2250</v>
      </c>
      <c r="S59" s="36"/>
      <c r="T59" s="36">
        <v>177.3</v>
      </c>
      <c r="U59" s="37"/>
      <c r="V59" s="38">
        <v>20</v>
      </c>
      <c r="W59" s="39"/>
      <c r="X59" s="39">
        <f>T59*1000/39.37/R59*31.5</f>
        <v>63.048006096012195</v>
      </c>
      <c r="Y59" s="40"/>
      <c r="Z59" s="40">
        <v>64.95</v>
      </c>
      <c r="AA59" s="41"/>
      <c r="AB59" s="42"/>
      <c r="AC59" s="43"/>
      <c r="AD59" s="43">
        <v>66.84</v>
      </c>
      <c r="AI59" s="75"/>
    </row>
    <row r="60" spans="1:35" ht="26.25" customHeight="1" x14ac:dyDescent="0.4">
      <c r="A60" s="251" t="s">
        <v>123</v>
      </c>
      <c r="B60" s="246" t="s">
        <v>121</v>
      </c>
      <c r="C60" s="253" t="s">
        <v>120</v>
      </c>
      <c r="D60" s="256" t="s">
        <v>57</v>
      </c>
      <c r="E60" s="28">
        <v>69010546</v>
      </c>
      <c r="F60" s="29">
        <v>690106</v>
      </c>
      <c r="G60" s="45">
        <v>1105</v>
      </c>
      <c r="H60" s="31">
        <v>1090</v>
      </c>
      <c r="I60" s="46">
        <v>135</v>
      </c>
      <c r="J60" s="64">
        <v>135</v>
      </c>
      <c r="K60" s="65">
        <f t="shared" si="3"/>
        <v>88.4</v>
      </c>
      <c r="L60" s="68">
        <f t="shared" si="3"/>
        <v>87.2</v>
      </c>
      <c r="M60" s="31">
        <v>1460</v>
      </c>
      <c r="N60" s="31">
        <v>160</v>
      </c>
      <c r="O60" s="31">
        <v>160</v>
      </c>
      <c r="P60" s="31">
        <v>1250</v>
      </c>
      <c r="Q60" s="35"/>
      <c r="R60" s="48">
        <v>2370</v>
      </c>
      <c r="S60" s="36"/>
      <c r="T60" s="36">
        <v>186.6</v>
      </c>
      <c r="U60" s="37"/>
      <c r="V60" s="38">
        <v>25</v>
      </c>
      <c r="W60" s="39"/>
      <c r="X60" s="39">
        <f>T60*1000/39.37/R60*31.5</f>
        <v>62.995341180555776</v>
      </c>
      <c r="Y60" s="40"/>
      <c r="Z60" s="40">
        <v>63.65</v>
      </c>
      <c r="AA60" s="41"/>
      <c r="AB60" s="42"/>
      <c r="AC60" s="43"/>
      <c r="AD60" s="43">
        <v>64.3</v>
      </c>
    </row>
    <row r="61" spans="1:35" ht="24.75" customHeight="1" x14ac:dyDescent="0.4">
      <c r="A61" s="251" t="s">
        <v>124</v>
      </c>
      <c r="B61" s="246" t="s">
        <v>121</v>
      </c>
      <c r="C61" s="253" t="s">
        <v>120</v>
      </c>
      <c r="D61" s="256" t="s">
        <v>57</v>
      </c>
      <c r="E61" s="28">
        <v>69010544</v>
      </c>
      <c r="F61" s="29">
        <v>690106</v>
      </c>
      <c r="G61" s="45">
        <v>785</v>
      </c>
      <c r="H61" s="31">
        <v>1130</v>
      </c>
      <c r="I61" s="46">
        <v>135</v>
      </c>
      <c r="J61" s="64">
        <v>135</v>
      </c>
      <c r="K61" s="65">
        <f t="shared" si="3"/>
        <v>62.8</v>
      </c>
      <c r="L61" s="68">
        <f t="shared" si="3"/>
        <v>90.4</v>
      </c>
      <c r="M61" s="31">
        <v>1350</v>
      </c>
      <c r="N61" s="31">
        <v>235</v>
      </c>
      <c r="O61" s="31">
        <v>235</v>
      </c>
      <c r="P61" s="31">
        <v>1365</v>
      </c>
      <c r="Q61" s="35"/>
      <c r="R61" s="48">
        <v>1880</v>
      </c>
      <c r="S61" s="36"/>
      <c r="T61" s="36">
        <v>148.5</v>
      </c>
      <c r="U61" s="37"/>
      <c r="V61" s="38">
        <v>15</v>
      </c>
      <c r="W61" s="39"/>
      <c r="X61" s="39">
        <f>T61*1000/39.37/R61*31.5</f>
        <v>63.199514696901737</v>
      </c>
      <c r="Y61" s="40"/>
      <c r="Z61" s="40">
        <v>63.73</v>
      </c>
      <c r="AA61" s="41"/>
      <c r="AB61" s="42"/>
      <c r="AC61" s="43"/>
      <c r="AD61" s="43">
        <v>64.260000000000005</v>
      </c>
    </row>
    <row r="62" spans="1:35" ht="24" customHeight="1" thickBot="1" x14ac:dyDescent="0.45">
      <c r="A62" s="251" t="s">
        <v>125</v>
      </c>
      <c r="B62" s="246" t="s">
        <v>121</v>
      </c>
      <c r="C62" s="253" t="s">
        <v>120</v>
      </c>
      <c r="D62" s="256" t="s">
        <v>47</v>
      </c>
      <c r="E62" s="28">
        <v>69010530</v>
      </c>
      <c r="F62" s="29">
        <v>690108</v>
      </c>
      <c r="G62" s="45">
        <v>660</v>
      </c>
      <c r="H62" s="31">
        <v>1217</v>
      </c>
      <c r="I62" s="46">
        <v>135</v>
      </c>
      <c r="J62" s="32">
        <v>135</v>
      </c>
      <c r="K62" s="33">
        <f t="shared" si="3"/>
        <v>52.8</v>
      </c>
      <c r="L62" s="47">
        <f t="shared" si="3"/>
        <v>97.36</v>
      </c>
      <c r="M62" s="241">
        <v>2255</v>
      </c>
      <c r="N62" s="31">
        <v>660</v>
      </c>
      <c r="O62" s="31">
        <v>660</v>
      </c>
      <c r="P62" s="31">
        <v>1877</v>
      </c>
      <c r="Q62" s="35"/>
      <c r="R62" s="48">
        <v>2240</v>
      </c>
      <c r="S62" s="36"/>
      <c r="T62" s="36">
        <v>183.7</v>
      </c>
      <c r="U62" s="37"/>
      <c r="V62" s="38">
        <v>20</v>
      </c>
      <c r="W62" s="39"/>
      <c r="X62" s="39">
        <f>T62*1000/39.37/R62*38.5</f>
        <v>80.196691643383289</v>
      </c>
      <c r="Y62" s="40"/>
      <c r="Z62" s="40">
        <f>(AD62+X62)/2</f>
        <v>81.303345821691636</v>
      </c>
      <c r="AA62" s="41"/>
      <c r="AB62" s="42"/>
      <c r="AC62" s="43"/>
      <c r="AD62" s="43">
        <v>82.41</v>
      </c>
    </row>
    <row r="63" spans="1:35" ht="24.75" customHeight="1" x14ac:dyDescent="0.4">
      <c r="A63" s="251" t="s">
        <v>126</v>
      </c>
      <c r="B63" s="246" t="s">
        <v>232</v>
      </c>
      <c r="C63" s="253" t="s">
        <v>127</v>
      </c>
      <c r="D63" s="256" t="s">
        <v>71</v>
      </c>
      <c r="E63" s="28">
        <v>69010515</v>
      </c>
      <c r="F63" s="29">
        <v>690106</v>
      </c>
      <c r="G63" s="45">
        <v>900</v>
      </c>
      <c r="H63" s="31">
        <v>520</v>
      </c>
      <c r="I63" s="46">
        <v>135</v>
      </c>
      <c r="J63" s="64">
        <v>135</v>
      </c>
      <c r="K63" s="65">
        <f t="shared" si="3"/>
        <v>72</v>
      </c>
      <c r="L63" s="68">
        <f t="shared" si="3"/>
        <v>41.6</v>
      </c>
      <c r="M63" s="242">
        <v>0</v>
      </c>
      <c r="N63" s="31">
        <v>900</v>
      </c>
      <c r="O63" s="31">
        <v>900</v>
      </c>
      <c r="P63" s="31">
        <v>1420</v>
      </c>
      <c r="Q63" s="35">
        <v>2000</v>
      </c>
      <c r="R63" s="48"/>
      <c r="S63" s="36">
        <v>142.69999999999999</v>
      </c>
      <c r="T63" s="36"/>
      <c r="U63" s="37">
        <v>20</v>
      </c>
      <c r="V63" s="38"/>
      <c r="W63" s="39">
        <f>S63*1000/39.37/Q63*31.5</f>
        <v>57.087249174498346</v>
      </c>
      <c r="X63" s="39"/>
      <c r="Y63" s="40">
        <f>(AC63+W63)/2</f>
        <v>58.108624587249174</v>
      </c>
      <c r="Z63" s="40"/>
      <c r="AA63" s="41"/>
      <c r="AB63" s="42"/>
      <c r="AC63" s="43">
        <v>59.13</v>
      </c>
      <c r="AD63" s="43"/>
    </row>
    <row r="64" spans="1:35" ht="24" customHeight="1" x14ac:dyDescent="0.4">
      <c r="A64" s="251" t="s">
        <v>128</v>
      </c>
      <c r="B64" s="246" t="s">
        <v>232</v>
      </c>
      <c r="C64" s="253" t="s">
        <v>127</v>
      </c>
      <c r="D64" s="256" t="s">
        <v>57</v>
      </c>
      <c r="E64" s="28">
        <v>69010545</v>
      </c>
      <c r="F64" s="29">
        <v>690106</v>
      </c>
      <c r="G64" s="45">
        <v>1045</v>
      </c>
      <c r="H64" s="31">
        <v>1000</v>
      </c>
      <c r="I64" s="46">
        <v>135</v>
      </c>
      <c r="J64" s="64">
        <v>135</v>
      </c>
      <c r="K64" s="65">
        <f t="shared" si="3"/>
        <v>83.6</v>
      </c>
      <c r="L64" s="76">
        <f t="shared" si="3"/>
        <v>80</v>
      </c>
      <c r="M64" s="31">
        <v>1420</v>
      </c>
      <c r="N64" s="31">
        <v>100</v>
      </c>
      <c r="O64" s="31">
        <v>100</v>
      </c>
      <c r="P64" s="31">
        <v>1100</v>
      </c>
      <c r="Q64" s="35"/>
      <c r="R64" s="48">
        <v>2365</v>
      </c>
      <c r="S64" s="36"/>
      <c r="T64" s="36">
        <v>187.5</v>
      </c>
      <c r="U64" s="37"/>
      <c r="V64" s="38">
        <v>20</v>
      </c>
      <c r="W64" s="39"/>
      <c r="X64" s="39">
        <f>T64*1000/39.37/R64*31.5</f>
        <v>63.433002130274886</v>
      </c>
      <c r="Y64" s="40"/>
      <c r="Z64" s="40">
        <v>64.260000000000005</v>
      </c>
      <c r="AA64" s="41"/>
      <c r="AB64" s="42"/>
      <c r="AC64" s="43"/>
      <c r="AD64" s="43">
        <v>65.09</v>
      </c>
    </row>
    <row r="65" spans="1:30" ht="24" customHeight="1" x14ac:dyDescent="0.4">
      <c r="A65" s="251" t="s">
        <v>129</v>
      </c>
      <c r="B65" s="246" t="s">
        <v>232</v>
      </c>
      <c r="C65" s="253" t="s">
        <v>127</v>
      </c>
      <c r="D65" s="256" t="s">
        <v>57</v>
      </c>
      <c r="E65" s="28"/>
      <c r="F65" s="29">
        <v>690106</v>
      </c>
      <c r="G65" s="69">
        <v>910</v>
      </c>
      <c r="H65" s="31">
        <v>720</v>
      </c>
      <c r="I65" s="46">
        <v>135</v>
      </c>
      <c r="J65" s="32">
        <v>135</v>
      </c>
      <c r="K65" s="33">
        <f t="shared" si="3"/>
        <v>72.8</v>
      </c>
      <c r="L65" s="47">
        <f t="shared" si="3"/>
        <v>57.6</v>
      </c>
      <c r="M65" s="245">
        <v>1100</v>
      </c>
      <c r="N65" s="31">
        <v>2010</v>
      </c>
      <c r="O65" s="31">
        <v>2010</v>
      </c>
      <c r="P65" s="31">
        <v>0</v>
      </c>
      <c r="Q65" s="35"/>
      <c r="R65" s="48"/>
      <c r="S65" s="36"/>
      <c r="T65" s="36"/>
      <c r="U65" s="37"/>
      <c r="V65" s="38"/>
      <c r="W65" s="39"/>
      <c r="X65" s="39"/>
      <c r="Y65" s="40"/>
      <c r="Z65" s="40"/>
      <c r="AA65" s="41"/>
      <c r="AB65" s="42"/>
      <c r="AC65" s="43"/>
      <c r="AD65" s="43"/>
    </row>
    <row r="66" spans="1:30" ht="24" customHeight="1" x14ac:dyDescent="0.5">
      <c r="A66" s="251" t="s">
        <v>130</v>
      </c>
      <c r="B66" s="246" t="s">
        <v>232</v>
      </c>
      <c r="C66" s="253" t="s">
        <v>127</v>
      </c>
      <c r="D66" s="214" t="s">
        <v>211</v>
      </c>
      <c r="E66" s="28"/>
      <c r="F66" s="29"/>
      <c r="G66" s="45">
        <v>820</v>
      </c>
      <c r="H66" s="31">
        <v>300</v>
      </c>
      <c r="I66" s="46">
        <v>135</v>
      </c>
      <c r="J66" s="32">
        <v>135</v>
      </c>
      <c r="K66" s="33">
        <f t="shared" si="3"/>
        <v>65.599999999999994</v>
      </c>
      <c r="L66" s="47">
        <f t="shared" si="3"/>
        <v>24</v>
      </c>
      <c r="M66" s="31">
        <v>720</v>
      </c>
      <c r="N66" s="31">
        <v>170</v>
      </c>
      <c r="O66" s="31">
        <v>170</v>
      </c>
      <c r="P66" s="31">
        <v>470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251" t="s">
        <v>131</v>
      </c>
      <c r="B67" s="246" t="s">
        <v>232</v>
      </c>
      <c r="C67" s="253" t="s">
        <v>127</v>
      </c>
      <c r="D67" s="256" t="s">
        <v>104</v>
      </c>
      <c r="E67" s="28">
        <v>69010521</v>
      </c>
      <c r="F67" s="29">
        <v>690128</v>
      </c>
      <c r="G67" s="45">
        <v>865</v>
      </c>
      <c r="H67" s="31">
        <v>700</v>
      </c>
      <c r="I67" s="46">
        <v>135</v>
      </c>
      <c r="J67" s="32">
        <v>135</v>
      </c>
      <c r="K67" s="33">
        <f t="shared" si="3"/>
        <v>69.2</v>
      </c>
      <c r="L67" s="47">
        <f t="shared" si="3"/>
        <v>56</v>
      </c>
      <c r="M67" s="31">
        <v>1180</v>
      </c>
      <c r="N67" s="31">
        <v>420</v>
      </c>
      <c r="O67" s="31">
        <v>420</v>
      </c>
      <c r="P67" s="31">
        <v>1120</v>
      </c>
      <c r="Q67" s="35">
        <v>1620</v>
      </c>
      <c r="R67" s="48"/>
      <c r="S67" s="36">
        <v>180.6</v>
      </c>
      <c r="T67" s="36"/>
      <c r="U67" s="37">
        <v>15</v>
      </c>
      <c r="V67" s="38"/>
      <c r="W67" s="39">
        <f>S67*1000/39.37/Q67*42.5</f>
        <v>120.34449994825916</v>
      </c>
      <c r="X67" s="39"/>
      <c r="Y67" s="40">
        <f>(AC67+W67)/2</f>
        <v>121.95724997412958</v>
      </c>
      <c r="Z67" s="40"/>
      <c r="AA67" s="41"/>
      <c r="AB67" s="42"/>
      <c r="AC67" s="239">
        <v>123.57</v>
      </c>
      <c r="AD67" s="43"/>
    </row>
    <row r="68" spans="1:30" ht="24" customHeight="1" x14ac:dyDescent="0.4">
      <c r="A68" s="251" t="s">
        <v>132</v>
      </c>
      <c r="B68" s="246" t="s">
        <v>51</v>
      </c>
      <c r="C68" s="253" t="s">
        <v>233</v>
      </c>
      <c r="D68" s="256" t="s">
        <v>47</v>
      </c>
      <c r="E68" s="28"/>
      <c r="F68" s="29">
        <v>690119</v>
      </c>
      <c r="G68" s="69">
        <v>817</v>
      </c>
      <c r="H68" s="31">
        <v>774</v>
      </c>
      <c r="I68" s="46">
        <v>130</v>
      </c>
      <c r="J68" s="32">
        <v>130</v>
      </c>
      <c r="K68" s="33">
        <f t="shared" si="3"/>
        <v>65.36</v>
      </c>
      <c r="L68" s="47">
        <f t="shared" si="3"/>
        <v>61.92</v>
      </c>
      <c r="M68" s="31">
        <v>1633</v>
      </c>
      <c r="N68" s="31">
        <v>2450</v>
      </c>
      <c r="O68" s="31">
        <v>2450</v>
      </c>
      <c r="P68" s="31">
        <v>724</v>
      </c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customHeight="1" x14ac:dyDescent="0.4">
      <c r="A69" s="249" t="s">
        <v>133</v>
      </c>
      <c r="B69" s="246" t="s">
        <v>64</v>
      </c>
      <c r="C69" s="253"/>
      <c r="D69" s="256" t="s">
        <v>47</v>
      </c>
      <c r="E69" s="28"/>
      <c r="F69" s="29">
        <v>690119</v>
      </c>
      <c r="G69" s="69">
        <v>0</v>
      </c>
      <c r="H69" s="31">
        <v>0</v>
      </c>
      <c r="I69" s="46">
        <v>780</v>
      </c>
      <c r="J69" s="32">
        <v>780</v>
      </c>
      <c r="K69" s="33">
        <f t="shared" si="3"/>
        <v>0</v>
      </c>
      <c r="L69" s="47">
        <f t="shared" si="3"/>
        <v>0</v>
      </c>
      <c r="M69" s="31">
        <v>597</v>
      </c>
      <c r="N69" s="31">
        <v>597</v>
      </c>
      <c r="O69" s="31">
        <v>597</v>
      </c>
      <c r="P69" s="31">
        <v>597</v>
      </c>
      <c r="Q69" s="35"/>
      <c r="R69" s="48"/>
      <c r="S69" s="36"/>
      <c r="T69" s="36"/>
      <c r="U69" s="37"/>
      <c r="V69" s="38"/>
      <c r="W69" s="39"/>
      <c r="X69" s="39"/>
      <c r="Y69" s="40"/>
      <c r="Z69" s="40"/>
      <c r="AA69" s="41"/>
      <c r="AB69" s="42"/>
      <c r="AC69" s="43"/>
      <c r="AD69" s="43"/>
    </row>
    <row r="70" spans="1:30" ht="24" customHeight="1" thickBot="1" x14ac:dyDescent="0.45">
      <c r="A70" s="249" t="s">
        <v>134</v>
      </c>
      <c r="B70" s="246" t="s">
        <v>64</v>
      </c>
      <c r="C70" s="253"/>
      <c r="D70" s="256" t="s">
        <v>47</v>
      </c>
      <c r="E70" s="28"/>
      <c r="F70" s="29">
        <v>690119</v>
      </c>
      <c r="G70" s="45">
        <v>0</v>
      </c>
      <c r="H70" s="31">
        <v>0</v>
      </c>
      <c r="I70" s="46">
        <v>780</v>
      </c>
      <c r="J70" s="32">
        <v>780</v>
      </c>
      <c r="K70" s="33">
        <f t="shared" si="3"/>
        <v>0</v>
      </c>
      <c r="L70" s="47">
        <f t="shared" si="3"/>
        <v>0</v>
      </c>
      <c r="M70" s="82">
        <v>190</v>
      </c>
      <c r="N70" s="31">
        <v>190</v>
      </c>
      <c r="O70" s="31">
        <v>190</v>
      </c>
      <c r="P70" s="31">
        <v>190</v>
      </c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249" t="s">
        <v>135</v>
      </c>
      <c r="B71" s="246" t="s">
        <v>64</v>
      </c>
      <c r="C71" s="253" t="s">
        <v>34</v>
      </c>
      <c r="D71" s="256" t="s">
        <v>71</v>
      </c>
      <c r="E71" s="28">
        <v>69010541</v>
      </c>
      <c r="F71" s="29">
        <v>690106</v>
      </c>
      <c r="G71" s="45">
        <v>755</v>
      </c>
      <c r="H71" s="31">
        <v>0</v>
      </c>
      <c r="I71" s="46">
        <v>780</v>
      </c>
      <c r="J71" s="32">
        <v>780</v>
      </c>
      <c r="K71" s="33">
        <f t="shared" si="3"/>
        <v>60.4</v>
      </c>
      <c r="L71" s="47">
        <f t="shared" si="3"/>
        <v>0</v>
      </c>
      <c r="M71" s="240">
        <v>1915</v>
      </c>
      <c r="N71" s="31">
        <v>420</v>
      </c>
      <c r="O71" s="31">
        <v>420</v>
      </c>
      <c r="P71" s="31">
        <v>420</v>
      </c>
      <c r="Q71" s="35"/>
      <c r="R71" s="48">
        <v>2250</v>
      </c>
      <c r="S71" s="36"/>
      <c r="T71" s="36">
        <v>159.80000000000001</v>
      </c>
      <c r="U71" s="37"/>
      <c r="V71" s="38">
        <v>20</v>
      </c>
      <c r="W71" s="39"/>
      <c r="X71" s="39">
        <f>T71*1000/39.37/R71*31.5</f>
        <v>56.824993649987299</v>
      </c>
      <c r="Y71" s="40"/>
      <c r="Z71" s="40">
        <v>57.89</v>
      </c>
      <c r="AA71" s="41"/>
      <c r="AB71" s="42"/>
      <c r="AC71" s="43"/>
      <c r="AD71" s="43">
        <v>58.96</v>
      </c>
    </row>
    <row r="72" spans="1:30" ht="24" customHeight="1" x14ac:dyDescent="0.4">
      <c r="A72" s="249" t="s">
        <v>136</v>
      </c>
      <c r="B72" s="246" t="s">
        <v>64</v>
      </c>
      <c r="C72" s="253" t="s">
        <v>34</v>
      </c>
      <c r="D72" s="256" t="s">
        <v>71</v>
      </c>
      <c r="E72" s="28">
        <v>69010517</v>
      </c>
      <c r="F72" s="29">
        <v>690104</v>
      </c>
      <c r="G72" s="77">
        <v>693</v>
      </c>
      <c r="H72" s="31">
        <v>0</v>
      </c>
      <c r="I72" s="63">
        <v>780</v>
      </c>
      <c r="J72" s="64">
        <v>780</v>
      </c>
      <c r="K72" s="65">
        <f t="shared" si="3"/>
        <v>55.44</v>
      </c>
      <c r="L72" s="47">
        <f t="shared" si="3"/>
        <v>0</v>
      </c>
      <c r="M72" s="31">
        <v>356</v>
      </c>
      <c r="N72" s="31">
        <v>1049</v>
      </c>
      <c r="O72" s="31">
        <v>1049</v>
      </c>
      <c r="P72" s="31">
        <v>1049</v>
      </c>
      <c r="Q72" s="35">
        <v>2500</v>
      </c>
      <c r="R72" s="48"/>
      <c r="S72" s="36">
        <v>176.3</v>
      </c>
      <c r="T72" s="36"/>
      <c r="U72" s="37">
        <v>20</v>
      </c>
      <c r="V72" s="38"/>
      <c r="W72" s="39">
        <f>S72*1000/39.37/Q72*31.5</f>
        <v>56.423164846329698</v>
      </c>
      <c r="X72" s="39"/>
      <c r="Y72" s="40">
        <f>(AC72+W72)/2</f>
        <v>57.551582423164845</v>
      </c>
      <c r="Z72" s="40"/>
      <c r="AA72" s="41"/>
      <c r="AB72" s="42"/>
      <c r="AC72" s="43">
        <v>58.68</v>
      </c>
      <c r="AD72" s="43"/>
    </row>
    <row r="73" spans="1:30" ht="24" customHeight="1" x14ac:dyDescent="0.4">
      <c r="A73" s="249" t="s">
        <v>137</v>
      </c>
      <c r="B73" s="246" t="s">
        <v>76</v>
      </c>
      <c r="C73" s="253" t="s">
        <v>34</v>
      </c>
      <c r="D73" s="256" t="s">
        <v>94</v>
      </c>
      <c r="E73" s="28"/>
      <c r="F73" s="29">
        <v>690107</v>
      </c>
      <c r="G73" s="78">
        <v>628</v>
      </c>
      <c r="H73" s="31">
        <v>0</v>
      </c>
      <c r="I73" s="63">
        <v>780</v>
      </c>
      <c r="J73" s="64">
        <v>780</v>
      </c>
      <c r="K73" s="65">
        <f t="shared" si="3"/>
        <v>50.24</v>
      </c>
      <c r="L73" s="47">
        <f t="shared" si="3"/>
        <v>0</v>
      </c>
      <c r="M73" s="31">
        <v>778</v>
      </c>
      <c r="N73" s="31">
        <v>1406</v>
      </c>
      <c r="O73" s="31">
        <v>1406</v>
      </c>
      <c r="P73" s="31">
        <v>1406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thickBot="1" x14ac:dyDescent="0.45">
      <c r="A74" s="249" t="s">
        <v>138</v>
      </c>
      <c r="B74" s="246" t="s">
        <v>76</v>
      </c>
      <c r="C74" s="253" t="s">
        <v>34</v>
      </c>
      <c r="D74" s="256" t="s">
        <v>94</v>
      </c>
      <c r="E74" s="28"/>
      <c r="F74" s="29">
        <v>690107</v>
      </c>
      <c r="G74" s="79">
        <v>660</v>
      </c>
      <c r="H74" s="31">
        <v>0</v>
      </c>
      <c r="I74" s="63">
        <v>780</v>
      </c>
      <c r="J74" s="64">
        <v>780</v>
      </c>
      <c r="K74" s="65">
        <f t="shared" si="3"/>
        <v>52.8</v>
      </c>
      <c r="L74" s="68">
        <f t="shared" si="3"/>
        <v>0</v>
      </c>
      <c r="M74" s="241">
        <v>746</v>
      </c>
      <c r="N74" s="31">
        <v>1406</v>
      </c>
      <c r="O74" s="31">
        <v>1406</v>
      </c>
      <c r="P74" s="31">
        <v>1406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249" t="s">
        <v>139</v>
      </c>
      <c r="B75" s="246" t="s">
        <v>85</v>
      </c>
      <c r="C75" s="253" t="s">
        <v>234</v>
      </c>
      <c r="D75" s="256" t="s">
        <v>140</v>
      </c>
      <c r="E75" s="28">
        <v>69010528</v>
      </c>
      <c r="F75" s="29">
        <v>690109</v>
      </c>
      <c r="G75" s="80">
        <v>1210</v>
      </c>
      <c r="H75" s="31">
        <v>1059</v>
      </c>
      <c r="I75" s="46">
        <v>800</v>
      </c>
      <c r="J75" s="32">
        <v>800</v>
      </c>
      <c r="K75" s="33">
        <f t="shared" si="3"/>
        <v>96.8</v>
      </c>
      <c r="L75" s="47">
        <f t="shared" si="3"/>
        <v>84.72</v>
      </c>
      <c r="M75" s="242">
        <v>1702</v>
      </c>
      <c r="N75" s="31">
        <v>912</v>
      </c>
      <c r="O75" s="31">
        <v>912</v>
      </c>
      <c r="P75" s="31">
        <v>1971</v>
      </c>
      <c r="Q75" s="35"/>
      <c r="R75" s="48">
        <v>2000</v>
      </c>
      <c r="S75" s="36"/>
      <c r="T75" s="36">
        <v>150</v>
      </c>
      <c r="U75" s="37"/>
      <c r="V75" s="38"/>
      <c r="W75" s="39"/>
      <c r="X75" s="39">
        <f>T75*1000/39.37/R75*38.5</f>
        <v>73.342646685293374</v>
      </c>
      <c r="Y75" s="40"/>
      <c r="Z75" s="40">
        <f>(AD75+X75)/2</f>
        <v>74.556323342646692</v>
      </c>
      <c r="AA75" s="41"/>
      <c r="AB75" s="42"/>
      <c r="AC75" s="43"/>
      <c r="AD75" s="43">
        <v>75.77</v>
      </c>
    </row>
    <row r="76" spans="1:30" ht="24" customHeight="1" x14ac:dyDescent="0.4">
      <c r="A76" s="249" t="s">
        <v>141</v>
      </c>
      <c r="B76" s="246" t="s">
        <v>85</v>
      </c>
      <c r="C76" s="253" t="s">
        <v>234</v>
      </c>
      <c r="D76" s="256" t="s">
        <v>140</v>
      </c>
      <c r="E76" s="28">
        <v>69010512</v>
      </c>
      <c r="F76" s="29">
        <v>690109</v>
      </c>
      <c r="G76" s="45">
        <v>1046</v>
      </c>
      <c r="H76" s="31">
        <v>1124</v>
      </c>
      <c r="I76" s="46">
        <v>800</v>
      </c>
      <c r="J76" s="32">
        <v>800</v>
      </c>
      <c r="K76" s="33">
        <f t="shared" si="3"/>
        <v>83.68</v>
      </c>
      <c r="L76" s="47">
        <f t="shared" si="3"/>
        <v>89.92</v>
      </c>
      <c r="M76" s="31">
        <v>1968</v>
      </c>
      <c r="N76" s="31">
        <v>1014</v>
      </c>
      <c r="O76" s="31">
        <v>1014</v>
      </c>
      <c r="P76" s="31">
        <v>138</v>
      </c>
      <c r="Q76" s="35">
        <v>2000</v>
      </c>
      <c r="R76" s="48"/>
      <c r="S76" s="36">
        <v>151.5</v>
      </c>
      <c r="T76" s="36"/>
      <c r="U76" s="37"/>
      <c r="V76" s="38"/>
      <c r="W76" s="39">
        <f>S76*1000/39.37/Q76*38.5</f>
        <v>74.076073152146307</v>
      </c>
      <c r="X76" s="39"/>
      <c r="Y76" s="40">
        <f>(AC76+W76)/2</f>
        <v>74.548036576073144</v>
      </c>
      <c r="Z76" s="40"/>
      <c r="AA76" s="41"/>
      <c r="AB76" s="42"/>
      <c r="AC76" s="43">
        <v>75.02</v>
      </c>
      <c r="AD76" s="43"/>
    </row>
    <row r="77" spans="1:30" ht="24" customHeight="1" x14ac:dyDescent="0.4">
      <c r="A77" s="249" t="s">
        <v>142</v>
      </c>
      <c r="B77" s="246" t="s">
        <v>85</v>
      </c>
      <c r="C77" s="253" t="s">
        <v>234</v>
      </c>
      <c r="D77" s="256" t="s">
        <v>140</v>
      </c>
      <c r="E77" s="28">
        <v>69010511</v>
      </c>
      <c r="F77" s="29">
        <v>690109</v>
      </c>
      <c r="G77" s="45">
        <v>1105</v>
      </c>
      <c r="H77" s="31">
        <v>1151</v>
      </c>
      <c r="I77" s="46">
        <v>800</v>
      </c>
      <c r="J77" s="32">
        <v>800</v>
      </c>
      <c r="K77" s="33">
        <f t="shared" si="3"/>
        <v>88.4</v>
      </c>
      <c r="L77" s="47">
        <f t="shared" si="3"/>
        <v>92.08</v>
      </c>
      <c r="M77" s="31">
        <v>1990</v>
      </c>
      <c r="N77" s="31">
        <v>1095</v>
      </c>
      <c r="O77" s="31">
        <v>1095</v>
      </c>
      <c r="P77" s="31">
        <v>246</v>
      </c>
      <c r="Q77" s="35">
        <v>2000</v>
      </c>
      <c r="R77" s="48"/>
      <c r="S77" s="36">
        <v>146.1</v>
      </c>
      <c r="T77" s="36"/>
      <c r="U77" s="37"/>
      <c r="V77" s="38"/>
      <c r="W77" s="39">
        <f>S77*1000/39.37/Q77*38.5</f>
        <v>71.435737871475752</v>
      </c>
      <c r="X77" s="39"/>
      <c r="Y77" s="40">
        <f>(AC77+W77)/2</f>
        <v>72.707868935737878</v>
      </c>
      <c r="Z77" s="40"/>
      <c r="AA77" s="41"/>
      <c r="AB77" s="42"/>
      <c r="AC77" s="43">
        <v>73.98</v>
      </c>
      <c r="AD77" s="43"/>
    </row>
    <row r="78" spans="1:30" ht="24" customHeight="1" x14ac:dyDescent="0.4">
      <c r="A78" s="249" t="s">
        <v>143</v>
      </c>
      <c r="B78" s="246" t="s">
        <v>85</v>
      </c>
      <c r="C78" s="253" t="s">
        <v>234</v>
      </c>
      <c r="D78" s="256" t="s">
        <v>57</v>
      </c>
      <c r="E78" s="28"/>
      <c r="F78" s="29">
        <v>690106</v>
      </c>
      <c r="G78" s="45">
        <v>872</v>
      </c>
      <c r="H78" s="31">
        <v>1141</v>
      </c>
      <c r="I78" s="46">
        <v>800</v>
      </c>
      <c r="J78" s="32">
        <v>800</v>
      </c>
      <c r="K78" s="33">
        <f t="shared" si="3"/>
        <v>69.760000000000005</v>
      </c>
      <c r="L78" s="47">
        <f t="shared" si="3"/>
        <v>91.28</v>
      </c>
      <c r="M78" s="31">
        <v>1228</v>
      </c>
      <c r="N78" s="31">
        <v>260</v>
      </c>
      <c r="O78" s="31">
        <v>260</v>
      </c>
      <c r="P78" s="31">
        <v>1401</v>
      </c>
      <c r="Q78" s="35"/>
      <c r="R78" s="48"/>
      <c r="S78" s="36"/>
      <c r="T78" s="36"/>
      <c r="U78" s="37"/>
      <c r="V78" s="38"/>
      <c r="W78" s="39"/>
      <c r="X78" s="39"/>
      <c r="Y78" s="40"/>
      <c r="Z78" s="40"/>
      <c r="AA78" s="41"/>
      <c r="AB78" s="42"/>
      <c r="AC78" s="43"/>
      <c r="AD78" s="43"/>
    </row>
    <row r="79" spans="1:30" ht="24" customHeight="1" x14ac:dyDescent="0.4">
      <c r="A79" s="249" t="s">
        <v>144</v>
      </c>
      <c r="B79" s="246" t="s">
        <v>116</v>
      </c>
      <c r="C79" s="253" t="s">
        <v>63</v>
      </c>
      <c r="D79" s="256" t="s">
        <v>140</v>
      </c>
      <c r="E79" s="28">
        <v>69010529</v>
      </c>
      <c r="F79" s="29">
        <v>690109</v>
      </c>
      <c r="G79" s="45">
        <v>1230</v>
      </c>
      <c r="H79" s="31">
        <v>845</v>
      </c>
      <c r="I79" s="46">
        <v>800</v>
      </c>
      <c r="J79" s="32">
        <v>800</v>
      </c>
      <c r="K79" s="33"/>
      <c r="L79" s="47">
        <f t="shared" si="3"/>
        <v>67.599999999999994</v>
      </c>
      <c r="M79" s="31">
        <v>865</v>
      </c>
      <c r="N79" s="31">
        <v>565</v>
      </c>
      <c r="O79" s="31">
        <v>565</v>
      </c>
      <c r="P79" s="31">
        <v>1410</v>
      </c>
      <c r="Q79" s="35"/>
      <c r="R79" s="48">
        <v>1530</v>
      </c>
      <c r="S79" s="36"/>
      <c r="T79" s="36">
        <v>115.4</v>
      </c>
      <c r="U79" s="37"/>
      <c r="V79" s="38"/>
      <c r="W79" s="39"/>
      <c r="X79" s="39">
        <f>T79*1000/39.37/R79*38.5</f>
        <v>73.758095228608767</v>
      </c>
      <c r="Y79" s="40"/>
      <c r="Z79" s="40">
        <f>(AD79+X79)/2</f>
        <v>74.91904761430439</v>
      </c>
      <c r="AA79" s="41"/>
      <c r="AB79" s="42"/>
      <c r="AC79" s="43"/>
      <c r="AD79" s="43">
        <v>76.08</v>
      </c>
    </row>
    <row r="80" spans="1:30" ht="24" customHeight="1" x14ac:dyDescent="0.4">
      <c r="A80" s="249" t="s">
        <v>145</v>
      </c>
      <c r="B80" s="246" t="s">
        <v>116</v>
      </c>
      <c r="C80" s="253" t="s">
        <v>63</v>
      </c>
      <c r="D80" s="256" t="s">
        <v>140</v>
      </c>
      <c r="E80" s="28">
        <v>69010509</v>
      </c>
      <c r="F80" s="29">
        <v>690109</v>
      </c>
      <c r="G80" s="45">
        <v>1156</v>
      </c>
      <c r="H80" s="31">
        <v>795</v>
      </c>
      <c r="I80" s="46">
        <v>800</v>
      </c>
      <c r="J80" s="32">
        <v>800</v>
      </c>
      <c r="K80" s="33">
        <f t="shared" si="3"/>
        <v>92.48</v>
      </c>
      <c r="L80" s="47">
        <f t="shared" si="3"/>
        <v>63.6</v>
      </c>
      <c r="M80" s="31">
        <v>1994</v>
      </c>
      <c r="N80" s="31">
        <v>1150</v>
      </c>
      <c r="O80" s="31">
        <v>1150</v>
      </c>
      <c r="P80" s="31">
        <v>1945</v>
      </c>
      <c r="Q80" s="35">
        <v>2000</v>
      </c>
      <c r="R80" s="48"/>
      <c r="S80" s="36">
        <v>148.19999999999999</v>
      </c>
      <c r="T80" s="36"/>
      <c r="U80" s="37"/>
      <c r="V80" s="38"/>
      <c r="W80" s="39">
        <f>S80*1000/39.37/Q80*38.5</f>
        <v>72.46253492506986</v>
      </c>
      <c r="X80" s="39"/>
      <c r="Y80" s="40">
        <f>(AC80+W80)/2</f>
        <v>73.671267462534928</v>
      </c>
      <c r="Z80" s="40"/>
      <c r="AA80" s="41"/>
      <c r="AB80" s="42"/>
      <c r="AC80" s="43">
        <v>74.88</v>
      </c>
      <c r="AD80" s="43"/>
    </row>
    <row r="81" spans="1:34" ht="23.25" customHeight="1" x14ac:dyDescent="0.4">
      <c r="A81" s="249" t="s">
        <v>147</v>
      </c>
      <c r="B81" s="246" t="s">
        <v>116</v>
      </c>
      <c r="C81" s="253" t="s">
        <v>63</v>
      </c>
      <c r="D81" s="256" t="s">
        <v>47</v>
      </c>
      <c r="E81" s="28">
        <v>69010502</v>
      </c>
      <c r="F81" s="29">
        <v>690119</v>
      </c>
      <c r="G81" s="45">
        <v>1010</v>
      </c>
      <c r="H81" s="31">
        <v>756</v>
      </c>
      <c r="I81" s="46">
        <v>800</v>
      </c>
      <c r="J81" s="32">
        <v>800</v>
      </c>
      <c r="K81" s="33">
        <f t="shared" si="3"/>
        <v>80.8</v>
      </c>
      <c r="L81" s="47">
        <f t="shared" si="3"/>
        <v>60.48</v>
      </c>
      <c r="M81" s="31">
        <v>200</v>
      </c>
      <c r="N81" s="31">
        <v>1210</v>
      </c>
      <c r="O81" s="31">
        <v>1210</v>
      </c>
      <c r="P81" s="31">
        <v>1966</v>
      </c>
      <c r="Q81" s="35">
        <v>2500</v>
      </c>
      <c r="R81" s="48"/>
      <c r="S81" s="36">
        <v>206.1</v>
      </c>
      <c r="T81" s="36"/>
      <c r="U81" s="37">
        <v>25</v>
      </c>
      <c r="V81" s="38"/>
      <c r="W81" s="39">
        <f>S81*1000/39.37/Q81*38.5</f>
        <v>80.618237236474485</v>
      </c>
      <c r="X81" s="39"/>
      <c r="Y81" s="40">
        <f>(AC81+W81)/2</f>
        <v>81.454118618237246</v>
      </c>
      <c r="Z81" s="40"/>
      <c r="AA81" s="41"/>
      <c r="AB81" s="42"/>
      <c r="AC81" s="43">
        <v>82.29</v>
      </c>
      <c r="AD81" s="43"/>
    </row>
    <row r="82" spans="1:34" ht="24" customHeight="1" x14ac:dyDescent="0.4">
      <c r="A82" s="249" t="s">
        <v>148</v>
      </c>
      <c r="B82" s="246" t="s">
        <v>116</v>
      </c>
      <c r="C82" s="253" t="s">
        <v>63</v>
      </c>
      <c r="D82" s="256" t="s">
        <v>47</v>
      </c>
      <c r="E82" s="28"/>
      <c r="F82" s="29">
        <v>690119</v>
      </c>
      <c r="G82" s="45">
        <v>1000</v>
      </c>
      <c r="H82" s="31">
        <v>797</v>
      </c>
      <c r="I82" s="46">
        <v>800</v>
      </c>
      <c r="J82" s="32">
        <v>800</v>
      </c>
      <c r="K82" s="33">
        <f t="shared" si="3"/>
        <v>80</v>
      </c>
      <c r="L82" s="47">
        <f t="shared" si="3"/>
        <v>63.76</v>
      </c>
      <c r="M82" s="31">
        <v>703</v>
      </c>
      <c r="N82" s="31">
        <v>1703</v>
      </c>
      <c r="O82" s="31">
        <v>1703</v>
      </c>
      <c r="P82" s="31">
        <v>0</v>
      </c>
      <c r="Q82" s="35"/>
      <c r="R82" s="48"/>
      <c r="S82" s="36"/>
      <c r="T82" s="36"/>
      <c r="U82" s="37"/>
      <c r="V82" s="38"/>
      <c r="W82" s="39"/>
      <c r="X82" s="39"/>
      <c r="Y82" s="40"/>
      <c r="Z82" s="40"/>
      <c r="AA82" s="41"/>
      <c r="AB82" s="42"/>
      <c r="AC82" s="43"/>
      <c r="AD82" s="43"/>
    </row>
    <row r="83" spans="1:34" ht="24" customHeight="1" x14ac:dyDescent="0.4">
      <c r="A83" s="251" t="s">
        <v>114</v>
      </c>
      <c r="B83" s="246" t="s">
        <v>116</v>
      </c>
      <c r="C83" s="253" t="s">
        <v>63</v>
      </c>
      <c r="D83" s="256" t="s">
        <v>57</v>
      </c>
      <c r="E83" s="28">
        <v>69010532</v>
      </c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4">G83*8/100</f>
        <v>0</v>
      </c>
      <c r="L83" s="47">
        <f t="shared" si="4"/>
        <v>0</v>
      </c>
      <c r="M83" s="31">
        <v>230</v>
      </c>
      <c r="N83" s="31">
        <v>230</v>
      </c>
      <c r="O83" s="31">
        <v>230</v>
      </c>
      <c r="P83" s="31">
        <v>230</v>
      </c>
      <c r="Q83" s="35"/>
      <c r="R83" s="48">
        <v>870</v>
      </c>
      <c r="S83" s="36"/>
      <c r="T83" s="36">
        <v>69.599999999999994</v>
      </c>
      <c r="U83" s="37"/>
      <c r="V83" s="38"/>
      <c r="W83" s="39"/>
      <c r="X83" s="39">
        <f>T83*1000/39.37/R83*31.5</f>
        <v>64.008128016256023</v>
      </c>
      <c r="Y83" s="40"/>
      <c r="Z83" s="40">
        <f>(AD83+X83)/2</f>
        <v>64.849064008128011</v>
      </c>
      <c r="AA83" s="41"/>
      <c r="AB83" s="42"/>
      <c r="AC83" s="43"/>
      <c r="AD83" s="43">
        <v>65.69</v>
      </c>
    </row>
    <row r="84" spans="1:34" ht="24" customHeight="1" x14ac:dyDescent="0.4">
      <c r="A84" s="251" t="s">
        <v>215</v>
      </c>
      <c r="B84" s="26"/>
      <c r="C84" s="254"/>
      <c r="D84" s="256" t="s">
        <v>104</v>
      </c>
      <c r="E84" s="28"/>
      <c r="F84" s="29">
        <v>690128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1">
        <v>34</v>
      </c>
      <c r="N84" s="31">
        <v>34</v>
      </c>
      <c r="O84" s="31">
        <v>34</v>
      </c>
      <c r="P84" s="31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54"/>
      <c r="D85" s="256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5">G85*8/100</f>
        <v>0</v>
      </c>
      <c r="L85" s="47">
        <f t="shared" si="5"/>
        <v>0</v>
      </c>
      <c r="M85" s="81">
        <v>62</v>
      </c>
      <c r="N85" s="81">
        <v>62</v>
      </c>
      <c r="O85" s="81">
        <v>62</v>
      </c>
      <c r="P85" s="8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54"/>
      <c r="D86" s="257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5"/>
        <v>0</v>
      </c>
      <c r="L86" s="47">
        <f t="shared" si="5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57517</v>
      </c>
      <c r="H87" s="86">
        <f>SUM(H6:H82)</f>
        <v>48224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44978</v>
      </c>
      <c r="R87" s="89">
        <f>SUM(R6:R86)</f>
        <v>44123</v>
      </c>
      <c r="S87" s="90">
        <f>SUM(S6:S86)</f>
        <v>3695.4999999999995</v>
      </c>
      <c r="T87" s="91">
        <f>SUM(T6:T86)</f>
        <v>3465.2999999999997</v>
      </c>
      <c r="U87" s="89">
        <f>SUM(U6:U86)</f>
        <v>345</v>
      </c>
      <c r="V87" s="89">
        <f>SUM(V6:V84)</f>
        <v>375</v>
      </c>
      <c r="W87" s="92">
        <f>SUM(W6:W86)</f>
        <v>1811.1891034420496</v>
      </c>
      <c r="X87" s="93">
        <f>SUM(X6:X86)</f>
        <v>1494.9613699183601</v>
      </c>
      <c r="Y87" s="94">
        <f>SUM(Y6:Y86)</f>
        <v>1832.6345517210245</v>
      </c>
      <c r="Z87" s="95">
        <f>SUM(Z6:Z86)</f>
        <v>1518.6013867328991</v>
      </c>
      <c r="AA87" s="96">
        <f>SUM(AA6:AA82)</f>
        <v>0</v>
      </c>
      <c r="AB87" s="97">
        <f>SUM(AB6:AB82)</f>
        <v>0</v>
      </c>
      <c r="AC87" s="98">
        <f>SUM(AC6:AC86)</f>
        <v>1854.08</v>
      </c>
      <c r="AD87" s="98">
        <f>SUM(AD6:AD86)</f>
        <v>1542.173</v>
      </c>
    </row>
    <row r="88" spans="1:34" ht="24" customHeight="1" thickBot="1" x14ac:dyDescent="0.45">
      <c r="A88" s="334"/>
      <c r="B88" s="83">
        <v>69</v>
      </c>
      <c r="C88" s="83">
        <v>56</v>
      </c>
      <c r="D88" s="84"/>
      <c r="E88" s="84"/>
      <c r="F88" s="84"/>
      <c r="G88" s="341">
        <f>G87+H87</f>
        <v>105741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</f>
        <v>93371</v>
      </c>
      <c r="R88" s="342"/>
      <c r="S88" s="375">
        <f>S87+T87+S133</f>
        <v>7714.5999999999995</v>
      </c>
      <c r="T88" s="376"/>
      <c r="U88" s="341">
        <f>U87+V87+U133</f>
        <v>745</v>
      </c>
      <c r="V88" s="342"/>
      <c r="W88" s="375">
        <f>W87+X87+W133</f>
        <v>3813.2756951157266</v>
      </c>
      <c r="X88" s="376"/>
      <c r="Y88" s="375">
        <f>Y87+Z87+Y133</f>
        <v>3735.8527531538689</v>
      </c>
      <c r="Z88" s="376"/>
      <c r="AA88" s="375">
        <f>AA87+AB87+AA133</f>
        <v>124.7</v>
      </c>
      <c r="AB88" s="376"/>
      <c r="AC88" s="375">
        <f>AC87+AD87+AC133</f>
        <v>3526.2829999999999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231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93371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720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57517</v>
      </c>
      <c r="O91" s="108" t="s">
        <v>158</v>
      </c>
      <c r="P91" s="108"/>
      <c r="Q91" s="108" t="s">
        <v>159</v>
      </c>
      <c r="R91" s="109"/>
      <c r="S91" s="120">
        <f>H87</f>
        <v>48224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345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1.19258</v>
      </c>
      <c r="F92" s="124"/>
      <c r="G92" s="108" t="s">
        <v>162</v>
      </c>
      <c r="H92" s="125"/>
      <c r="I92" s="125">
        <v>10280</v>
      </c>
      <c r="J92" s="117" t="s">
        <v>154</v>
      </c>
      <c r="K92" s="108"/>
      <c r="L92" s="108" t="s">
        <v>163</v>
      </c>
      <c r="M92" s="108"/>
      <c r="N92" s="126">
        <f>G87/B88</f>
        <v>833.5797101449275</v>
      </c>
      <c r="O92" s="108" t="s">
        <v>158</v>
      </c>
      <c r="P92" s="108"/>
      <c r="Q92" s="108" t="s">
        <v>164</v>
      </c>
      <c r="S92" s="126">
        <f>H87/C88</f>
        <v>861.14285714285711</v>
      </c>
      <c r="T92" s="108"/>
      <c r="U92" s="108" t="s">
        <v>158</v>
      </c>
      <c r="W92" s="110"/>
      <c r="X92" s="108"/>
      <c r="Y92" s="127" t="s">
        <v>165</v>
      </c>
      <c r="AA92" s="122">
        <f>V87</f>
        <v>375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220</v>
      </c>
      <c r="F93" s="129"/>
      <c r="G93" s="108" t="s">
        <v>162</v>
      </c>
      <c r="H93" s="125"/>
      <c r="I93" s="125">
        <v>7523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>
        <v>13445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169</v>
      </c>
      <c r="F95" s="116"/>
      <c r="G95" s="108" t="s">
        <v>162</v>
      </c>
      <c r="H95" s="125"/>
      <c r="I95" s="125">
        <v>9435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>
        <v>4000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174</v>
      </c>
      <c r="F97" s="129"/>
      <c r="G97" s="108" t="s">
        <v>162</v>
      </c>
      <c r="H97" s="125"/>
      <c r="I97" s="125">
        <v>9530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69</v>
      </c>
      <c r="P97" s="108" t="s">
        <v>25</v>
      </c>
      <c r="Q97" s="108"/>
      <c r="R97" s="108"/>
      <c r="S97" s="130" t="s">
        <v>177</v>
      </c>
      <c r="T97" s="138">
        <f>C88</f>
        <v>56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23273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3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18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/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222</v>
      </c>
      <c r="F100" s="148"/>
      <c r="G100" s="108" t="s">
        <v>162</v>
      </c>
      <c r="H100" s="125"/>
      <c r="I100" s="125">
        <v>5000</v>
      </c>
      <c r="J100" s="117" t="s">
        <v>154</v>
      </c>
      <c r="K100" s="8"/>
      <c r="L100" s="149" t="s">
        <v>188</v>
      </c>
      <c r="M100" s="150" t="s">
        <v>239</v>
      </c>
      <c r="N100" s="150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190</v>
      </c>
      <c r="F101" s="155"/>
      <c r="G101" s="108" t="s">
        <v>162</v>
      </c>
      <c r="H101" s="125"/>
      <c r="I101" s="125"/>
      <c r="J101" s="117" t="s">
        <v>154</v>
      </c>
      <c r="K101" s="108"/>
      <c r="L101" s="149"/>
      <c r="M101" s="150" t="s">
        <v>240</v>
      </c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156" t="s">
        <v>191</v>
      </c>
      <c r="F102" s="157"/>
      <c r="G102" s="108" t="s">
        <v>162</v>
      </c>
      <c r="H102" s="125"/>
      <c r="I102" s="125">
        <v>2500</v>
      </c>
      <c r="J102" s="117" t="s">
        <v>154</v>
      </c>
      <c r="K102" s="108"/>
      <c r="L102" s="149"/>
      <c r="M102" s="149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/>
      <c r="J103" s="117" t="s">
        <v>154</v>
      </c>
      <c r="K103" s="8"/>
      <c r="L103" s="149" t="s">
        <v>193</v>
      </c>
      <c r="M103" s="150"/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>
        <v>4270</v>
      </c>
      <c r="J104" s="117" t="s">
        <v>154</v>
      </c>
      <c r="K104" s="8"/>
      <c r="L104" s="1"/>
      <c r="M104" s="150"/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198</v>
      </c>
      <c r="F105" s="155"/>
      <c r="G105" s="108" t="s">
        <v>162</v>
      </c>
      <c r="H105" s="125"/>
      <c r="I105" s="125"/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>
        <v>4125</v>
      </c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202</v>
      </c>
      <c r="F107" s="155"/>
      <c r="G107" s="108" t="s">
        <v>162</v>
      </c>
      <c r="H107" s="125"/>
      <c r="I107" s="125"/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238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 t="s">
        <v>228</v>
      </c>
      <c r="AB108" s="149" t="s">
        <v>229</v>
      </c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 t="s">
        <v>228</v>
      </c>
      <c r="AB109" s="149" t="s">
        <v>230</v>
      </c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>
        <v>69010533</v>
      </c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>
        <v>1350</v>
      </c>
      <c r="S122" s="224"/>
      <c r="T122" s="57">
        <v>175.3</v>
      </c>
      <c r="U122" s="59"/>
      <c r="V122" s="59">
        <v>10</v>
      </c>
      <c r="W122" s="39"/>
      <c r="X122" s="39">
        <f>T122*1000/39.37/R122*38.5</f>
        <v>126.98237989068571</v>
      </c>
      <c r="Y122" s="40"/>
      <c r="Z122" s="40">
        <v>128.51</v>
      </c>
      <c r="AA122" s="225"/>
      <c r="AB122" s="226"/>
      <c r="AC122" s="227"/>
      <c r="AD122" s="228">
        <v>130.03</v>
      </c>
    </row>
    <row r="123" spans="1:38" ht="32.25" thickBot="1" x14ac:dyDescent="0.55000000000000004">
      <c r="A123" s="212" t="s">
        <v>72</v>
      </c>
      <c r="B123" s="213" t="s">
        <v>209</v>
      </c>
      <c r="C123" s="213" t="s">
        <v>210</v>
      </c>
      <c r="D123" s="214" t="s">
        <v>211</v>
      </c>
      <c r="E123" s="215">
        <v>69010518</v>
      </c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>
        <v>1400</v>
      </c>
      <c r="R123" s="67"/>
      <c r="S123" s="229">
        <v>181.7</v>
      </c>
      <c r="T123" s="57"/>
      <c r="U123" s="58">
        <v>15</v>
      </c>
      <c r="V123" s="59"/>
      <c r="W123" s="39">
        <f>S123*1000/39.37/Q123*38.5</f>
        <v>126.91770383540768</v>
      </c>
      <c r="X123" s="39"/>
      <c r="Y123" s="40">
        <f t="shared" ref="Y123:Y124" si="6">(AC123+W123)/2</f>
        <v>128.46885191770383</v>
      </c>
      <c r="Z123" s="40"/>
      <c r="AA123" s="225"/>
      <c r="AB123" s="226"/>
      <c r="AC123" s="227">
        <v>130.02000000000001</v>
      </c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>
        <v>69010520</v>
      </c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>
        <v>760</v>
      </c>
      <c r="R124" s="56"/>
      <c r="S124" s="231">
        <v>98.9</v>
      </c>
      <c r="T124" s="57"/>
      <c r="U124" s="58"/>
      <c r="V124" s="59"/>
      <c r="W124" s="39">
        <f>S124*1000/39.37/Q124*38.5</f>
        <v>127.25592556448272</v>
      </c>
      <c r="X124" s="39"/>
      <c r="Y124" s="40">
        <f t="shared" si="6"/>
        <v>127.63796278224137</v>
      </c>
      <c r="Z124" s="40"/>
      <c r="AA124" s="232"/>
      <c r="AB124" s="226"/>
      <c r="AC124" s="233">
        <v>128.02000000000001</v>
      </c>
      <c r="AD124" s="234"/>
    </row>
    <row r="125" spans="1:38" ht="32.25" thickBot="1" x14ac:dyDescent="0.55000000000000004">
      <c r="A125" s="212" t="s">
        <v>54</v>
      </c>
      <c r="B125" s="213" t="s">
        <v>209</v>
      </c>
      <c r="C125" s="213" t="s">
        <v>210</v>
      </c>
      <c r="D125" s="214" t="s">
        <v>211</v>
      </c>
      <c r="E125" s="215">
        <v>69010519</v>
      </c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>
        <v>760</v>
      </c>
      <c r="R125" s="56"/>
      <c r="S125" s="231">
        <v>97.9</v>
      </c>
      <c r="T125" s="57"/>
      <c r="U125" s="58"/>
      <c r="V125" s="59"/>
      <c r="W125" s="39">
        <f>S125*1000/39.37/Q125*38.5</f>
        <v>125.96921246474074</v>
      </c>
      <c r="X125" s="39"/>
      <c r="Y125" s="40"/>
      <c r="Z125" s="40"/>
      <c r="AA125" s="232">
        <v>124.7</v>
      </c>
      <c r="AB125" s="226"/>
      <c r="AC125" s="233">
        <v>123.42</v>
      </c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7">SUM(Q122:Q131)</f>
        <v>2920</v>
      </c>
      <c r="R132" s="237">
        <f t="shared" si="7"/>
        <v>1350</v>
      </c>
      <c r="S132" s="238">
        <f t="shared" si="7"/>
        <v>378.5</v>
      </c>
      <c r="T132" s="238">
        <f t="shared" si="7"/>
        <v>175.3</v>
      </c>
      <c r="U132" s="237">
        <f t="shared" si="7"/>
        <v>15</v>
      </c>
      <c r="V132" s="237">
        <f t="shared" si="7"/>
        <v>10</v>
      </c>
      <c r="W132" s="238">
        <f t="shared" si="7"/>
        <v>380.14284186463112</v>
      </c>
      <c r="X132" s="238">
        <f t="shared" si="7"/>
        <v>126.98237989068571</v>
      </c>
      <c r="Y132" s="95">
        <f t="shared" si="7"/>
        <v>256.10681469994518</v>
      </c>
      <c r="Z132" s="95">
        <f t="shared" si="7"/>
        <v>128.51</v>
      </c>
      <c r="AA132" s="238">
        <f t="shared" si="7"/>
        <v>124.7</v>
      </c>
      <c r="AB132" s="238">
        <f t="shared" si="7"/>
        <v>0</v>
      </c>
      <c r="AC132" s="98"/>
      <c r="AD132" s="98">
        <f t="shared" si="7"/>
        <v>130.03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4270</v>
      </c>
      <c r="R133" s="344"/>
      <c r="S133" s="345">
        <f>S132+T132</f>
        <v>553.79999999999995</v>
      </c>
      <c r="T133" s="346"/>
      <c r="U133" s="347">
        <f>U132+V132</f>
        <v>25</v>
      </c>
      <c r="V133" s="348"/>
      <c r="W133" s="327">
        <f>W132+X132</f>
        <v>507.12522175531683</v>
      </c>
      <c r="X133" s="328"/>
      <c r="Y133" s="329">
        <f>Y132+Z132</f>
        <v>384.61681469994517</v>
      </c>
      <c r="Z133" s="330"/>
      <c r="AA133" s="327">
        <f>AA132+AB132</f>
        <v>124.7</v>
      </c>
      <c r="AB133" s="328"/>
      <c r="AC133" s="331">
        <f>AC132+AD132</f>
        <v>130.03</v>
      </c>
      <c r="AD133" s="332"/>
    </row>
    <row r="134" spans="1:30" ht="18.75" thickBot="1" x14ac:dyDescent="0.45"/>
    <row r="135" spans="1:30" x14ac:dyDescent="0.4">
      <c r="A135" s="368" t="s">
        <v>1</v>
      </c>
      <c r="B135" s="349" t="s">
        <v>2</v>
      </c>
      <c r="C135" s="350"/>
      <c r="D135" s="5" t="s">
        <v>3</v>
      </c>
      <c r="E135" s="7"/>
      <c r="F135" s="7"/>
      <c r="G135" s="349" t="s">
        <v>4</v>
      </c>
      <c r="H135" s="350"/>
      <c r="I135" s="349" t="s">
        <v>5</v>
      </c>
      <c r="J135" s="350"/>
      <c r="K135" s="349" t="s">
        <v>6</v>
      </c>
      <c r="L135" s="350"/>
      <c r="M135" s="370" t="s">
        <v>7</v>
      </c>
      <c r="N135" s="371"/>
      <c r="O135" s="362" t="s">
        <v>7</v>
      </c>
      <c r="P135" s="363"/>
      <c r="Q135" s="364" t="s">
        <v>8</v>
      </c>
      <c r="R135" s="365"/>
      <c r="S135" s="349" t="s">
        <v>9</v>
      </c>
      <c r="T135" s="350"/>
      <c r="U135" s="366" t="s">
        <v>10</v>
      </c>
      <c r="V135" s="367"/>
      <c r="W135" s="349" t="s">
        <v>11</v>
      </c>
      <c r="X135" s="350"/>
      <c r="Y135" s="349" t="s">
        <v>12</v>
      </c>
      <c r="Z135" s="350"/>
      <c r="AA135" s="349" t="s">
        <v>13</v>
      </c>
      <c r="AB135" s="350"/>
      <c r="AC135" s="349" t="s">
        <v>14</v>
      </c>
      <c r="AD135" s="353"/>
    </row>
    <row r="136" spans="1:30" ht="21" x14ac:dyDescent="0.4">
      <c r="A136" s="369"/>
      <c r="B136" s="351"/>
      <c r="C136" s="352"/>
      <c r="D136" s="8" t="s">
        <v>15</v>
      </c>
      <c r="E136" s="205" t="s">
        <v>16</v>
      </c>
      <c r="F136" s="9" t="s">
        <v>17</v>
      </c>
      <c r="G136" s="351"/>
      <c r="H136" s="352"/>
      <c r="I136" s="351"/>
      <c r="J136" s="352"/>
      <c r="K136" s="351"/>
      <c r="L136" s="352"/>
      <c r="M136" s="354" t="s">
        <v>18</v>
      </c>
      <c r="N136" s="355"/>
      <c r="O136" s="356" t="s">
        <v>19</v>
      </c>
      <c r="P136" s="357"/>
      <c r="Q136" s="358" t="s">
        <v>20</v>
      </c>
      <c r="R136" s="359"/>
      <c r="S136" s="351" t="s">
        <v>21</v>
      </c>
      <c r="T136" s="352"/>
      <c r="U136" s="360" t="s">
        <v>22</v>
      </c>
      <c r="V136" s="359"/>
      <c r="W136" s="351" t="s">
        <v>23</v>
      </c>
      <c r="X136" s="352"/>
      <c r="Y136" s="351"/>
      <c r="Z136" s="352"/>
      <c r="AA136" s="351"/>
      <c r="AB136" s="352"/>
      <c r="AC136" s="351" t="s">
        <v>24</v>
      </c>
      <c r="AD136" s="361"/>
    </row>
    <row r="137" spans="1:30" ht="18.75" thickBot="1" x14ac:dyDescent="0.45">
      <c r="A137" s="10" t="s">
        <v>25</v>
      </c>
      <c r="B137" s="206" t="s">
        <v>207</v>
      </c>
      <c r="C137" s="12" t="s">
        <v>208</v>
      </c>
      <c r="D137" s="13" t="s">
        <v>28</v>
      </c>
      <c r="E137" s="207"/>
      <c r="F137" s="207"/>
      <c r="G137" s="12" t="s">
        <v>26</v>
      </c>
      <c r="H137" s="12" t="s">
        <v>27</v>
      </c>
      <c r="I137" s="11" t="s">
        <v>26</v>
      </c>
      <c r="J137" s="12" t="s">
        <v>27</v>
      </c>
      <c r="K137" s="11" t="s">
        <v>29</v>
      </c>
      <c r="L137" s="14" t="s">
        <v>30</v>
      </c>
      <c r="M137" s="208" t="s">
        <v>31</v>
      </c>
      <c r="N137" s="209" t="s">
        <v>32</v>
      </c>
      <c r="O137" s="210" t="s">
        <v>31</v>
      </c>
      <c r="P137" s="211" t="s">
        <v>32</v>
      </c>
      <c r="Q137" s="19" t="s">
        <v>26</v>
      </c>
      <c r="R137" s="12" t="s">
        <v>27</v>
      </c>
      <c r="S137" s="20" t="s">
        <v>26</v>
      </c>
      <c r="T137" s="12" t="s">
        <v>27</v>
      </c>
      <c r="U137" s="19" t="s">
        <v>26</v>
      </c>
      <c r="V137" s="12" t="s">
        <v>27</v>
      </c>
      <c r="W137" s="21" t="s">
        <v>26</v>
      </c>
      <c r="X137" s="12" t="s">
        <v>27</v>
      </c>
      <c r="Y137" s="22" t="s">
        <v>26</v>
      </c>
      <c r="Z137" s="23" t="s">
        <v>27</v>
      </c>
      <c r="AA137" s="19" t="s">
        <v>26</v>
      </c>
      <c r="AB137" s="12" t="s">
        <v>27</v>
      </c>
      <c r="AC137" s="11" t="s">
        <v>26</v>
      </c>
      <c r="AD137" s="24" t="s">
        <v>27</v>
      </c>
    </row>
    <row r="138" spans="1:30" ht="32.25" thickBot="1" x14ac:dyDescent="0.55000000000000004">
      <c r="A138" s="212" t="s">
        <v>130</v>
      </c>
      <c r="B138" s="213" t="s">
        <v>209</v>
      </c>
      <c r="C138" s="213" t="s">
        <v>210</v>
      </c>
      <c r="D138" s="258" t="s">
        <v>237</v>
      </c>
      <c r="E138" s="215"/>
      <c r="F138" s="73">
        <v>690133</v>
      </c>
      <c r="G138" s="216"/>
      <c r="H138" s="217"/>
      <c r="I138" s="46">
        <v>800</v>
      </c>
      <c r="J138" s="32">
        <v>800</v>
      </c>
      <c r="K138" s="218"/>
      <c r="L138" s="218"/>
      <c r="M138" s="219"/>
      <c r="N138" s="220"/>
      <c r="O138" s="220"/>
      <c r="P138" s="221"/>
      <c r="Q138" s="222"/>
      <c r="R138" s="223"/>
      <c r="S138" s="224"/>
      <c r="T138" s="57"/>
      <c r="U138" s="59"/>
      <c r="V138" s="59"/>
      <c r="W138" s="39"/>
      <c r="X138" s="39"/>
      <c r="Y138" s="40"/>
      <c r="Z138" s="40"/>
      <c r="AA138" s="225"/>
      <c r="AB138" s="226"/>
      <c r="AC138" s="227"/>
      <c r="AD138" s="228"/>
    </row>
    <row r="139" spans="1:30" ht="32.25" thickBot="1" x14ac:dyDescent="0.55000000000000004">
      <c r="A139" s="212" t="s">
        <v>72</v>
      </c>
      <c r="B139" s="213" t="s">
        <v>209</v>
      </c>
      <c r="C139" s="213" t="s">
        <v>210</v>
      </c>
      <c r="D139" s="258" t="s">
        <v>237</v>
      </c>
      <c r="E139" s="215"/>
      <c r="F139" s="73">
        <v>690133</v>
      </c>
      <c r="G139" s="216"/>
      <c r="H139" s="217"/>
      <c r="I139" s="46">
        <v>800</v>
      </c>
      <c r="J139" s="32">
        <v>800</v>
      </c>
      <c r="K139" s="218"/>
      <c r="L139" s="218"/>
      <c r="M139" s="219"/>
      <c r="N139" s="220"/>
      <c r="O139" s="220"/>
      <c r="P139" s="221"/>
      <c r="Q139" s="222"/>
      <c r="R139" s="67"/>
      <c r="S139" s="229"/>
      <c r="T139" s="57"/>
      <c r="U139" s="58"/>
      <c r="V139" s="59"/>
      <c r="W139" s="39"/>
      <c r="X139" s="39"/>
      <c r="Y139" s="40"/>
      <c r="Z139" s="40"/>
      <c r="AA139" s="225"/>
      <c r="AB139" s="226"/>
      <c r="AC139" s="227"/>
      <c r="AD139" s="228"/>
    </row>
    <row r="140" spans="1:30" ht="32.25" thickBot="1" x14ac:dyDescent="0.55000000000000004">
      <c r="A140" s="212" t="s">
        <v>117</v>
      </c>
      <c r="B140" s="213" t="s">
        <v>209</v>
      </c>
      <c r="C140" s="213" t="s">
        <v>210</v>
      </c>
      <c r="D140" s="258" t="s">
        <v>237</v>
      </c>
      <c r="E140" s="215"/>
      <c r="F140" s="73">
        <v>690133</v>
      </c>
      <c r="G140" s="216"/>
      <c r="H140" s="217"/>
      <c r="I140" s="46">
        <v>800</v>
      </c>
      <c r="J140" s="32">
        <v>800</v>
      </c>
      <c r="K140" s="218"/>
      <c r="L140" s="218"/>
      <c r="M140" s="219"/>
      <c r="N140" s="220"/>
      <c r="O140" s="220"/>
      <c r="P140" s="221"/>
      <c r="Q140" s="230"/>
      <c r="R140" s="56"/>
      <c r="S140" s="231"/>
      <c r="T140" s="57"/>
      <c r="U140" s="58"/>
      <c r="V140" s="59"/>
      <c r="W140" s="39"/>
      <c r="X140" s="39"/>
      <c r="Y140" s="40"/>
      <c r="Z140" s="40"/>
      <c r="AA140" s="232"/>
      <c r="AB140" s="226"/>
      <c r="AC140" s="233"/>
      <c r="AD140" s="234"/>
    </row>
    <row r="141" spans="1:30" ht="32.25" thickBot="1" x14ac:dyDescent="0.55000000000000004">
      <c r="A141" s="212" t="s">
        <v>54</v>
      </c>
      <c r="B141" s="213" t="s">
        <v>209</v>
      </c>
      <c r="C141" s="213" t="s">
        <v>210</v>
      </c>
      <c r="D141" s="258" t="s">
        <v>237</v>
      </c>
      <c r="E141" s="215"/>
      <c r="F141" s="73">
        <v>690133</v>
      </c>
      <c r="G141" s="216"/>
      <c r="H141" s="217"/>
      <c r="I141" s="46">
        <v>800</v>
      </c>
      <c r="J141" s="32">
        <v>800</v>
      </c>
      <c r="K141" s="218"/>
      <c r="L141" s="218"/>
      <c r="M141" s="219"/>
      <c r="N141" s="220"/>
      <c r="O141" s="220"/>
      <c r="P141" s="221"/>
      <c r="Q141" s="230"/>
      <c r="R141" s="56"/>
      <c r="S141" s="231"/>
      <c r="T141" s="57"/>
      <c r="U141" s="58"/>
      <c r="V141" s="59"/>
      <c r="W141" s="39"/>
      <c r="X141" s="39"/>
      <c r="Y141" s="40"/>
      <c r="Z141" s="40"/>
      <c r="AA141" s="232"/>
      <c r="AB141" s="226"/>
      <c r="AC141" s="233"/>
      <c r="AD141" s="234"/>
    </row>
    <row r="142" spans="1:30" ht="32.25" thickBot="1" x14ac:dyDescent="0.55000000000000004">
      <c r="A142" s="212" t="s">
        <v>38</v>
      </c>
      <c r="B142" s="213" t="s">
        <v>209</v>
      </c>
      <c r="C142" s="213" t="s">
        <v>210</v>
      </c>
      <c r="D142" s="258" t="s">
        <v>237</v>
      </c>
      <c r="E142" s="215"/>
      <c r="F142" s="73">
        <v>690133</v>
      </c>
      <c r="G142" s="216"/>
      <c r="H142" s="217"/>
      <c r="I142" s="46">
        <v>800</v>
      </c>
      <c r="J142" s="32">
        <v>800</v>
      </c>
      <c r="K142" s="218"/>
      <c r="L142" s="218"/>
      <c r="M142" s="219"/>
      <c r="N142" s="220"/>
      <c r="O142" s="220"/>
      <c r="P142" s="221"/>
      <c r="Q142" s="230"/>
      <c r="R142" s="56"/>
      <c r="S142" s="231"/>
      <c r="T142" s="57"/>
      <c r="U142" s="58"/>
      <c r="V142" s="59"/>
      <c r="W142" s="39"/>
      <c r="X142" s="39"/>
      <c r="Y142" s="40"/>
      <c r="Z142" s="40"/>
      <c r="AA142" s="232"/>
      <c r="AB142" s="226"/>
      <c r="AC142" s="233"/>
      <c r="AD142" s="234"/>
    </row>
    <row r="143" spans="1:30" ht="32.25" thickBot="1" x14ac:dyDescent="0.55000000000000004">
      <c r="A143" s="212" t="s">
        <v>40</v>
      </c>
      <c r="B143" s="213" t="s">
        <v>209</v>
      </c>
      <c r="C143" s="213" t="s">
        <v>210</v>
      </c>
      <c r="D143" s="258" t="s">
        <v>237</v>
      </c>
      <c r="E143" s="215"/>
      <c r="F143" s="73">
        <v>690133</v>
      </c>
      <c r="G143" s="216"/>
      <c r="H143" s="217"/>
      <c r="I143" s="46">
        <v>800</v>
      </c>
      <c r="J143" s="32">
        <v>800</v>
      </c>
      <c r="K143" s="218"/>
      <c r="L143" s="218"/>
      <c r="M143" s="219"/>
      <c r="N143" s="220"/>
      <c r="O143" s="220"/>
      <c r="P143" s="221"/>
      <c r="Q143" s="222"/>
      <c r="R143" s="67"/>
      <c r="S143" s="229"/>
      <c r="T143" s="57"/>
      <c r="U143" s="58"/>
      <c r="V143" s="59"/>
      <c r="W143" s="39"/>
      <c r="X143" s="39"/>
      <c r="Y143" s="40"/>
      <c r="Z143" s="40"/>
      <c r="AA143" s="225"/>
      <c r="AB143" s="226"/>
      <c r="AC143" s="227"/>
      <c r="AD143" s="228"/>
    </row>
    <row r="144" spans="1:30" ht="32.25" thickBot="1" x14ac:dyDescent="0.55000000000000004">
      <c r="A144" s="212" t="s">
        <v>125</v>
      </c>
      <c r="B144" s="213" t="s">
        <v>209</v>
      </c>
      <c r="C144" s="213" t="s">
        <v>210</v>
      </c>
      <c r="D144" s="258" t="s">
        <v>237</v>
      </c>
      <c r="E144" s="215"/>
      <c r="F144" s="73">
        <v>690133</v>
      </c>
      <c r="G144" s="216"/>
      <c r="H144" s="217"/>
      <c r="I144" s="46">
        <v>800</v>
      </c>
      <c r="J144" s="32">
        <v>800</v>
      </c>
      <c r="K144" s="218"/>
      <c r="L144" s="218"/>
      <c r="M144" s="219"/>
      <c r="N144" s="220"/>
      <c r="O144" s="220"/>
      <c r="P144" s="221"/>
      <c r="Q144" s="230"/>
      <c r="R144" s="56"/>
      <c r="S144" s="231"/>
      <c r="T144" s="57"/>
      <c r="U144" s="58"/>
      <c r="V144" s="59"/>
      <c r="W144" s="39"/>
      <c r="X144" s="39"/>
      <c r="Y144" s="40"/>
      <c r="Z144" s="40"/>
      <c r="AA144" s="232"/>
      <c r="AB144" s="226"/>
      <c r="AC144" s="233"/>
      <c r="AD144" s="234"/>
    </row>
    <row r="145" spans="1:30" ht="32.25" thickBot="1" x14ac:dyDescent="0.55000000000000004">
      <c r="A145" s="212" t="s">
        <v>86</v>
      </c>
      <c r="B145" s="213" t="s">
        <v>209</v>
      </c>
      <c r="C145" s="213" t="s">
        <v>210</v>
      </c>
      <c r="D145" s="258" t="s">
        <v>237</v>
      </c>
      <c r="E145" s="215"/>
      <c r="F145" s="73">
        <v>690133</v>
      </c>
      <c r="G145" s="216"/>
      <c r="H145" s="217"/>
      <c r="I145" s="46">
        <v>800</v>
      </c>
      <c r="J145" s="32">
        <v>800</v>
      </c>
      <c r="K145" s="218"/>
      <c r="L145" s="218"/>
      <c r="M145" s="219"/>
      <c r="N145" s="220"/>
      <c r="O145" s="220"/>
      <c r="P145" s="221"/>
      <c r="Q145" s="222"/>
      <c r="R145" s="67"/>
      <c r="S145" s="229"/>
      <c r="T145" s="57"/>
      <c r="U145" s="58"/>
      <c r="V145" s="59"/>
      <c r="W145" s="39"/>
      <c r="X145" s="39"/>
      <c r="Y145" s="40"/>
      <c r="Z145" s="40"/>
      <c r="AA145" s="232"/>
      <c r="AB145" s="226"/>
      <c r="AC145" s="233"/>
      <c r="AD145" s="234"/>
    </row>
    <row r="146" spans="1:30" ht="32.25" thickBot="1" x14ac:dyDescent="0.55000000000000004">
      <c r="A146" s="212" t="s">
        <v>74</v>
      </c>
      <c r="B146" s="213" t="s">
        <v>209</v>
      </c>
      <c r="C146" s="213" t="s">
        <v>210</v>
      </c>
      <c r="D146" s="258" t="s">
        <v>237</v>
      </c>
      <c r="E146" s="215"/>
      <c r="F146" s="73">
        <v>690133</v>
      </c>
      <c r="G146" s="216"/>
      <c r="H146" s="217"/>
      <c r="I146" s="46">
        <v>800</v>
      </c>
      <c r="J146" s="32">
        <v>800</v>
      </c>
      <c r="K146" s="218"/>
      <c r="L146" s="218"/>
      <c r="M146" s="219"/>
      <c r="N146" s="220"/>
      <c r="O146" s="220"/>
      <c r="P146" s="221"/>
      <c r="Q146" s="230"/>
      <c r="R146" s="56"/>
      <c r="S146" s="231"/>
      <c r="T146" s="57"/>
      <c r="U146" s="58"/>
      <c r="V146" s="59"/>
      <c r="W146" s="39"/>
      <c r="X146" s="39"/>
      <c r="Y146" s="40"/>
      <c r="Z146" s="40"/>
      <c r="AA146" s="232"/>
      <c r="AB146" s="226"/>
      <c r="AC146" s="233"/>
      <c r="AD146" s="234"/>
    </row>
    <row r="147" spans="1:30" ht="32.25" thickBot="1" x14ac:dyDescent="0.55000000000000004">
      <c r="A147" s="212" t="s">
        <v>102</v>
      </c>
      <c r="B147" s="213" t="s">
        <v>209</v>
      </c>
      <c r="C147" s="213" t="s">
        <v>210</v>
      </c>
      <c r="D147" s="258" t="s">
        <v>211</v>
      </c>
      <c r="E147" s="215"/>
      <c r="F147" s="73">
        <v>690134</v>
      </c>
      <c r="G147" s="216"/>
      <c r="H147" s="217"/>
      <c r="I147" s="46">
        <v>800</v>
      </c>
      <c r="J147" s="32">
        <v>800</v>
      </c>
      <c r="K147" s="218"/>
      <c r="L147" s="218"/>
      <c r="M147" s="219"/>
      <c r="N147" s="220"/>
      <c r="O147" s="220"/>
      <c r="P147" s="221"/>
      <c r="Q147" s="222"/>
      <c r="R147" s="223"/>
      <c r="S147" s="224"/>
      <c r="T147" s="57"/>
      <c r="U147" s="59"/>
      <c r="V147" s="59"/>
      <c r="W147" s="39"/>
      <c r="X147" s="39"/>
      <c r="Y147" s="40"/>
      <c r="Z147" s="40"/>
      <c r="AA147" s="225"/>
      <c r="AB147" s="235"/>
      <c r="AC147" s="233"/>
      <c r="AD147" s="234"/>
    </row>
    <row r="148" spans="1:30" ht="24" thickBot="1" x14ac:dyDescent="0.45">
      <c r="A148" s="333" t="s">
        <v>150</v>
      </c>
      <c r="B148" s="83" t="s">
        <v>25</v>
      </c>
      <c r="C148" s="83" t="s">
        <v>25</v>
      </c>
      <c r="D148" s="84"/>
      <c r="E148" s="85"/>
      <c r="F148" s="84"/>
      <c r="G148" s="236">
        <f>SUM(G134:G134)</f>
        <v>0</v>
      </c>
      <c r="H148" s="236">
        <f>SUM(H134:H134)</f>
        <v>0</v>
      </c>
      <c r="I148" s="87"/>
      <c r="J148" s="87"/>
      <c r="K148" s="87"/>
      <c r="L148" s="88"/>
      <c r="M148" s="335"/>
      <c r="N148" s="336"/>
      <c r="O148" s="336"/>
      <c r="P148" s="337"/>
      <c r="Q148" s="237">
        <f t="shared" ref="Q148:AB148" si="8">SUM(Q138:Q147)</f>
        <v>0</v>
      </c>
      <c r="R148" s="237">
        <f t="shared" si="8"/>
        <v>0</v>
      </c>
      <c r="S148" s="238">
        <f t="shared" si="8"/>
        <v>0</v>
      </c>
      <c r="T148" s="238">
        <f t="shared" si="8"/>
        <v>0</v>
      </c>
      <c r="U148" s="237">
        <f t="shared" si="8"/>
        <v>0</v>
      </c>
      <c r="V148" s="237">
        <f t="shared" si="8"/>
        <v>0</v>
      </c>
      <c r="W148" s="238">
        <f t="shared" si="8"/>
        <v>0</v>
      </c>
      <c r="X148" s="238">
        <f t="shared" si="8"/>
        <v>0</v>
      </c>
      <c r="Y148" s="95">
        <f t="shared" si="8"/>
        <v>0</v>
      </c>
      <c r="Z148" s="95">
        <f t="shared" si="8"/>
        <v>0</v>
      </c>
      <c r="AA148" s="238">
        <f t="shared" si="8"/>
        <v>0</v>
      </c>
      <c r="AB148" s="238">
        <f t="shared" si="8"/>
        <v>0</v>
      </c>
      <c r="AC148" s="98"/>
      <c r="AD148" s="98">
        <f t="shared" ref="AD148" si="9">SUM(AD138:AD147)</f>
        <v>0</v>
      </c>
    </row>
    <row r="149" spans="1:30" ht="27" thickBot="1" x14ac:dyDescent="0.45">
      <c r="A149" s="334"/>
      <c r="B149" s="83">
        <v>2</v>
      </c>
      <c r="C149" s="83">
        <v>2</v>
      </c>
      <c r="D149" s="84"/>
      <c r="E149" s="84"/>
      <c r="F149" s="84"/>
      <c r="G149" s="99">
        <v>0</v>
      </c>
      <c r="H149" s="100"/>
      <c r="I149" s="99"/>
      <c r="J149" s="100"/>
      <c r="K149" s="341"/>
      <c r="L149" s="342"/>
      <c r="M149" s="338"/>
      <c r="N149" s="339"/>
      <c r="O149" s="339"/>
      <c r="P149" s="340"/>
      <c r="Q149" s="343">
        <f>Q148+R148</f>
        <v>0</v>
      </c>
      <c r="R149" s="344"/>
      <c r="S149" s="345">
        <f>S148+T148</f>
        <v>0</v>
      </c>
      <c r="T149" s="346"/>
      <c r="U149" s="347">
        <f>U148+V148</f>
        <v>0</v>
      </c>
      <c r="V149" s="348"/>
      <c r="W149" s="327">
        <f>W148+X148</f>
        <v>0</v>
      </c>
      <c r="X149" s="328"/>
      <c r="Y149" s="329">
        <f>Y148+Z148</f>
        <v>0</v>
      </c>
      <c r="Z149" s="330"/>
      <c r="AA149" s="327">
        <f>AA148+AB148</f>
        <v>0</v>
      </c>
      <c r="AB149" s="328"/>
      <c r="AC149" s="331">
        <f>AC148+AD148</f>
        <v>0</v>
      </c>
      <c r="AD149" s="332"/>
    </row>
  </sheetData>
  <autoFilter ref="A5:AD112" xr:uid="{3D257094-AFCF-44D4-9CB6-CF8FC9C29795}"/>
  <mergeCells count="104">
    <mergeCell ref="W133:X133"/>
    <mergeCell ref="Y133:Z133"/>
    <mergeCell ref="AA133:AB133"/>
    <mergeCell ref="AC133:AD133"/>
    <mergeCell ref="A132:A133"/>
    <mergeCell ref="M132:P133"/>
    <mergeCell ref="K133:L133"/>
    <mergeCell ref="Q133:R133"/>
    <mergeCell ref="S133:T133"/>
    <mergeCell ref="U133:V133"/>
    <mergeCell ref="X112:AD112"/>
    <mergeCell ref="M113:Q113"/>
    <mergeCell ref="X113:AD113"/>
    <mergeCell ref="A119:A120"/>
    <mergeCell ref="B119:C120"/>
    <mergeCell ref="G119:H120"/>
    <mergeCell ref="I119:J120"/>
    <mergeCell ref="K119:L120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U119:V119"/>
    <mergeCell ref="W119:X119"/>
    <mergeCell ref="Y119:Z120"/>
    <mergeCell ref="M119:N119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U4:V4"/>
    <mergeCell ref="S3:T3"/>
    <mergeCell ref="U3:V3"/>
    <mergeCell ref="W3:X3"/>
    <mergeCell ref="Y3:Z4"/>
    <mergeCell ref="E4:E5"/>
    <mergeCell ref="M4:N4"/>
    <mergeCell ref="O4:P4"/>
    <mergeCell ref="Q4:R4"/>
    <mergeCell ref="S4:T4"/>
    <mergeCell ref="A135:A136"/>
    <mergeCell ref="B135:C136"/>
    <mergeCell ref="G135:H136"/>
    <mergeCell ref="I135:J136"/>
    <mergeCell ref="K135:L136"/>
    <mergeCell ref="AA3:AB4"/>
    <mergeCell ref="AC3:AD3"/>
    <mergeCell ref="W4:X4"/>
    <mergeCell ref="AC4:AD4"/>
    <mergeCell ref="AA88:AB88"/>
    <mergeCell ref="AC88:AD88"/>
    <mergeCell ref="A87:A88"/>
    <mergeCell ref="M87:P88"/>
    <mergeCell ref="G88:H88"/>
    <mergeCell ref="I88:J88"/>
    <mergeCell ref="K88:L88"/>
    <mergeCell ref="Q88:R88"/>
    <mergeCell ref="F114:G114"/>
    <mergeCell ref="S88:T88"/>
    <mergeCell ref="U88:V88"/>
    <mergeCell ref="W88:X88"/>
    <mergeCell ref="Y88:Z88"/>
    <mergeCell ref="E90:J90"/>
    <mergeCell ref="M112:Q112"/>
    <mergeCell ref="W135:X135"/>
    <mergeCell ref="Y135:Z136"/>
    <mergeCell ref="AA135:AB136"/>
    <mergeCell ref="AC135:AD135"/>
    <mergeCell ref="M136:N136"/>
    <mergeCell ref="O136:P136"/>
    <mergeCell ref="Q136:R136"/>
    <mergeCell ref="S136:T136"/>
    <mergeCell ref="U136:V136"/>
    <mergeCell ref="W136:X136"/>
    <mergeCell ref="AC136:AD136"/>
    <mergeCell ref="M135:N135"/>
    <mergeCell ref="O135:P135"/>
    <mergeCell ref="Q135:R135"/>
    <mergeCell ref="S135:T135"/>
    <mergeCell ref="U135:V135"/>
    <mergeCell ref="U149:V149"/>
    <mergeCell ref="W149:X149"/>
    <mergeCell ref="Y149:Z149"/>
    <mergeCell ref="AA149:AB149"/>
    <mergeCell ref="AC149:AD149"/>
    <mergeCell ref="A148:A149"/>
    <mergeCell ref="M148:P149"/>
    <mergeCell ref="K149:L149"/>
    <mergeCell ref="Q149:R149"/>
    <mergeCell ref="S149:T149"/>
  </mergeCells>
  <phoneticPr fontId="60" type="noConversion"/>
  <dataValidations count="1">
    <dataValidation type="list" allowBlank="1" showInputMessage="1" showErrorMessage="1" sqref="B10:C10 B54:C54" xr:uid="{1CB93B3A-426B-407A-8ECC-8596C1E87B4D}">
      <formula1>#REF!</formula1>
    </dataValidation>
  </dataValidations>
  <pageMargins left="0" right="0" top="0.74803149606299213" bottom="0.74803149606299213" header="0.31496062992125984" footer="0.31496062992125984"/>
  <pageSetup paperSize="5" scale="73" orientation="landscape" r:id="rId1"/>
  <headerFooter alignWithMargins="0">
    <oddFooter>&amp;RFR-PD2-03/11/07-08-57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4222-93C6-4CB1-9811-151413FC2099}">
  <sheetPr>
    <tabColor rgb="FF00B050"/>
  </sheetPr>
  <dimension ref="A1:AL133"/>
  <sheetViews>
    <sheetView zoomScale="78" zoomScaleNormal="78" zoomScaleSheetLayoutView="70" workbookViewId="0">
      <pane xSplit="4" ySplit="5" topLeftCell="E88" activePane="bottomRight" state="frozen"/>
      <selection activeCell="M107" sqref="M107"/>
      <selection pane="topRight" activeCell="M107" sqref="M107"/>
      <selection pane="bottomLeft" activeCell="M107" sqref="M107"/>
      <selection pane="bottomRight" activeCell="E87" sqref="E87:AD109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5.425781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7" width="8.85546875" style="1" customWidth="1"/>
    <col min="28" max="28" width="9.14062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218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11" t="s">
        <v>26</v>
      </c>
      <c r="C5" s="12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5" t="s">
        <v>33</v>
      </c>
      <c r="B6" s="246" t="s">
        <v>35</v>
      </c>
      <c r="C6" s="253"/>
      <c r="D6" s="49" t="s">
        <v>36</v>
      </c>
      <c r="E6" s="28"/>
      <c r="F6" s="29">
        <v>690126</v>
      </c>
      <c r="G6" s="30">
        <v>0</v>
      </c>
      <c r="H6" s="31">
        <v>0</v>
      </c>
      <c r="I6" s="32">
        <v>750</v>
      </c>
      <c r="J6" s="32">
        <v>750</v>
      </c>
      <c r="K6" s="33">
        <f>G6*8/100</f>
        <v>0</v>
      </c>
      <c r="L6" s="34">
        <f>H6*8/100</f>
        <v>0</v>
      </c>
      <c r="M6" s="31">
        <v>110</v>
      </c>
      <c r="N6" s="31">
        <v>110</v>
      </c>
      <c r="O6" s="31">
        <v>110</v>
      </c>
      <c r="P6" s="31">
        <v>110</v>
      </c>
      <c r="Q6" s="35"/>
      <c r="R6" s="35"/>
      <c r="S6" s="36"/>
      <c r="T6" s="36"/>
      <c r="U6" s="37"/>
      <c r="V6" s="38"/>
      <c r="W6" s="39"/>
      <c r="X6" s="39"/>
      <c r="Y6" s="40"/>
      <c r="Z6" s="40"/>
      <c r="AA6" s="41"/>
      <c r="AB6" s="42"/>
      <c r="AC6" s="43"/>
      <c r="AD6" s="43"/>
    </row>
    <row r="7" spans="1:31" ht="24" customHeight="1" x14ac:dyDescent="0.4">
      <c r="A7" s="44" t="s">
        <v>37</v>
      </c>
      <c r="B7" s="246" t="s">
        <v>35</v>
      </c>
      <c r="C7" s="253"/>
      <c r="D7" s="49" t="s">
        <v>36</v>
      </c>
      <c r="E7" s="28"/>
      <c r="F7" s="29">
        <v>690126</v>
      </c>
      <c r="G7" s="45">
        <v>0</v>
      </c>
      <c r="H7" s="31">
        <v>0</v>
      </c>
      <c r="I7" s="46">
        <v>750</v>
      </c>
      <c r="J7" s="32">
        <v>750</v>
      </c>
      <c r="K7" s="33">
        <f t="shared" ref="K7:L38" si="0">G7*8/100</f>
        <v>0</v>
      </c>
      <c r="L7" s="47">
        <f t="shared" si="0"/>
        <v>0</v>
      </c>
      <c r="M7" s="31">
        <v>309</v>
      </c>
      <c r="N7" s="31">
        <v>309</v>
      </c>
      <c r="O7" s="31">
        <v>309</v>
      </c>
      <c r="P7" s="31">
        <v>309</v>
      </c>
      <c r="Q7" s="35"/>
      <c r="R7" s="48"/>
      <c r="S7" s="36"/>
      <c r="T7" s="36"/>
      <c r="U7" s="37"/>
      <c r="V7" s="38"/>
      <c r="W7" s="39"/>
      <c r="X7" s="39"/>
      <c r="Y7" s="40"/>
      <c r="Z7" s="40"/>
      <c r="AA7" s="41"/>
      <c r="AB7" s="42"/>
      <c r="AC7" s="43"/>
      <c r="AD7" s="43"/>
    </row>
    <row r="8" spans="1:31" ht="24" customHeight="1" x14ac:dyDescent="0.4">
      <c r="A8" s="44" t="s">
        <v>38</v>
      </c>
      <c r="B8" s="246" t="s">
        <v>35</v>
      </c>
      <c r="C8" s="253" t="s">
        <v>34</v>
      </c>
      <c r="D8" s="49" t="s">
        <v>39</v>
      </c>
      <c r="E8" s="28"/>
      <c r="F8" s="29">
        <v>690111</v>
      </c>
      <c r="G8" s="45">
        <v>850</v>
      </c>
      <c r="H8" s="31">
        <v>738</v>
      </c>
      <c r="I8" s="46">
        <v>750</v>
      </c>
      <c r="J8" s="32">
        <v>750</v>
      </c>
      <c r="K8" s="33">
        <f t="shared" si="0"/>
        <v>68</v>
      </c>
      <c r="L8" s="47">
        <f t="shared" si="0"/>
        <v>59.04</v>
      </c>
      <c r="M8" s="31">
        <v>1568</v>
      </c>
      <c r="N8" s="31">
        <v>2418</v>
      </c>
      <c r="O8" s="31">
        <v>2418</v>
      </c>
      <c r="P8" s="31">
        <v>656</v>
      </c>
      <c r="Q8" s="35"/>
      <c r="R8" s="48"/>
      <c r="S8" s="36"/>
      <c r="T8" s="36"/>
      <c r="U8" s="37"/>
      <c r="V8" s="38"/>
      <c r="W8" s="39"/>
      <c r="X8" s="39"/>
      <c r="Y8" s="40"/>
      <c r="Z8" s="40"/>
      <c r="AA8" s="41"/>
      <c r="AB8" s="42"/>
      <c r="AC8" s="43"/>
      <c r="AD8" s="43"/>
    </row>
    <row r="9" spans="1:31" ht="24" customHeight="1" x14ac:dyDescent="0.4">
      <c r="A9" s="50" t="s">
        <v>40</v>
      </c>
      <c r="B9" s="246" t="s">
        <v>42</v>
      </c>
      <c r="C9" s="253" t="s">
        <v>41</v>
      </c>
      <c r="D9" s="49" t="s">
        <v>47</v>
      </c>
      <c r="E9" s="28"/>
      <c r="F9" s="29">
        <v>690109</v>
      </c>
      <c r="G9" s="45">
        <v>166</v>
      </c>
      <c r="H9" s="31">
        <v>301</v>
      </c>
      <c r="I9" s="46">
        <v>110</v>
      </c>
      <c r="J9" s="32">
        <v>110</v>
      </c>
      <c r="K9" s="33">
        <f t="shared" si="0"/>
        <v>13.28</v>
      </c>
      <c r="L9" s="47">
        <f t="shared" si="0"/>
        <v>24.08</v>
      </c>
      <c r="M9" s="31">
        <v>671</v>
      </c>
      <c r="N9" s="31">
        <v>837</v>
      </c>
      <c r="O9" s="31">
        <v>837</v>
      </c>
      <c r="P9" s="31">
        <v>1138</v>
      </c>
      <c r="Q9" s="35"/>
      <c r="R9" s="48"/>
      <c r="S9" s="36"/>
      <c r="T9" s="36"/>
      <c r="U9" s="37"/>
      <c r="V9" s="38"/>
      <c r="W9" s="39"/>
      <c r="X9" s="39"/>
      <c r="Y9" s="40"/>
      <c r="Z9" s="40"/>
      <c r="AA9" s="41"/>
      <c r="AB9" s="42"/>
      <c r="AC9" s="43"/>
      <c r="AD9" s="43"/>
    </row>
    <row r="10" spans="1:31" ht="24" customHeight="1" x14ac:dyDescent="0.4">
      <c r="A10" s="50" t="s">
        <v>44</v>
      </c>
      <c r="B10" s="246" t="s">
        <v>46</v>
      </c>
      <c r="C10" s="253" t="s">
        <v>45</v>
      </c>
      <c r="D10" s="49" t="s">
        <v>47</v>
      </c>
      <c r="E10" s="28"/>
      <c r="F10" s="29">
        <v>690119</v>
      </c>
      <c r="G10" s="51">
        <v>670</v>
      </c>
      <c r="H10" s="31">
        <v>730</v>
      </c>
      <c r="I10" s="46">
        <v>110</v>
      </c>
      <c r="J10" s="32">
        <v>110</v>
      </c>
      <c r="K10" s="33">
        <f t="shared" si="0"/>
        <v>53.6</v>
      </c>
      <c r="L10" s="47">
        <f t="shared" si="0"/>
        <v>58.4</v>
      </c>
      <c r="M10" s="31">
        <v>1000</v>
      </c>
      <c r="N10" s="31">
        <v>1670</v>
      </c>
      <c r="O10" s="31">
        <v>1670</v>
      </c>
      <c r="P10" s="31">
        <v>2400</v>
      </c>
      <c r="Q10" s="35"/>
      <c r="R10" s="48"/>
      <c r="S10" s="36"/>
      <c r="T10" s="36"/>
      <c r="U10" s="37"/>
      <c r="V10" s="38"/>
      <c r="W10" s="39"/>
      <c r="X10" s="39"/>
      <c r="Y10" s="40"/>
      <c r="Z10" s="52"/>
      <c r="AA10" s="41"/>
      <c r="AB10" s="42"/>
      <c r="AC10" s="43"/>
      <c r="AD10" s="43"/>
    </row>
    <row r="11" spans="1:31" ht="23.25" customHeight="1" x14ac:dyDescent="0.4">
      <c r="A11" s="44" t="s">
        <v>48</v>
      </c>
      <c r="B11" s="246" t="s">
        <v>49</v>
      </c>
      <c r="C11" s="253" t="s">
        <v>233</v>
      </c>
      <c r="D11" s="49" t="s">
        <v>36</v>
      </c>
      <c r="E11" s="28"/>
      <c r="F11" s="29">
        <v>690126</v>
      </c>
      <c r="G11" s="45">
        <v>0</v>
      </c>
      <c r="H11" s="31">
        <v>0</v>
      </c>
      <c r="I11" s="46">
        <v>800</v>
      </c>
      <c r="J11" s="32">
        <v>800</v>
      </c>
      <c r="K11" s="33">
        <f t="shared" si="0"/>
        <v>0</v>
      </c>
      <c r="L11" s="47">
        <f>H11*8/100</f>
        <v>0</v>
      </c>
      <c r="M11" s="53">
        <v>635</v>
      </c>
      <c r="N11" s="31">
        <v>635</v>
      </c>
      <c r="O11" s="31">
        <v>635</v>
      </c>
      <c r="P11" s="53">
        <v>635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44" t="s">
        <v>50</v>
      </c>
      <c r="B12" s="246" t="s">
        <v>51</v>
      </c>
      <c r="C12" s="253" t="s">
        <v>233</v>
      </c>
      <c r="D12" s="49" t="s">
        <v>52</v>
      </c>
      <c r="E12" s="28"/>
      <c r="F12" s="29">
        <v>690113</v>
      </c>
      <c r="G12" s="45">
        <v>400</v>
      </c>
      <c r="H12" s="31">
        <v>424</v>
      </c>
      <c r="I12" s="46">
        <v>800</v>
      </c>
      <c r="J12" s="32">
        <v>800</v>
      </c>
      <c r="K12" s="33">
        <f t="shared" si="0"/>
        <v>32</v>
      </c>
      <c r="L12" s="47">
        <f t="shared" si="0"/>
        <v>33.92</v>
      </c>
      <c r="M12" s="31">
        <v>1294</v>
      </c>
      <c r="N12" s="31">
        <v>1694</v>
      </c>
      <c r="O12" s="31">
        <v>1694</v>
      </c>
      <c r="P12" s="31">
        <v>2118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44" t="s">
        <v>53</v>
      </c>
      <c r="B13" s="246" t="s">
        <v>51</v>
      </c>
      <c r="C13" s="253" t="s">
        <v>233</v>
      </c>
      <c r="D13" s="49" t="s">
        <v>52</v>
      </c>
      <c r="E13" s="28"/>
      <c r="F13" s="29">
        <v>690113</v>
      </c>
      <c r="G13" s="45">
        <v>330</v>
      </c>
      <c r="H13" s="31">
        <v>322</v>
      </c>
      <c r="I13" s="46">
        <v>800</v>
      </c>
      <c r="J13" s="32">
        <v>800</v>
      </c>
      <c r="K13" s="33">
        <f t="shared" si="0"/>
        <v>26.4</v>
      </c>
      <c r="L13" s="47">
        <f t="shared" si="0"/>
        <v>25.76</v>
      </c>
      <c r="M13" s="31">
        <v>402</v>
      </c>
      <c r="N13" s="31">
        <v>732</v>
      </c>
      <c r="O13" s="31">
        <v>732</v>
      </c>
      <c r="P13" s="31">
        <v>1054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44" t="s">
        <v>54</v>
      </c>
      <c r="B14" s="246" t="s">
        <v>51</v>
      </c>
      <c r="C14" s="253" t="s">
        <v>233</v>
      </c>
      <c r="D14" s="214" t="s">
        <v>211</v>
      </c>
      <c r="E14" s="28"/>
      <c r="F14" s="29"/>
      <c r="G14" s="45">
        <v>244</v>
      </c>
      <c r="H14" s="31">
        <v>202</v>
      </c>
      <c r="I14" s="46">
        <v>800</v>
      </c>
      <c r="J14" s="32">
        <v>800</v>
      </c>
      <c r="K14" s="33">
        <f t="shared" si="0"/>
        <v>19.52</v>
      </c>
      <c r="L14" s="47">
        <f t="shared" si="0"/>
        <v>16.16</v>
      </c>
      <c r="M14" s="31">
        <v>205</v>
      </c>
      <c r="N14" s="31">
        <v>449</v>
      </c>
      <c r="O14" s="31">
        <v>449</v>
      </c>
      <c r="P14" s="31">
        <v>651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44" t="s">
        <v>55</v>
      </c>
      <c r="B15" s="246" t="s">
        <v>51</v>
      </c>
      <c r="C15" s="253" t="s">
        <v>233</v>
      </c>
      <c r="D15" s="49" t="s">
        <v>47</v>
      </c>
      <c r="E15" s="28"/>
      <c r="F15" s="29">
        <v>690119</v>
      </c>
      <c r="G15" s="55">
        <v>0</v>
      </c>
      <c r="H15" s="31">
        <v>0</v>
      </c>
      <c r="I15" s="46">
        <v>800</v>
      </c>
      <c r="J15" s="32">
        <v>800</v>
      </c>
      <c r="K15" s="33">
        <f t="shared" si="0"/>
        <v>0</v>
      </c>
      <c r="L15" s="47">
        <f t="shared" si="0"/>
        <v>0</v>
      </c>
      <c r="M15" s="31">
        <v>0</v>
      </c>
      <c r="N15" s="31">
        <v>0</v>
      </c>
      <c r="O15" s="31">
        <v>0</v>
      </c>
      <c r="P15" s="31">
        <v>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44" t="s">
        <v>56</v>
      </c>
      <c r="B16" s="246" t="s">
        <v>51</v>
      </c>
      <c r="C16" s="253" t="s">
        <v>233</v>
      </c>
      <c r="D16" s="49" t="s">
        <v>57</v>
      </c>
      <c r="E16" s="28"/>
      <c r="F16" s="29">
        <v>690106</v>
      </c>
      <c r="G16" s="55">
        <v>0</v>
      </c>
      <c r="H16" s="31">
        <v>0</v>
      </c>
      <c r="I16" s="46">
        <v>800</v>
      </c>
      <c r="J16" s="32">
        <v>800</v>
      </c>
      <c r="K16" s="33">
        <f t="shared" si="0"/>
        <v>0</v>
      </c>
      <c r="L16" s="47">
        <f t="shared" si="0"/>
        <v>0</v>
      </c>
      <c r="M16" s="31">
        <v>1137</v>
      </c>
      <c r="N16" s="31">
        <v>1137</v>
      </c>
      <c r="O16" s="31">
        <v>1137</v>
      </c>
      <c r="P16" s="31">
        <v>1137</v>
      </c>
      <c r="Q16" s="35"/>
      <c r="R16" s="48"/>
      <c r="S16" s="36"/>
      <c r="T16" s="36"/>
      <c r="U16" s="37"/>
      <c r="V16" s="38"/>
      <c r="W16" s="39"/>
      <c r="X16" s="39"/>
      <c r="Y16" s="40"/>
      <c r="Z16" s="52"/>
      <c r="AA16" s="41"/>
      <c r="AB16" s="42"/>
      <c r="AC16" s="43"/>
      <c r="AD16" s="43"/>
    </row>
    <row r="17" spans="1:35" ht="24" customHeight="1" x14ac:dyDescent="0.4">
      <c r="A17" s="44" t="s">
        <v>58</v>
      </c>
      <c r="B17" s="246" t="s">
        <v>51</v>
      </c>
      <c r="C17" s="253" t="s">
        <v>233</v>
      </c>
      <c r="D17" s="49" t="s">
        <v>61</v>
      </c>
      <c r="E17" s="28">
        <v>69010404</v>
      </c>
      <c r="F17" s="29">
        <v>690106</v>
      </c>
      <c r="G17" s="55">
        <v>0</v>
      </c>
      <c r="H17" s="31">
        <v>0</v>
      </c>
      <c r="I17" s="46">
        <v>800</v>
      </c>
      <c r="J17" s="32">
        <v>800</v>
      </c>
      <c r="K17" s="33">
        <f t="shared" si="0"/>
        <v>0</v>
      </c>
      <c r="L17" s="47">
        <f t="shared" si="0"/>
        <v>0</v>
      </c>
      <c r="M17" s="31">
        <v>213</v>
      </c>
      <c r="N17" s="31">
        <v>213</v>
      </c>
      <c r="O17" s="31">
        <v>213</v>
      </c>
      <c r="P17" s="31">
        <v>213</v>
      </c>
      <c r="Q17" s="35">
        <v>2000</v>
      </c>
      <c r="R17" s="48"/>
      <c r="S17" s="36">
        <v>154.9</v>
      </c>
      <c r="T17" s="36"/>
      <c r="U17" s="37"/>
      <c r="V17" s="38"/>
      <c r="W17" s="39">
        <f>S17*1000/39.37/Q17*38.5</f>
        <v>75.738506477012962</v>
      </c>
      <c r="X17" s="39"/>
      <c r="Y17" s="40">
        <f>(AC17+W17)/2</f>
        <v>76.454253238506482</v>
      </c>
      <c r="Z17" s="40"/>
      <c r="AA17" s="41"/>
      <c r="AB17" s="42"/>
      <c r="AC17" s="43">
        <v>77.17</v>
      </c>
      <c r="AD17" s="43"/>
    </row>
    <row r="18" spans="1:35" ht="24" customHeight="1" x14ac:dyDescent="0.4">
      <c r="A18" s="44" t="s">
        <v>60</v>
      </c>
      <c r="B18" s="246" t="s">
        <v>51</v>
      </c>
      <c r="C18" s="253" t="s">
        <v>233</v>
      </c>
      <c r="D18" s="49" t="s">
        <v>57</v>
      </c>
      <c r="E18" s="28"/>
      <c r="F18" s="29">
        <v>690106</v>
      </c>
      <c r="G18" s="55">
        <v>0</v>
      </c>
      <c r="H18" s="31">
        <v>701</v>
      </c>
      <c r="I18" s="46">
        <v>800</v>
      </c>
      <c r="J18" s="32">
        <v>800</v>
      </c>
      <c r="K18" s="33">
        <f t="shared" si="0"/>
        <v>0</v>
      </c>
      <c r="L18" s="47">
        <f t="shared" si="0"/>
        <v>56.08</v>
      </c>
      <c r="M18" s="31">
        <v>1861</v>
      </c>
      <c r="N18" s="31">
        <v>1861</v>
      </c>
      <c r="O18" s="31">
        <v>1861</v>
      </c>
      <c r="P18" s="31">
        <v>562</v>
      </c>
      <c r="Q18" s="35"/>
      <c r="R18" s="48"/>
      <c r="S18" s="36"/>
      <c r="T18" s="36"/>
      <c r="U18" s="37"/>
      <c r="V18" s="38"/>
      <c r="W18" s="39"/>
      <c r="X18" s="39"/>
      <c r="Y18" s="40"/>
      <c r="Z18" s="40"/>
      <c r="AA18" s="41"/>
      <c r="AB18" s="42"/>
      <c r="AC18" s="43"/>
      <c r="AD18" s="43"/>
    </row>
    <row r="19" spans="1:35" ht="24" customHeight="1" x14ac:dyDescent="0.4">
      <c r="A19" s="44" t="s">
        <v>62</v>
      </c>
      <c r="B19" s="246" t="s">
        <v>35</v>
      </c>
      <c r="C19" s="253" t="s">
        <v>34</v>
      </c>
      <c r="D19" s="49" t="s">
        <v>61</v>
      </c>
      <c r="E19" s="28">
        <v>69010429</v>
      </c>
      <c r="F19" s="29">
        <v>690112</v>
      </c>
      <c r="G19" s="45">
        <v>771</v>
      </c>
      <c r="H19" s="31">
        <v>0</v>
      </c>
      <c r="I19" s="46">
        <v>750</v>
      </c>
      <c r="J19" s="32">
        <v>750</v>
      </c>
      <c r="K19" s="33">
        <f t="shared" si="0"/>
        <v>61.68</v>
      </c>
      <c r="L19" s="47">
        <f t="shared" si="0"/>
        <v>0</v>
      </c>
      <c r="M19" s="31">
        <v>1675</v>
      </c>
      <c r="N19" s="31">
        <v>446</v>
      </c>
      <c r="O19" s="31">
        <v>446</v>
      </c>
      <c r="P19" s="31">
        <v>446</v>
      </c>
      <c r="Q19" s="35"/>
      <c r="R19" s="48">
        <v>2000</v>
      </c>
      <c r="S19" s="36"/>
      <c r="T19" s="36">
        <v>156</v>
      </c>
      <c r="U19" s="37"/>
      <c r="V19" s="38"/>
      <c r="W19" s="39"/>
      <c r="X19" s="39">
        <f>T19*1000/39.37/R19*38.5</f>
        <v>76.276352552705106</v>
      </c>
      <c r="Y19" s="40"/>
      <c r="Z19" s="40">
        <f>(AD19+X19)/2</f>
        <v>76.243176276352557</v>
      </c>
      <c r="AA19" s="41"/>
      <c r="AB19" s="42"/>
      <c r="AC19" s="43"/>
      <c r="AD19" s="43">
        <v>76.209999999999994</v>
      </c>
      <c r="AF19" s="54"/>
    </row>
    <row r="20" spans="1:35" ht="24" customHeight="1" x14ac:dyDescent="0.4">
      <c r="A20" s="44" t="s">
        <v>66</v>
      </c>
      <c r="B20" s="246" t="s">
        <v>35</v>
      </c>
      <c r="C20" s="253" t="s">
        <v>34</v>
      </c>
      <c r="D20" s="49" t="s">
        <v>47</v>
      </c>
      <c r="E20" s="28"/>
      <c r="F20" s="29">
        <v>690119</v>
      </c>
      <c r="G20" s="45">
        <v>730</v>
      </c>
      <c r="H20" s="31">
        <v>0</v>
      </c>
      <c r="I20" s="46">
        <v>750</v>
      </c>
      <c r="J20" s="32">
        <v>750</v>
      </c>
      <c r="K20" s="33">
        <f t="shared" si="0"/>
        <v>58.4</v>
      </c>
      <c r="L20" s="47">
        <f t="shared" si="0"/>
        <v>0</v>
      </c>
      <c r="M20" s="31">
        <v>400</v>
      </c>
      <c r="N20" s="31">
        <v>1130</v>
      </c>
      <c r="O20" s="31">
        <v>1130</v>
      </c>
      <c r="P20" s="31">
        <v>1130</v>
      </c>
      <c r="Q20" s="35"/>
      <c r="R20" s="48"/>
      <c r="S20" s="36"/>
      <c r="T20" s="36"/>
      <c r="U20" s="37"/>
      <c r="V20" s="38"/>
      <c r="W20" s="39"/>
      <c r="X20" s="39"/>
      <c r="Y20" s="40"/>
      <c r="Z20" s="40"/>
      <c r="AA20" s="41"/>
      <c r="AB20" s="42"/>
      <c r="AC20" s="43"/>
      <c r="AD20" s="43"/>
    </row>
    <row r="21" spans="1:35" ht="24" customHeight="1" thickBot="1" x14ac:dyDescent="0.45">
      <c r="A21" s="44" t="s">
        <v>67</v>
      </c>
      <c r="B21" s="246" t="s">
        <v>35</v>
      </c>
      <c r="C21" s="253" t="s">
        <v>34</v>
      </c>
      <c r="D21" s="49" t="s">
        <v>47</v>
      </c>
      <c r="E21" s="28"/>
      <c r="F21" s="29">
        <v>690119</v>
      </c>
      <c r="G21" s="45">
        <v>850</v>
      </c>
      <c r="H21" s="31">
        <v>0</v>
      </c>
      <c r="I21" s="46">
        <v>750</v>
      </c>
      <c r="J21" s="32">
        <v>750</v>
      </c>
      <c r="K21" s="33">
        <f t="shared" si="0"/>
        <v>68</v>
      </c>
      <c r="L21" s="47">
        <f t="shared" si="0"/>
        <v>0</v>
      </c>
      <c r="M21" s="31">
        <v>1868</v>
      </c>
      <c r="N21" s="31">
        <v>218</v>
      </c>
      <c r="O21" s="31">
        <v>218</v>
      </c>
      <c r="P21" s="31">
        <v>218</v>
      </c>
      <c r="Q21" s="35"/>
      <c r="R21" s="48"/>
      <c r="S21" s="36"/>
      <c r="T21" s="36"/>
      <c r="U21" s="37"/>
      <c r="V21" s="38"/>
      <c r="W21" s="39"/>
      <c r="X21" s="39"/>
      <c r="Y21" s="40"/>
      <c r="Z21" s="40"/>
      <c r="AA21" s="41"/>
      <c r="AB21" s="42"/>
      <c r="AC21" s="43"/>
      <c r="AD21" s="43"/>
    </row>
    <row r="22" spans="1:35" ht="26.25" customHeight="1" x14ac:dyDescent="0.4">
      <c r="A22" s="44" t="s">
        <v>68</v>
      </c>
      <c r="B22" s="246" t="s">
        <v>42</v>
      </c>
      <c r="C22" s="253" t="s">
        <v>41</v>
      </c>
      <c r="D22" s="49" t="s">
        <v>61</v>
      </c>
      <c r="E22" s="28">
        <v>69010406</v>
      </c>
      <c r="F22" s="29">
        <v>690112</v>
      </c>
      <c r="G22" s="45">
        <v>592</v>
      </c>
      <c r="H22" s="31">
        <v>762</v>
      </c>
      <c r="I22" s="46">
        <v>750</v>
      </c>
      <c r="J22" s="32">
        <v>750</v>
      </c>
      <c r="K22" s="33">
        <f t="shared" si="0"/>
        <v>47.36</v>
      </c>
      <c r="L22" s="47">
        <f t="shared" si="0"/>
        <v>60.96</v>
      </c>
      <c r="M22" s="31">
        <v>949</v>
      </c>
      <c r="N22" s="31">
        <v>1541</v>
      </c>
      <c r="O22" s="31">
        <v>1541</v>
      </c>
      <c r="P22" s="240">
        <v>303</v>
      </c>
      <c r="Q22" s="35">
        <v>2000</v>
      </c>
      <c r="R22" s="48"/>
      <c r="S22" s="36">
        <v>155.19999999999999</v>
      </c>
      <c r="T22" s="36"/>
      <c r="U22" s="37"/>
      <c r="V22" s="38"/>
      <c r="W22" s="39">
        <f>S22*1000/39.37/Q22*38.5</f>
        <v>75.885191770383543</v>
      </c>
      <c r="X22" s="39"/>
      <c r="Y22" s="40">
        <f t="shared" ref="Y22:Y23" si="1">(AC22+W22)/2</f>
        <v>77.037595885191763</v>
      </c>
      <c r="Z22" s="40"/>
      <c r="AA22" s="41"/>
      <c r="AB22" s="42"/>
      <c r="AC22" s="43">
        <v>78.19</v>
      </c>
      <c r="AD22" s="43"/>
    </row>
    <row r="23" spans="1:35" ht="24" customHeight="1" x14ac:dyDescent="0.4">
      <c r="A23" s="44" t="s">
        <v>70</v>
      </c>
      <c r="B23" s="246" t="s">
        <v>42</v>
      </c>
      <c r="C23" s="253" t="s">
        <v>41</v>
      </c>
      <c r="D23" s="49" t="s">
        <v>71</v>
      </c>
      <c r="E23" s="28">
        <v>69010413</v>
      </c>
      <c r="F23" s="29">
        <v>690104</v>
      </c>
      <c r="G23" s="45">
        <v>595</v>
      </c>
      <c r="H23" s="31">
        <v>807</v>
      </c>
      <c r="I23" s="46">
        <v>750</v>
      </c>
      <c r="J23" s="32">
        <v>750</v>
      </c>
      <c r="K23" s="33">
        <f t="shared" si="0"/>
        <v>47.6</v>
      </c>
      <c r="L23" s="47">
        <f t="shared" si="0"/>
        <v>64.56</v>
      </c>
      <c r="M23" s="31">
        <v>758</v>
      </c>
      <c r="N23" s="31">
        <v>1353</v>
      </c>
      <c r="O23" s="31">
        <v>1353</v>
      </c>
      <c r="P23" s="31">
        <v>650</v>
      </c>
      <c r="Q23" s="35">
        <v>2480</v>
      </c>
      <c r="R23" s="48"/>
      <c r="S23" s="36">
        <v>170.9</v>
      </c>
      <c r="T23" s="36"/>
      <c r="U23" s="37">
        <v>25</v>
      </c>
      <c r="V23" s="38"/>
      <c r="W23" s="39">
        <f>S23*1000/39.37/Q23*31.5</f>
        <v>55.136033659164092</v>
      </c>
      <c r="X23" s="39"/>
      <c r="Y23" s="40">
        <f t="shared" si="1"/>
        <v>55.09801682958205</v>
      </c>
      <c r="Z23" s="40"/>
      <c r="AA23" s="41"/>
      <c r="AB23" s="42"/>
      <c r="AC23" s="43">
        <v>55.06</v>
      </c>
      <c r="AD23" s="43"/>
    </row>
    <row r="24" spans="1:35" ht="24" customHeight="1" x14ac:dyDescent="0.4">
      <c r="A24" s="44" t="s">
        <v>72</v>
      </c>
      <c r="B24" s="246" t="s">
        <v>42</v>
      </c>
      <c r="C24" s="253" t="s">
        <v>41</v>
      </c>
      <c r="D24" s="49" t="s">
        <v>36</v>
      </c>
      <c r="E24" s="28"/>
      <c r="F24" s="29">
        <v>690126</v>
      </c>
      <c r="G24" s="45">
        <v>0</v>
      </c>
      <c r="H24" s="31">
        <v>770</v>
      </c>
      <c r="I24" s="46">
        <v>750</v>
      </c>
      <c r="J24" s="32">
        <v>750</v>
      </c>
      <c r="K24" s="33">
        <f t="shared" si="0"/>
        <v>0</v>
      </c>
      <c r="L24" s="47">
        <f t="shared" si="0"/>
        <v>61.6</v>
      </c>
      <c r="M24" s="31">
        <v>378</v>
      </c>
      <c r="N24" s="31">
        <v>378</v>
      </c>
      <c r="O24" s="31">
        <v>378</v>
      </c>
      <c r="P24" s="31">
        <v>1148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45">
      <c r="A25" s="44" t="s">
        <v>73</v>
      </c>
      <c r="B25" s="246" t="s">
        <v>42</v>
      </c>
      <c r="C25" s="253" t="s">
        <v>41</v>
      </c>
      <c r="D25" s="49" t="s">
        <v>36</v>
      </c>
      <c r="E25" s="28">
        <v>69010405</v>
      </c>
      <c r="F25" s="29">
        <v>690126</v>
      </c>
      <c r="G25" s="45">
        <v>417</v>
      </c>
      <c r="H25" s="31">
        <v>131</v>
      </c>
      <c r="I25" s="46">
        <v>750</v>
      </c>
      <c r="J25" s="32">
        <v>750</v>
      </c>
      <c r="K25" s="33">
        <f t="shared" si="0"/>
        <v>33.36</v>
      </c>
      <c r="L25" s="47">
        <f t="shared" si="0"/>
        <v>10.48</v>
      </c>
      <c r="M25" s="31">
        <v>610</v>
      </c>
      <c r="N25" s="31">
        <v>1027</v>
      </c>
      <c r="O25" s="31">
        <v>1027</v>
      </c>
      <c r="P25" s="241">
        <v>1158</v>
      </c>
      <c r="Q25" s="35">
        <v>1561</v>
      </c>
      <c r="R25" s="48"/>
      <c r="S25" s="36">
        <v>151.4</v>
      </c>
      <c r="T25" s="36"/>
      <c r="U25" s="37"/>
      <c r="V25" s="38"/>
      <c r="W25" s="39">
        <f>S25*1000/39.37/Q25*44.5</f>
        <v>109.6270097729177</v>
      </c>
      <c r="X25" s="39"/>
      <c r="Y25" s="40">
        <f>(AC25+W25)/2</f>
        <v>110.99850488645885</v>
      </c>
      <c r="Z25" s="40"/>
      <c r="AA25" s="41"/>
      <c r="AB25" s="42"/>
      <c r="AC25" s="239">
        <v>112.37</v>
      </c>
      <c r="AD25" s="43"/>
      <c r="AF25" s="54"/>
    </row>
    <row r="26" spans="1:35" ht="22.5" customHeight="1" x14ac:dyDescent="0.4">
      <c r="A26" s="44" t="s">
        <v>74</v>
      </c>
      <c r="B26" s="246" t="s">
        <v>76</v>
      </c>
      <c r="C26" s="253" t="s">
        <v>75</v>
      </c>
      <c r="D26" s="49" t="s">
        <v>47</v>
      </c>
      <c r="E26" s="28"/>
      <c r="F26" s="29">
        <v>690119</v>
      </c>
      <c r="G26" s="55">
        <v>661</v>
      </c>
      <c r="H26" s="31">
        <v>540</v>
      </c>
      <c r="I26" s="46">
        <v>800</v>
      </c>
      <c r="J26" s="32">
        <v>800</v>
      </c>
      <c r="K26" s="33">
        <f t="shared" si="0"/>
        <v>52.88</v>
      </c>
      <c r="L26" s="47">
        <f t="shared" si="0"/>
        <v>43.2</v>
      </c>
      <c r="M26" s="31">
        <v>637</v>
      </c>
      <c r="N26" s="31">
        <v>1298</v>
      </c>
      <c r="O26" s="31">
        <v>1298</v>
      </c>
      <c r="P26" s="242">
        <v>1838</v>
      </c>
      <c r="Q26" s="35"/>
      <c r="R26" s="35"/>
      <c r="S26" s="36"/>
      <c r="T26" s="36"/>
      <c r="U26" s="37"/>
      <c r="V26" s="38"/>
      <c r="W26" s="39"/>
      <c r="X26" s="39"/>
      <c r="Y26" s="40"/>
      <c r="Z26" s="40"/>
      <c r="AA26" s="41"/>
      <c r="AB26" s="42"/>
      <c r="AC26" s="43"/>
      <c r="AD26" s="43"/>
    </row>
    <row r="27" spans="1:35" ht="22.5" customHeight="1" x14ac:dyDescent="0.4">
      <c r="A27" s="44" t="s">
        <v>77</v>
      </c>
      <c r="B27" s="246" t="s">
        <v>76</v>
      </c>
      <c r="C27" s="253" t="s">
        <v>75</v>
      </c>
      <c r="D27" s="49" t="s">
        <v>61</v>
      </c>
      <c r="E27" s="28">
        <v>69010430</v>
      </c>
      <c r="F27" s="29">
        <v>690112</v>
      </c>
      <c r="G27" s="55">
        <v>0</v>
      </c>
      <c r="H27" s="31">
        <v>0</v>
      </c>
      <c r="I27" s="46">
        <v>800</v>
      </c>
      <c r="J27" s="32">
        <v>800</v>
      </c>
      <c r="K27" s="33">
        <f t="shared" si="0"/>
        <v>0</v>
      </c>
      <c r="L27" s="47">
        <f t="shared" si="0"/>
        <v>0</v>
      </c>
      <c r="M27" s="31">
        <v>2</v>
      </c>
      <c r="N27" s="31">
        <v>2</v>
      </c>
      <c r="O27" s="31">
        <v>2</v>
      </c>
      <c r="P27" s="31">
        <v>2</v>
      </c>
      <c r="Q27" s="35"/>
      <c r="R27" s="56">
        <v>2000</v>
      </c>
      <c r="S27" s="57"/>
      <c r="T27" s="57">
        <v>155.19999999999999</v>
      </c>
      <c r="U27" s="58"/>
      <c r="V27" s="59"/>
      <c r="W27" s="39"/>
      <c r="X27" s="39">
        <f>T27*1000/39.37/R27*38.5</f>
        <v>75.885191770383543</v>
      </c>
      <c r="Y27" s="40"/>
      <c r="Z27" s="40">
        <f>(AD27+X27)/2</f>
        <v>76.352595885191761</v>
      </c>
      <c r="AA27" s="41"/>
      <c r="AB27" s="42"/>
      <c r="AC27" s="43"/>
      <c r="AD27" s="43">
        <v>76.819999999999993</v>
      </c>
    </row>
    <row r="28" spans="1:35" ht="24" customHeight="1" x14ac:dyDescent="0.4">
      <c r="A28" s="44" t="s">
        <v>78</v>
      </c>
      <c r="B28" s="246" t="s">
        <v>76</v>
      </c>
      <c r="C28" s="253" t="s">
        <v>75</v>
      </c>
      <c r="D28" s="49" t="s">
        <v>61</v>
      </c>
      <c r="E28" s="28"/>
      <c r="F28" s="29">
        <v>690112</v>
      </c>
      <c r="G28" s="45">
        <v>0</v>
      </c>
      <c r="H28" s="31">
        <v>0</v>
      </c>
      <c r="I28" s="46">
        <v>800</v>
      </c>
      <c r="J28" s="32">
        <v>800</v>
      </c>
      <c r="K28" s="33">
        <f t="shared" si="0"/>
        <v>0</v>
      </c>
      <c r="L28" s="47">
        <f t="shared" si="0"/>
        <v>0</v>
      </c>
      <c r="M28" s="31">
        <v>783</v>
      </c>
      <c r="N28" s="31">
        <v>783</v>
      </c>
      <c r="O28" s="31">
        <v>783</v>
      </c>
      <c r="P28" s="31">
        <v>783</v>
      </c>
      <c r="Q28" s="35"/>
      <c r="R28" s="48"/>
      <c r="S28" s="36"/>
      <c r="T28" s="36"/>
      <c r="U28" s="37"/>
      <c r="V28" s="38"/>
      <c r="W28" s="39"/>
      <c r="X28" s="39"/>
      <c r="Y28" s="40"/>
      <c r="Z28" s="40"/>
      <c r="AA28" s="41"/>
      <c r="AB28" s="42"/>
      <c r="AC28" s="43"/>
      <c r="AD28" s="43"/>
      <c r="AF28" s="54"/>
    </row>
    <row r="29" spans="1:35" ht="23.25" customHeight="1" x14ac:dyDescent="0.4">
      <c r="A29" s="44" t="s">
        <v>79</v>
      </c>
      <c r="B29" s="246" t="s">
        <v>76</v>
      </c>
      <c r="C29" s="253" t="s">
        <v>75</v>
      </c>
      <c r="D29" s="49" t="s">
        <v>47</v>
      </c>
      <c r="E29" s="28"/>
      <c r="F29" s="29">
        <v>690119</v>
      </c>
      <c r="G29" s="45">
        <v>675</v>
      </c>
      <c r="H29" s="31">
        <v>518</v>
      </c>
      <c r="I29" s="46">
        <v>800</v>
      </c>
      <c r="J29" s="32">
        <v>800</v>
      </c>
      <c r="K29" s="33">
        <f t="shared" si="0"/>
        <v>54</v>
      </c>
      <c r="L29" s="47">
        <f t="shared" si="0"/>
        <v>41.44</v>
      </c>
      <c r="M29" s="31">
        <v>1355</v>
      </c>
      <c r="N29" s="31">
        <v>2030</v>
      </c>
      <c r="O29" s="31">
        <v>2030</v>
      </c>
      <c r="P29" s="31">
        <v>48</v>
      </c>
      <c r="Q29" s="35"/>
      <c r="R29" s="48"/>
      <c r="S29" s="36"/>
      <c r="T29" s="36"/>
      <c r="U29" s="37"/>
      <c r="V29" s="38"/>
      <c r="W29" s="39"/>
      <c r="X29" s="39"/>
      <c r="Y29" s="40"/>
      <c r="Z29" s="40"/>
      <c r="AA29" s="41"/>
      <c r="AB29" s="42"/>
      <c r="AC29" s="43"/>
      <c r="AD29" s="43"/>
    </row>
    <row r="30" spans="1:35" ht="24" customHeight="1" x14ac:dyDescent="0.4">
      <c r="A30" s="44" t="s">
        <v>80</v>
      </c>
      <c r="B30" s="246"/>
      <c r="C30" s="253" t="s">
        <v>75</v>
      </c>
      <c r="D30" s="49" t="s">
        <v>43</v>
      </c>
      <c r="E30" s="28"/>
      <c r="F30" s="29">
        <v>690108</v>
      </c>
      <c r="G30" s="45">
        <v>721</v>
      </c>
      <c r="H30" s="31">
        <v>545</v>
      </c>
      <c r="I30" s="46">
        <v>800</v>
      </c>
      <c r="J30" s="32">
        <v>800</v>
      </c>
      <c r="K30" s="33">
        <f t="shared" si="0"/>
        <v>57.68</v>
      </c>
      <c r="L30" s="47">
        <f t="shared" si="0"/>
        <v>43.6</v>
      </c>
      <c r="M30" s="31">
        <v>868</v>
      </c>
      <c r="N30" s="31">
        <v>1589</v>
      </c>
      <c r="O30" s="31">
        <v>1589</v>
      </c>
      <c r="P30" s="31">
        <v>2134</v>
      </c>
      <c r="Q30" s="35"/>
      <c r="R30" s="35"/>
      <c r="S30" s="36"/>
      <c r="T30" s="36"/>
      <c r="U30" s="37"/>
      <c r="V30" s="38"/>
      <c r="W30" s="39"/>
      <c r="X30" s="39"/>
      <c r="Y30" s="40"/>
      <c r="Z30" s="40"/>
      <c r="AA30" s="41"/>
      <c r="AB30" s="42"/>
      <c r="AC30" s="43"/>
      <c r="AD30" s="43"/>
    </row>
    <row r="31" spans="1:35" ht="24" customHeight="1" x14ac:dyDescent="0.4">
      <c r="A31" s="50" t="s">
        <v>81</v>
      </c>
      <c r="B31" s="247"/>
      <c r="C31" s="253"/>
      <c r="D31" s="49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1">
        <v>0</v>
      </c>
      <c r="N31" s="31">
        <v>0</v>
      </c>
      <c r="O31" s="31">
        <v>0</v>
      </c>
      <c r="P31" s="31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50" t="s">
        <v>82</v>
      </c>
      <c r="B32" s="247"/>
      <c r="C32" s="253"/>
      <c r="D32" s="49" t="s">
        <v>47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1">
        <v>570</v>
      </c>
      <c r="N32" s="31">
        <v>570</v>
      </c>
      <c r="O32" s="31">
        <v>570</v>
      </c>
      <c r="P32" s="31">
        <v>570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50" t="s">
        <v>83</v>
      </c>
      <c r="B33" s="247" t="s">
        <v>85</v>
      </c>
      <c r="C33" s="253" t="s">
        <v>234</v>
      </c>
      <c r="D33" s="49" t="s">
        <v>47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1">
        <v>700</v>
      </c>
      <c r="N33" s="31">
        <v>700</v>
      </c>
      <c r="O33" s="31">
        <v>700</v>
      </c>
      <c r="P33" s="31">
        <v>700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50" t="s">
        <v>84</v>
      </c>
      <c r="B34" s="246" t="s">
        <v>85</v>
      </c>
      <c r="C34" s="253" t="s">
        <v>234</v>
      </c>
      <c r="D34" s="49" t="s">
        <v>47</v>
      </c>
      <c r="E34" s="28"/>
      <c r="F34" s="29">
        <v>690119</v>
      </c>
      <c r="G34" s="60">
        <v>546</v>
      </c>
      <c r="H34" s="31">
        <v>532</v>
      </c>
      <c r="I34" s="46">
        <v>110</v>
      </c>
      <c r="J34" s="32">
        <v>110</v>
      </c>
      <c r="K34" s="33">
        <f t="shared" si="0"/>
        <v>43.68</v>
      </c>
      <c r="L34" s="47">
        <f t="shared" si="0"/>
        <v>42.56</v>
      </c>
      <c r="M34" s="31">
        <v>1069</v>
      </c>
      <c r="N34" s="31">
        <v>1615</v>
      </c>
      <c r="O34" s="31">
        <v>1615</v>
      </c>
      <c r="P34" s="31">
        <v>2147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50" t="s">
        <v>86</v>
      </c>
      <c r="B35" s="246" t="s">
        <v>85</v>
      </c>
      <c r="C35" s="253" t="s">
        <v>234</v>
      </c>
      <c r="D35" s="214" t="s">
        <v>211</v>
      </c>
      <c r="E35" s="28"/>
      <c r="F35" s="29"/>
      <c r="G35" s="45">
        <v>0</v>
      </c>
      <c r="H35" s="31">
        <v>204</v>
      </c>
      <c r="I35" s="46">
        <v>110</v>
      </c>
      <c r="J35" s="32">
        <v>110</v>
      </c>
      <c r="K35" s="33">
        <f t="shared" si="0"/>
        <v>0</v>
      </c>
      <c r="L35" s="47">
        <f t="shared" si="0"/>
        <v>16.32</v>
      </c>
      <c r="M35" s="31">
        <v>0</v>
      </c>
      <c r="N35" s="31">
        <v>0</v>
      </c>
      <c r="O35" s="31">
        <v>0</v>
      </c>
      <c r="P35" s="31">
        <v>204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50" t="s">
        <v>88</v>
      </c>
      <c r="B36" s="246" t="s">
        <v>90</v>
      </c>
      <c r="C36" s="253" t="s">
        <v>69</v>
      </c>
      <c r="D36" s="49" t="s">
        <v>57</v>
      </c>
      <c r="E36" s="28"/>
      <c r="F36" s="29">
        <v>690106</v>
      </c>
      <c r="G36" s="45">
        <v>0</v>
      </c>
      <c r="H36" s="31">
        <v>0</v>
      </c>
      <c r="I36" s="46">
        <v>115</v>
      </c>
      <c r="J36" s="32">
        <v>115</v>
      </c>
      <c r="K36" s="33">
        <f t="shared" si="0"/>
        <v>0</v>
      </c>
      <c r="L36" s="47">
        <f t="shared" si="0"/>
        <v>0</v>
      </c>
      <c r="M36" s="31">
        <v>1548</v>
      </c>
      <c r="N36" s="31">
        <v>1548</v>
      </c>
      <c r="O36" s="31">
        <v>1548</v>
      </c>
      <c r="P36" s="31">
        <v>1548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50" t="s">
        <v>91</v>
      </c>
      <c r="B37" s="246" t="s">
        <v>90</v>
      </c>
      <c r="C37" s="253" t="s">
        <v>69</v>
      </c>
      <c r="D37" s="49" t="s">
        <v>57</v>
      </c>
      <c r="E37" s="28"/>
      <c r="F37" s="29">
        <v>690106</v>
      </c>
      <c r="G37" s="45">
        <v>0</v>
      </c>
      <c r="H37" s="31">
        <v>0</v>
      </c>
      <c r="I37" s="46">
        <v>115</v>
      </c>
      <c r="J37" s="32">
        <v>115</v>
      </c>
      <c r="K37" s="33">
        <f t="shared" si="0"/>
        <v>0</v>
      </c>
      <c r="L37" s="47">
        <f t="shared" si="0"/>
        <v>0</v>
      </c>
      <c r="M37" s="31">
        <v>174</v>
      </c>
      <c r="N37" s="31">
        <v>174</v>
      </c>
      <c r="O37" s="31">
        <v>174</v>
      </c>
      <c r="P37" s="31">
        <v>174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50" t="s">
        <v>92</v>
      </c>
      <c r="B38" s="246" t="s">
        <v>97</v>
      </c>
      <c r="C38" s="253" t="s">
        <v>69</v>
      </c>
      <c r="D38" s="49" t="s">
        <v>71</v>
      </c>
      <c r="E38" s="28"/>
      <c r="F38" s="29">
        <v>690106</v>
      </c>
      <c r="G38" s="45">
        <v>0</v>
      </c>
      <c r="H38" s="31">
        <v>0</v>
      </c>
      <c r="I38" s="46">
        <v>115</v>
      </c>
      <c r="J38" s="32">
        <v>115</v>
      </c>
      <c r="K38" s="33">
        <f t="shared" si="0"/>
        <v>0</v>
      </c>
      <c r="L38" s="47">
        <f t="shared" si="0"/>
        <v>0</v>
      </c>
      <c r="M38" s="31">
        <v>1163</v>
      </c>
      <c r="N38" s="31">
        <v>1163</v>
      </c>
      <c r="O38" s="31">
        <v>1163</v>
      </c>
      <c r="P38" s="31">
        <v>1163</v>
      </c>
      <c r="Q38" s="35"/>
      <c r="R38" s="67"/>
      <c r="S38" s="3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50" t="s">
        <v>93</v>
      </c>
      <c r="B39" s="246" t="s">
        <v>97</v>
      </c>
      <c r="C39" s="253" t="s">
        <v>69</v>
      </c>
      <c r="D39" s="49" t="s">
        <v>94</v>
      </c>
      <c r="E39" s="28"/>
      <c r="F39" s="29">
        <v>690107</v>
      </c>
      <c r="G39" s="45">
        <v>500</v>
      </c>
      <c r="H39" s="31">
        <v>347</v>
      </c>
      <c r="I39" s="63">
        <v>115</v>
      </c>
      <c r="J39" s="64">
        <v>115</v>
      </c>
      <c r="K39" s="65">
        <f t="shared" ref="K39:L55" si="2">G39*8/100</f>
        <v>40</v>
      </c>
      <c r="L39" s="68">
        <f t="shared" si="2"/>
        <v>27.76</v>
      </c>
      <c r="M39" s="31">
        <v>1133</v>
      </c>
      <c r="N39" s="31">
        <v>1633</v>
      </c>
      <c r="O39" s="31">
        <v>1633</v>
      </c>
      <c r="P39" s="31">
        <v>1980</v>
      </c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customHeight="1" x14ac:dyDescent="0.4">
      <c r="A40" s="50" t="s">
        <v>95</v>
      </c>
      <c r="B40" s="246" t="s">
        <v>97</v>
      </c>
      <c r="C40" s="253" t="s">
        <v>69</v>
      </c>
      <c r="D40" s="49" t="s">
        <v>71</v>
      </c>
      <c r="E40" s="28"/>
      <c r="F40" s="29">
        <v>690106</v>
      </c>
      <c r="G40" s="45">
        <v>0</v>
      </c>
      <c r="H40" s="31">
        <v>0</v>
      </c>
      <c r="I40" s="63">
        <v>115</v>
      </c>
      <c r="J40" s="64">
        <v>115</v>
      </c>
      <c r="K40" s="65">
        <f t="shared" si="2"/>
        <v>0</v>
      </c>
      <c r="L40" s="68">
        <f t="shared" si="2"/>
        <v>0</v>
      </c>
      <c r="M40" s="31">
        <v>914</v>
      </c>
      <c r="N40" s="31">
        <v>914</v>
      </c>
      <c r="O40" s="31">
        <v>914</v>
      </c>
      <c r="P40" s="31">
        <v>914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x14ac:dyDescent="0.4">
      <c r="A41" s="50" t="s">
        <v>96</v>
      </c>
      <c r="B41" s="246" t="s">
        <v>97</v>
      </c>
      <c r="C41" s="253" t="s">
        <v>69</v>
      </c>
      <c r="D41" s="49" t="s">
        <v>47</v>
      </c>
      <c r="E41" s="28"/>
      <c r="F41" s="29">
        <v>690119</v>
      </c>
      <c r="G41" s="45">
        <v>656</v>
      </c>
      <c r="H41" s="31">
        <v>0</v>
      </c>
      <c r="I41" s="46">
        <v>120</v>
      </c>
      <c r="J41" s="32">
        <v>120</v>
      </c>
      <c r="K41" s="33">
        <f t="shared" si="2"/>
        <v>52.48</v>
      </c>
      <c r="L41" s="47">
        <f t="shared" si="2"/>
        <v>0</v>
      </c>
      <c r="M41" s="31">
        <v>725</v>
      </c>
      <c r="N41" s="31">
        <v>1381</v>
      </c>
      <c r="O41" s="31">
        <v>1381</v>
      </c>
      <c r="P41" s="31">
        <v>1381</v>
      </c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customHeight="1" x14ac:dyDescent="0.4">
      <c r="A42" s="50" t="s">
        <v>98</v>
      </c>
      <c r="B42" s="246" t="s">
        <v>97</v>
      </c>
      <c r="C42" s="253" t="s">
        <v>69</v>
      </c>
      <c r="D42" s="49" t="s">
        <v>47</v>
      </c>
      <c r="E42" s="28"/>
      <c r="F42" s="29">
        <v>690119</v>
      </c>
      <c r="G42" s="45">
        <v>552</v>
      </c>
      <c r="H42" s="31">
        <v>496</v>
      </c>
      <c r="I42" s="46">
        <v>120</v>
      </c>
      <c r="J42" s="32">
        <v>120</v>
      </c>
      <c r="K42" s="33">
        <f t="shared" si="2"/>
        <v>44.16</v>
      </c>
      <c r="L42" s="47">
        <f t="shared" si="2"/>
        <v>39.68</v>
      </c>
      <c r="M42" s="31">
        <v>530</v>
      </c>
      <c r="N42" s="31">
        <v>1082</v>
      </c>
      <c r="O42" s="31">
        <v>1082</v>
      </c>
      <c r="P42" s="31">
        <v>1578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50" t="s">
        <v>99</v>
      </c>
      <c r="B43" s="246" t="s">
        <v>97</v>
      </c>
      <c r="C43" s="253" t="s">
        <v>69</v>
      </c>
      <c r="D43" s="49" t="s">
        <v>47</v>
      </c>
      <c r="E43" s="28"/>
      <c r="F43" s="29">
        <v>690119</v>
      </c>
      <c r="G43" s="45">
        <v>500</v>
      </c>
      <c r="H43" s="31">
        <v>430</v>
      </c>
      <c r="I43" s="46">
        <v>120</v>
      </c>
      <c r="J43" s="32">
        <v>120</v>
      </c>
      <c r="K43" s="33">
        <f t="shared" si="2"/>
        <v>40</v>
      </c>
      <c r="L43" s="47">
        <f t="shared" si="2"/>
        <v>34.4</v>
      </c>
      <c r="M43" s="31">
        <v>310</v>
      </c>
      <c r="N43" s="31">
        <v>810</v>
      </c>
      <c r="O43" s="31">
        <v>810</v>
      </c>
      <c r="P43" s="31">
        <v>1240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customHeight="1" x14ac:dyDescent="0.4">
      <c r="A44" s="50" t="s">
        <v>100</v>
      </c>
      <c r="B44" s="246" t="s">
        <v>97</v>
      </c>
      <c r="C44" s="253" t="s">
        <v>69</v>
      </c>
      <c r="D44" s="49" t="s">
        <v>104</v>
      </c>
      <c r="E44" s="28"/>
      <c r="F44" s="29">
        <v>690128</v>
      </c>
      <c r="G44" s="69">
        <v>413</v>
      </c>
      <c r="H44" s="31">
        <v>385</v>
      </c>
      <c r="I44" s="46">
        <v>120</v>
      </c>
      <c r="J44" s="32">
        <v>120</v>
      </c>
      <c r="K44" s="33">
        <f t="shared" si="2"/>
        <v>33.04</v>
      </c>
      <c r="L44" s="47">
        <f t="shared" si="2"/>
        <v>30.8</v>
      </c>
      <c r="M44" s="31">
        <v>1087</v>
      </c>
      <c r="N44" s="31">
        <v>0</v>
      </c>
      <c r="O44" s="31">
        <v>0</v>
      </c>
      <c r="P44" s="31">
        <v>385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customHeight="1" thickBot="1" x14ac:dyDescent="0.45">
      <c r="A45" s="50" t="s">
        <v>102</v>
      </c>
      <c r="B45" s="246" t="s">
        <v>97</v>
      </c>
      <c r="C45" s="253" t="s">
        <v>69</v>
      </c>
      <c r="D45" s="49" t="s">
        <v>47</v>
      </c>
      <c r="E45" s="28"/>
      <c r="F45" s="29">
        <v>690119</v>
      </c>
      <c r="G45" s="45">
        <v>560</v>
      </c>
      <c r="H45" s="31">
        <v>0</v>
      </c>
      <c r="I45" s="63">
        <v>120</v>
      </c>
      <c r="J45" s="64">
        <v>120</v>
      </c>
      <c r="K45" s="65">
        <f t="shared" si="2"/>
        <v>44.8</v>
      </c>
      <c r="L45" s="68">
        <f t="shared" si="2"/>
        <v>0</v>
      </c>
      <c r="M45" s="31">
        <v>941</v>
      </c>
      <c r="N45" s="31">
        <v>1501</v>
      </c>
      <c r="O45" s="31">
        <v>1501</v>
      </c>
      <c r="P45" s="82">
        <v>1501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71" t="s">
        <v>103</v>
      </c>
      <c r="B46" s="246" t="s">
        <v>90</v>
      </c>
      <c r="C46" s="253" t="s">
        <v>89</v>
      </c>
      <c r="D46" s="49" t="s">
        <v>104</v>
      </c>
      <c r="E46" s="28">
        <v>69010410</v>
      </c>
      <c r="F46" s="29">
        <v>690128</v>
      </c>
      <c r="G46" s="45">
        <v>603</v>
      </c>
      <c r="H46" s="31">
        <v>574</v>
      </c>
      <c r="I46" s="46">
        <v>650</v>
      </c>
      <c r="J46" s="32">
        <v>650</v>
      </c>
      <c r="K46" s="33">
        <f t="shared" si="2"/>
        <v>48.24</v>
      </c>
      <c r="L46" s="47">
        <f t="shared" si="2"/>
        <v>45.92</v>
      </c>
      <c r="M46" s="31">
        <v>107</v>
      </c>
      <c r="N46" s="31">
        <v>710</v>
      </c>
      <c r="O46" s="31">
        <v>710</v>
      </c>
      <c r="P46" s="240">
        <v>1284</v>
      </c>
      <c r="Q46" s="35">
        <v>1500</v>
      </c>
      <c r="R46" s="48"/>
      <c r="S46" s="36">
        <v>171.6</v>
      </c>
      <c r="T46" s="36"/>
      <c r="U46" s="37">
        <v>15</v>
      </c>
      <c r="V46" s="38"/>
      <c r="W46" s="39">
        <f>S46*1000/39.37/Q46*42.5</f>
        <v>123.495046990094</v>
      </c>
      <c r="X46" s="39"/>
      <c r="Y46" s="40">
        <f t="shared" ref="Y46:Y49" si="3">(AC46+W46)/2</f>
        <v>123.157523495047</v>
      </c>
      <c r="Z46" s="40"/>
      <c r="AA46" s="41"/>
      <c r="AB46" s="42"/>
      <c r="AC46" s="239">
        <v>122.82</v>
      </c>
      <c r="AD46" s="43"/>
      <c r="AE46" s="72"/>
    </row>
    <row r="47" spans="1:38" ht="20.25" customHeight="1" x14ac:dyDescent="0.4">
      <c r="A47" s="71" t="s">
        <v>105</v>
      </c>
      <c r="B47" s="246" t="s">
        <v>90</v>
      </c>
      <c r="C47" s="253" t="s">
        <v>89</v>
      </c>
      <c r="D47" s="49" t="s">
        <v>104</v>
      </c>
      <c r="E47" s="28">
        <v>69010409</v>
      </c>
      <c r="F47" s="29">
        <v>690128</v>
      </c>
      <c r="G47" s="45">
        <v>530</v>
      </c>
      <c r="H47" s="31">
        <v>573</v>
      </c>
      <c r="I47" s="63">
        <v>650</v>
      </c>
      <c r="J47" s="64">
        <v>650</v>
      </c>
      <c r="K47" s="65">
        <f t="shared" si="2"/>
        <v>42.4</v>
      </c>
      <c r="L47" s="68">
        <f t="shared" si="2"/>
        <v>45.84</v>
      </c>
      <c r="M47" s="31">
        <v>0</v>
      </c>
      <c r="N47" s="31">
        <v>530</v>
      </c>
      <c r="O47" s="31">
        <v>530</v>
      </c>
      <c r="P47" s="31">
        <v>1103</v>
      </c>
      <c r="Q47" s="35">
        <v>1440</v>
      </c>
      <c r="R47" s="48"/>
      <c r="S47" s="36">
        <v>161.19999999999999</v>
      </c>
      <c r="T47" s="36"/>
      <c r="U47" s="37">
        <v>15</v>
      </c>
      <c r="V47" s="38"/>
      <c r="W47" s="39">
        <f>S47*1000/39.37/Q47*42.5</f>
        <v>120.84426946631672</v>
      </c>
      <c r="X47" s="39"/>
      <c r="Y47" s="40">
        <f t="shared" si="3"/>
        <v>121.82213473315835</v>
      </c>
      <c r="Z47" s="40"/>
      <c r="AA47" s="41"/>
      <c r="AB47" s="42"/>
      <c r="AC47" s="239">
        <v>122.8</v>
      </c>
      <c r="AD47" s="43"/>
    </row>
    <row r="48" spans="1:38" ht="24" customHeight="1" x14ac:dyDescent="0.4">
      <c r="A48" s="71" t="s">
        <v>106</v>
      </c>
      <c r="B48" s="246" t="s">
        <v>90</v>
      </c>
      <c r="C48" s="253" t="s">
        <v>89</v>
      </c>
      <c r="D48" s="49" t="s">
        <v>104</v>
      </c>
      <c r="E48" s="28">
        <v>69010408</v>
      </c>
      <c r="F48" s="29">
        <v>690128</v>
      </c>
      <c r="G48" s="69">
        <v>540</v>
      </c>
      <c r="H48" s="31">
        <v>527</v>
      </c>
      <c r="I48" s="63">
        <v>650</v>
      </c>
      <c r="J48" s="64">
        <v>650</v>
      </c>
      <c r="K48" s="65">
        <f t="shared" si="2"/>
        <v>43.2</v>
      </c>
      <c r="L48" s="68">
        <f t="shared" si="2"/>
        <v>42.16</v>
      </c>
      <c r="M48" s="31">
        <v>0</v>
      </c>
      <c r="N48" s="31">
        <v>540</v>
      </c>
      <c r="O48" s="31">
        <v>540</v>
      </c>
      <c r="P48" s="31">
        <v>1067</v>
      </c>
      <c r="Q48" s="35">
        <v>1474</v>
      </c>
      <c r="R48" s="48"/>
      <c r="S48" s="36">
        <v>164.2</v>
      </c>
      <c r="T48" s="36"/>
      <c r="U48" s="37">
        <v>15</v>
      </c>
      <c r="V48" s="38"/>
      <c r="W48" s="39">
        <f>S48*1000/39.37/Q48*42.5</f>
        <v>120.25390400848644</v>
      </c>
      <c r="X48" s="39"/>
      <c r="Y48" s="40">
        <f t="shared" si="3"/>
        <v>121.86195200424322</v>
      </c>
      <c r="Z48" s="40"/>
      <c r="AA48" s="41"/>
      <c r="AB48" s="42"/>
      <c r="AC48" s="239">
        <v>123.47</v>
      </c>
      <c r="AD48" s="43"/>
    </row>
    <row r="49" spans="1:35" ht="24" customHeight="1" x14ac:dyDescent="0.4">
      <c r="A49" s="71" t="s">
        <v>107</v>
      </c>
      <c r="B49" s="246" t="s">
        <v>90</v>
      </c>
      <c r="C49" s="253" t="s">
        <v>89</v>
      </c>
      <c r="D49" s="49" t="s">
        <v>47</v>
      </c>
      <c r="E49" s="28">
        <v>69010415</v>
      </c>
      <c r="F49" s="29">
        <v>690119</v>
      </c>
      <c r="G49" s="73">
        <v>632</v>
      </c>
      <c r="H49" s="31">
        <v>697</v>
      </c>
      <c r="I49" s="46">
        <v>650</v>
      </c>
      <c r="J49" s="32">
        <v>650</v>
      </c>
      <c r="K49" s="33">
        <f t="shared" si="2"/>
        <v>50.56</v>
      </c>
      <c r="L49" s="47">
        <f t="shared" si="2"/>
        <v>55.76</v>
      </c>
      <c r="M49" s="31">
        <v>221</v>
      </c>
      <c r="N49" s="31">
        <v>853</v>
      </c>
      <c r="O49" s="31">
        <v>853</v>
      </c>
      <c r="P49" s="31">
        <v>1550</v>
      </c>
      <c r="Q49" s="35">
        <v>600</v>
      </c>
      <c r="R49" s="48"/>
      <c r="S49" s="36">
        <v>49.3</v>
      </c>
      <c r="T49" s="36"/>
      <c r="U49" s="37">
        <v>5</v>
      </c>
      <c r="V49" s="38"/>
      <c r="W49" s="39">
        <f>S49*1000/39.37/Q49*38.5</f>
        <v>80.350944035221403</v>
      </c>
      <c r="X49" s="39"/>
      <c r="Y49" s="40">
        <f t="shared" si="3"/>
        <v>81.335472017610698</v>
      </c>
      <c r="Z49" s="40"/>
      <c r="AA49" s="41"/>
      <c r="AB49" s="42"/>
      <c r="AC49" s="43">
        <v>82.32</v>
      </c>
      <c r="AD49" s="43"/>
    </row>
    <row r="50" spans="1:35" ht="24" customHeight="1" thickBot="1" x14ac:dyDescent="0.45">
      <c r="A50" s="71" t="s">
        <v>108</v>
      </c>
      <c r="B50" s="246" t="s">
        <v>90</v>
      </c>
      <c r="C50" s="253" t="s">
        <v>89</v>
      </c>
      <c r="D50" s="49" t="s">
        <v>47</v>
      </c>
      <c r="E50" s="28"/>
      <c r="F50" s="29">
        <v>690119</v>
      </c>
      <c r="G50" s="74">
        <v>691</v>
      </c>
      <c r="H50" s="31">
        <v>648</v>
      </c>
      <c r="I50" s="46">
        <v>650</v>
      </c>
      <c r="J50" s="32">
        <v>650</v>
      </c>
      <c r="K50" s="33">
        <f t="shared" si="2"/>
        <v>55.28</v>
      </c>
      <c r="L50" s="47">
        <f t="shared" si="2"/>
        <v>51.84</v>
      </c>
      <c r="M50" s="31">
        <v>1464</v>
      </c>
      <c r="N50" s="31">
        <v>2155</v>
      </c>
      <c r="O50" s="31">
        <v>2155</v>
      </c>
      <c r="P50" s="243">
        <v>303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71" t="s">
        <v>109</v>
      </c>
      <c r="B51" s="246" t="s">
        <v>46</v>
      </c>
      <c r="C51" s="253" t="s">
        <v>89</v>
      </c>
      <c r="D51" s="49" t="s">
        <v>52</v>
      </c>
      <c r="E51" s="28">
        <v>69010426</v>
      </c>
      <c r="F51" s="29">
        <v>690113</v>
      </c>
      <c r="G51" s="45">
        <v>500</v>
      </c>
      <c r="H51" s="31">
        <v>643</v>
      </c>
      <c r="I51" s="46">
        <v>650</v>
      </c>
      <c r="J51" s="32">
        <v>650</v>
      </c>
      <c r="K51" s="33">
        <f t="shared" si="2"/>
        <v>40</v>
      </c>
      <c r="L51" s="47">
        <f t="shared" si="2"/>
        <v>51.44</v>
      </c>
      <c r="M51" s="31">
        <v>2200</v>
      </c>
      <c r="N51" s="31">
        <v>200</v>
      </c>
      <c r="O51" s="31">
        <v>200</v>
      </c>
      <c r="P51" s="244">
        <v>843</v>
      </c>
      <c r="Q51" s="35"/>
      <c r="R51" s="48">
        <v>2500</v>
      </c>
      <c r="S51" s="36"/>
      <c r="T51" s="36">
        <v>183.6</v>
      </c>
      <c r="U51" s="37"/>
      <c r="V51" s="38">
        <v>25</v>
      </c>
      <c r="W51" s="39"/>
      <c r="X51" s="39">
        <f>T51*1000/39.37/R51*35.5</f>
        <v>66.22098044196089</v>
      </c>
      <c r="Y51" s="40"/>
      <c r="Z51" s="40">
        <f t="shared" ref="Y51:Z53" si="4">(AD51+X51)/2</f>
        <v>66.590490220980442</v>
      </c>
      <c r="AA51" s="41"/>
      <c r="AB51" s="42"/>
      <c r="AC51" s="43"/>
      <c r="AD51" s="43">
        <v>66.959999999999994</v>
      </c>
    </row>
    <row r="52" spans="1:35" ht="24.75" customHeight="1" x14ac:dyDescent="0.4">
      <c r="A52" s="71" t="s">
        <v>110</v>
      </c>
      <c r="B52" s="246" t="s">
        <v>46</v>
      </c>
      <c r="C52" s="253" t="s">
        <v>45</v>
      </c>
      <c r="D52" s="49" t="s">
        <v>47</v>
      </c>
      <c r="E52" s="28">
        <v>69010414</v>
      </c>
      <c r="F52" s="29">
        <v>690119</v>
      </c>
      <c r="G52" s="45">
        <v>765</v>
      </c>
      <c r="H52" s="31">
        <v>800</v>
      </c>
      <c r="I52" s="46">
        <v>125</v>
      </c>
      <c r="J52" s="32">
        <v>125</v>
      </c>
      <c r="K52" s="33">
        <f t="shared" si="2"/>
        <v>61.2</v>
      </c>
      <c r="L52" s="47">
        <f t="shared" si="2"/>
        <v>64</v>
      </c>
      <c r="M52" s="31">
        <v>85</v>
      </c>
      <c r="N52" s="31">
        <v>850</v>
      </c>
      <c r="O52" s="31">
        <v>850</v>
      </c>
      <c r="P52" s="242">
        <v>1650</v>
      </c>
      <c r="Q52" s="35">
        <v>900</v>
      </c>
      <c r="R52" s="48"/>
      <c r="S52" s="36">
        <v>76.3</v>
      </c>
      <c r="T52" s="36"/>
      <c r="U52" s="37">
        <v>10</v>
      </c>
      <c r="V52" s="38"/>
      <c r="W52" s="39">
        <f>S52*1000/39.37/Q52*38.5</f>
        <v>82.904354697598308</v>
      </c>
      <c r="X52" s="39"/>
      <c r="Y52" s="40">
        <f t="shared" si="4"/>
        <v>82.272177348799147</v>
      </c>
      <c r="Z52" s="40"/>
      <c r="AA52" s="41"/>
      <c r="AB52" s="42"/>
      <c r="AC52" s="43">
        <v>81.64</v>
      </c>
      <c r="AD52" s="43"/>
    </row>
    <row r="53" spans="1:35" ht="23.25" customHeight="1" x14ac:dyDescent="0.4">
      <c r="A53" s="71" t="s">
        <v>111</v>
      </c>
      <c r="B53" s="246" t="s">
        <v>46</v>
      </c>
      <c r="C53" s="253" t="s">
        <v>45</v>
      </c>
      <c r="D53" s="49" t="s">
        <v>52</v>
      </c>
      <c r="E53" s="28">
        <v>69010407</v>
      </c>
      <c r="F53" s="29">
        <v>690113</v>
      </c>
      <c r="G53" s="69">
        <v>855</v>
      </c>
      <c r="H53" s="31">
        <v>800</v>
      </c>
      <c r="I53" s="46">
        <v>125</v>
      </c>
      <c r="J53" s="32">
        <v>125</v>
      </c>
      <c r="K53" s="33">
        <f t="shared" si="2"/>
        <v>68.400000000000006</v>
      </c>
      <c r="L53" s="47">
        <f t="shared" si="2"/>
        <v>64</v>
      </c>
      <c r="M53" s="31">
        <v>2445</v>
      </c>
      <c r="N53" s="31">
        <v>800</v>
      </c>
      <c r="O53" s="31">
        <v>800</v>
      </c>
      <c r="P53" s="31">
        <v>1600</v>
      </c>
      <c r="Q53" s="35">
        <v>2500</v>
      </c>
      <c r="R53" s="48"/>
      <c r="S53" s="36">
        <v>178.1</v>
      </c>
      <c r="T53" s="36"/>
      <c r="U53" s="37">
        <v>25</v>
      </c>
      <c r="V53" s="38"/>
      <c r="W53" s="39">
        <f>S53*1000/39.37/Q53*35.5</f>
        <v>64.237236474472951</v>
      </c>
      <c r="X53" s="39"/>
      <c r="Y53" s="40">
        <f t="shared" si="4"/>
        <v>64.588618237236474</v>
      </c>
      <c r="Z53" s="40"/>
      <c r="AA53" s="41"/>
      <c r="AB53" s="42"/>
      <c r="AC53" s="43">
        <v>64.94</v>
      </c>
      <c r="AD53" s="43"/>
    </row>
    <row r="54" spans="1:35" ht="24" customHeight="1" x14ac:dyDescent="0.4">
      <c r="A54" s="71" t="s">
        <v>112</v>
      </c>
      <c r="B54" s="246" t="s">
        <v>46</v>
      </c>
      <c r="C54" s="253" t="s">
        <v>45</v>
      </c>
      <c r="D54" s="49" t="s">
        <v>57</v>
      </c>
      <c r="E54" s="28">
        <v>69010419</v>
      </c>
      <c r="F54" s="29">
        <v>690106</v>
      </c>
      <c r="G54" s="69">
        <v>665</v>
      </c>
      <c r="H54" s="31">
        <v>720</v>
      </c>
      <c r="I54" s="63">
        <v>125</v>
      </c>
      <c r="J54" s="64">
        <v>125</v>
      </c>
      <c r="K54" s="65">
        <f t="shared" si="2"/>
        <v>53.2</v>
      </c>
      <c r="L54" s="68">
        <f t="shared" si="2"/>
        <v>57.6</v>
      </c>
      <c r="M54" s="31">
        <v>2340</v>
      </c>
      <c r="N54" s="31">
        <v>505</v>
      </c>
      <c r="O54" s="31">
        <v>505</v>
      </c>
      <c r="P54" s="31">
        <v>1225</v>
      </c>
      <c r="Q54" s="35"/>
      <c r="R54" s="48">
        <v>2500</v>
      </c>
      <c r="S54" s="36"/>
      <c r="T54" s="36">
        <v>203.4</v>
      </c>
      <c r="U54" s="37"/>
      <c r="V54" s="38">
        <v>25</v>
      </c>
      <c r="W54" s="39"/>
      <c r="X54" s="39">
        <f>T54*1000/39.37/R54*31.5</f>
        <v>65.096266192532383</v>
      </c>
      <c r="Y54" s="40"/>
      <c r="Z54" s="40">
        <f>(AD54+X54)/2</f>
        <v>66.453133096266185</v>
      </c>
      <c r="AA54" s="41"/>
      <c r="AB54" s="42"/>
      <c r="AC54" s="43"/>
      <c r="AD54" s="43">
        <v>67.81</v>
      </c>
    </row>
    <row r="55" spans="1:35" ht="24.75" customHeight="1" x14ac:dyDescent="0.4">
      <c r="A55" s="71" t="s">
        <v>113</v>
      </c>
      <c r="B55" s="246" t="s">
        <v>46</v>
      </c>
      <c r="C55" s="253" t="s">
        <v>45</v>
      </c>
      <c r="D55" s="49" t="s">
        <v>57</v>
      </c>
      <c r="E55" s="28">
        <v>69010412</v>
      </c>
      <c r="F55" s="29">
        <v>690106</v>
      </c>
      <c r="G55" s="45">
        <v>590</v>
      </c>
      <c r="H55" s="31">
        <v>720</v>
      </c>
      <c r="I55" s="46">
        <v>125</v>
      </c>
      <c r="J55" s="32">
        <v>125</v>
      </c>
      <c r="K55" s="33">
        <f t="shared" si="2"/>
        <v>47.2</v>
      </c>
      <c r="L55" s="47">
        <f t="shared" si="2"/>
        <v>57.6</v>
      </c>
      <c r="M55" s="31">
        <v>130</v>
      </c>
      <c r="N55" s="31">
        <v>720</v>
      </c>
      <c r="O55" s="31">
        <v>720</v>
      </c>
      <c r="P55" s="31">
        <v>1440</v>
      </c>
      <c r="Q55" s="35">
        <v>2160</v>
      </c>
      <c r="R55" s="48"/>
      <c r="S55" s="36">
        <v>175.8</v>
      </c>
      <c r="T55" s="36"/>
      <c r="U55" s="37">
        <v>20</v>
      </c>
      <c r="V55" s="38"/>
      <c r="W55" s="39">
        <f>S55*1000/39.37/Q55*31.5</f>
        <v>65.119380238760485</v>
      </c>
      <c r="X55" s="39"/>
      <c r="Y55" s="40">
        <f>(AC55+W55)/2</f>
        <v>65.549690119380244</v>
      </c>
      <c r="Z55" s="40"/>
      <c r="AA55" s="41"/>
      <c r="AB55" s="42"/>
      <c r="AC55" s="43">
        <v>65.98</v>
      </c>
      <c r="AD55" s="43"/>
    </row>
    <row r="56" spans="1:35" ht="24" customHeight="1" x14ac:dyDescent="0.4">
      <c r="A56" s="71" t="s">
        <v>114</v>
      </c>
      <c r="B56" s="246" t="s">
        <v>116</v>
      </c>
      <c r="C56" s="253" t="s">
        <v>63</v>
      </c>
      <c r="D56" s="49" t="s">
        <v>57</v>
      </c>
      <c r="E56" s="28"/>
      <c r="F56" s="29">
        <v>690106</v>
      </c>
      <c r="G56" s="45">
        <v>701</v>
      </c>
      <c r="H56" s="31">
        <v>444</v>
      </c>
      <c r="I56" s="63">
        <v>115</v>
      </c>
      <c r="J56" s="64">
        <v>115</v>
      </c>
      <c r="K56" s="65">
        <v>0</v>
      </c>
      <c r="L56" s="68">
        <v>0</v>
      </c>
      <c r="M56" s="31">
        <v>1344</v>
      </c>
      <c r="N56" s="31">
        <v>2045</v>
      </c>
      <c r="O56" s="31">
        <v>2045</v>
      </c>
      <c r="P56" s="31">
        <v>429</v>
      </c>
      <c r="Q56" s="35"/>
      <c r="R56" s="48"/>
      <c r="S56" s="36"/>
      <c r="T56" s="36"/>
      <c r="U56" s="37"/>
      <c r="V56" s="38"/>
      <c r="W56" s="39"/>
      <c r="X56" s="39"/>
      <c r="Y56" s="40"/>
      <c r="Z56" s="40"/>
      <c r="AA56" s="41"/>
      <c r="AB56" s="41"/>
      <c r="AC56" s="43"/>
      <c r="AD56" s="43"/>
    </row>
    <row r="57" spans="1:35" ht="24" customHeight="1" thickBot="1" x14ac:dyDescent="0.55000000000000004">
      <c r="A57" s="71" t="s">
        <v>117</v>
      </c>
      <c r="B57" s="246" t="s">
        <v>115</v>
      </c>
      <c r="C57" s="253" t="s">
        <v>63</v>
      </c>
      <c r="D57" s="214" t="s">
        <v>211</v>
      </c>
      <c r="E57" s="28"/>
      <c r="F57" s="29"/>
      <c r="G57" s="69">
        <v>0</v>
      </c>
      <c r="H57" s="31">
        <v>470</v>
      </c>
      <c r="I57" s="46">
        <v>115</v>
      </c>
      <c r="J57" s="32">
        <v>115</v>
      </c>
      <c r="K57" s="33">
        <f t="shared" ref="K57:L82" si="5">G57*8/100</f>
        <v>0</v>
      </c>
      <c r="L57" s="47">
        <f t="shared" si="5"/>
        <v>37.6</v>
      </c>
      <c r="M57" s="31">
        <v>0</v>
      </c>
      <c r="N57" s="31">
        <v>0</v>
      </c>
      <c r="O57" s="31">
        <v>0</v>
      </c>
      <c r="P57" s="82">
        <v>470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71" t="s">
        <v>119</v>
      </c>
      <c r="B58" s="246" t="s">
        <v>121</v>
      </c>
      <c r="C58" s="253" t="s">
        <v>120</v>
      </c>
      <c r="D58" s="49" t="s">
        <v>94</v>
      </c>
      <c r="E58" s="28">
        <v>69010416</v>
      </c>
      <c r="F58" s="29">
        <v>690107</v>
      </c>
      <c r="G58" s="45">
        <v>720</v>
      </c>
      <c r="H58" s="31">
        <v>775</v>
      </c>
      <c r="I58" s="46">
        <v>135</v>
      </c>
      <c r="J58" s="32">
        <v>135</v>
      </c>
      <c r="K58" s="33">
        <f t="shared" si="5"/>
        <v>57.6</v>
      </c>
      <c r="L58" s="47">
        <f t="shared" si="5"/>
        <v>62</v>
      </c>
      <c r="M58" s="31">
        <v>2410</v>
      </c>
      <c r="N58" s="31">
        <v>570</v>
      </c>
      <c r="O58" s="31">
        <v>570</v>
      </c>
      <c r="P58" s="240">
        <v>1345</v>
      </c>
      <c r="Q58" s="35"/>
      <c r="R58" s="48">
        <v>2560</v>
      </c>
      <c r="S58" s="36"/>
      <c r="T58" s="36">
        <v>180.3</v>
      </c>
      <c r="U58" s="37"/>
      <c r="V58" s="38">
        <v>25</v>
      </c>
      <c r="W58" s="39"/>
      <c r="X58" s="39">
        <f>T58*1000/39.37/R58*38.5</f>
        <v>68.873329152908312</v>
      </c>
      <c r="Y58" s="40"/>
      <c r="Z58" s="40">
        <f>(AD58+X58)/2</f>
        <v>67.661664576454157</v>
      </c>
      <c r="AA58" s="41"/>
      <c r="AB58" s="41"/>
      <c r="AC58" s="43"/>
      <c r="AD58" s="43">
        <v>66.45</v>
      </c>
    </row>
    <row r="59" spans="1:35" ht="24" customHeight="1" x14ac:dyDescent="0.45">
      <c r="A59" s="71" t="s">
        <v>122</v>
      </c>
      <c r="B59" s="246" t="s">
        <v>121</v>
      </c>
      <c r="C59" s="253" t="s">
        <v>120</v>
      </c>
      <c r="D59" s="49" t="s">
        <v>71</v>
      </c>
      <c r="E59" s="28">
        <v>69010422</v>
      </c>
      <c r="F59" s="29">
        <v>690106</v>
      </c>
      <c r="G59" s="45">
        <v>727</v>
      </c>
      <c r="H59" s="31">
        <v>792</v>
      </c>
      <c r="I59" s="46">
        <v>135</v>
      </c>
      <c r="J59" s="32">
        <v>135</v>
      </c>
      <c r="K59" s="33">
        <f t="shared" si="5"/>
        <v>58.16</v>
      </c>
      <c r="L59" s="47">
        <f t="shared" si="5"/>
        <v>63.36</v>
      </c>
      <c r="M59" s="31">
        <v>2090</v>
      </c>
      <c r="N59" s="31">
        <v>610</v>
      </c>
      <c r="O59" s="31">
        <v>610</v>
      </c>
      <c r="P59" s="31">
        <v>1402</v>
      </c>
      <c r="Q59" s="35"/>
      <c r="R59" s="48">
        <v>2180</v>
      </c>
      <c r="S59" s="36"/>
      <c r="T59" s="36">
        <v>150.4</v>
      </c>
      <c r="U59" s="37"/>
      <c r="V59" s="38">
        <v>20</v>
      </c>
      <c r="W59" s="39"/>
      <c r="X59" s="39">
        <f>T59*1000/39.37/R59*31.5</f>
        <v>55.199670032367585</v>
      </c>
      <c r="Y59" s="40"/>
      <c r="Z59" s="40">
        <f t="shared" ref="Z59:Z65" si="6">(AD59+X59)/2</f>
        <v>58.014835016183795</v>
      </c>
      <c r="AA59" s="41"/>
      <c r="AB59" s="42"/>
      <c r="AC59" s="43"/>
      <c r="AD59" s="43">
        <v>60.83</v>
      </c>
      <c r="AI59" s="75"/>
    </row>
    <row r="60" spans="1:35" ht="26.25" customHeight="1" x14ac:dyDescent="0.4">
      <c r="A60" s="71" t="s">
        <v>123</v>
      </c>
      <c r="B60" s="246" t="s">
        <v>121</v>
      </c>
      <c r="C60" s="253" t="s">
        <v>120</v>
      </c>
      <c r="D60" s="49" t="s">
        <v>71</v>
      </c>
      <c r="E60" s="28">
        <v>69010423</v>
      </c>
      <c r="F60" s="29">
        <v>690106</v>
      </c>
      <c r="G60" s="45">
        <v>820</v>
      </c>
      <c r="H60" s="31">
        <v>760</v>
      </c>
      <c r="I60" s="46">
        <v>135</v>
      </c>
      <c r="J60" s="64">
        <v>135</v>
      </c>
      <c r="K60" s="65">
        <f t="shared" si="5"/>
        <v>65.599999999999994</v>
      </c>
      <c r="L60" s="68">
        <f t="shared" si="5"/>
        <v>60.8</v>
      </c>
      <c r="M60" s="31">
        <v>1990</v>
      </c>
      <c r="N60" s="31">
        <v>700</v>
      </c>
      <c r="O60" s="31">
        <v>700</v>
      </c>
      <c r="P60" s="31">
        <v>1460</v>
      </c>
      <c r="Q60" s="35"/>
      <c r="R60" s="48">
        <v>2111</v>
      </c>
      <c r="S60" s="36"/>
      <c r="T60" s="36">
        <v>147.30000000000001</v>
      </c>
      <c r="U60" s="37"/>
      <c r="V60" s="38">
        <v>20</v>
      </c>
      <c r="W60" s="39"/>
      <c r="X60" s="39">
        <f>T60*1000/39.37/R60*31.5</f>
        <v>55.828974756007312</v>
      </c>
      <c r="Y60" s="40"/>
      <c r="Z60" s="40">
        <f t="shared" si="6"/>
        <v>56.864487378003659</v>
      </c>
      <c r="AA60" s="41"/>
      <c r="AB60" s="42"/>
      <c r="AC60" s="43"/>
      <c r="AD60" s="43">
        <v>57.9</v>
      </c>
    </row>
    <row r="61" spans="1:35" ht="24.75" customHeight="1" x14ac:dyDescent="0.4">
      <c r="A61" s="71" t="s">
        <v>124</v>
      </c>
      <c r="B61" s="246" t="s">
        <v>121</v>
      </c>
      <c r="C61" s="253" t="s">
        <v>120</v>
      </c>
      <c r="D61" s="49" t="s">
        <v>71</v>
      </c>
      <c r="E61" s="28">
        <v>69010424</v>
      </c>
      <c r="F61" s="29">
        <v>690106</v>
      </c>
      <c r="G61" s="45">
        <v>728</v>
      </c>
      <c r="H61" s="31">
        <v>770</v>
      </c>
      <c r="I61" s="46">
        <v>135</v>
      </c>
      <c r="J61" s="64">
        <v>135</v>
      </c>
      <c r="K61" s="65">
        <f t="shared" si="5"/>
        <v>58.24</v>
      </c>
      <c r="L61" s="68">
        <f t="shared" si="5"/>
        <v>61.6</v>
      </c>
      <c r="M61" s="31">
        <v>2021</v>
      </c>
      <c r="N61" s="31">
        <v>580</v>
      </c>
      <c r="O61" s="31">
        <v>580</v>
      </c>
      <c r="P61" s="31">
        <v>1350</v>
      </c>
      <c r="Q61" s="35"/>
      <c r="R61" s="48">
        <v>2169</v>
      </c>
      <c r="S61" s="36"/>
      <c r="T61" s="36">
        <v>152.19999999999999</v>
      </c>
      <c r="U61" s="37"/>
      <c r="V61" s="38">
        <v>20</v>
      </c>
      <c r="W61" s="39"/>
      <c r="X61" s="39">
        <f>T61*1000/39.37/R61*31.5</f>
        <v>56.143597764373951</v>
      </c>
      <c r="Y61" s="40"/>
      <c r="Z61" s="40">
        <f t="shared" si="6"/>
        <v>57.551798882186972</v>
      </c>
      <c r="AA61" s="41"/>
      <c r="AB61" s="42"/>
      <c r="AC61" s="43"/>
      <c r="AD61" s="43">
        <v>58.96</v>
      </c>
    </row>
    <row r="62" spans="1:35" ht="24" customHeight="1" thickBot="1" x14ac:dyDescent="0.45">
      <c r="A62" s="71" t="s">
        <v>125</v>
      </c>
      <c r="B62" s="246" t="s">
        <v>121</v>
      </c>
      <c r="C62" s="253" t="s">
        <v>120</v>
      </c>
      <c r="D62" s="49" t="s">
        <v>43</v>
      </c>
      <c r="E62" s="28"/>
      <c r="F62" s="29">
        <v>690108</v>
      </c>
      <c r="G62" s="45">
        <v>815</v>
      </c>
      <c r="H62" s="31">
        <v>0</v>
      </c>
      <c r="I62" s="46">
        <v>135</v>
      </c>
      <c r="J62" s="32">
        <v>135</v>
      </c>
      <c r="K62" s="33">
        <f t="shared" si="5"/>
        <v>65.2</v>
      </c>
      <c r="L62" s="47">
        <f t="shared" si="5"/>
        <v>0</v>
      </c>
      <c r="M62" s="31">
        <v>1440</v>
      </c>
      <c r="N62" s="31">
        <v>2255</v>
      </c>
      <c r="O62" s="31">
        <v>2255</v>
      </c>
      <c r="P62" s="241">
        <v>2255</v>
      </c>
      <c r="Q62" s="35"/>
      <c r="R62" s="48"/>
      <c r="S62" s="36"/>
      <c r="T62" s="36"/>
      <c r="U62" s="37"/>
      <c r="V62" s="38"/>
      <c r="W62" s="39"/>
      <c r="X62" s="39"/>
      <c r="Y62" s="40"/>
      <c r="Z62" s="40"/>
      <c r="AA62" s="41"/>
      <c r="AB62" s="42"/>
      <c r="AC62" s="43"/>
      <c r="AD62" s="43"/>
    </row>
    <row r="63" spans="1:35" ht="24.75" customHeight="1" x14ac:dyDescent="0.4">
      <c r="A63" s="71" t="s">
        <v>126</v>
      </c>
      <c r="B63" s="246" t="s">
        <v>232</v>
      </c>
      <c r="C63" s="253" t="s">
        <v>127</v>
      </c>
      <c r="D63" s="49" t="s">
        <v>71</v>
      </c>
      <c r="E63" s="28"/>
      <c r="F63" s="29">
        <v>690106</v>
      </c>
      <c r="G63" s="45">
        <v>680</v>
      </c>
      <c r="H63" s="31">
        <v>500</v>
      </c>
      <c r="I63" s="46">
        <v>135</v>
      </c>
      <c r="J63" s="64">
        <v>135</v>
      </c>
      <c r="K63" s="65">
        <f t="shared" si="5"/>
        <v>54.4</v>
      </c>
      <c r="L63" s="68">
        <f t="shared" si="5"/>
        <v>40</v>
      </c>
      <c r="M63" s="31">
        <v>820</v>
      </c>
      <c r="N63" s="31">
        <v>1500</v>
      </c>
      <c r="O63" s="31">
        <v>1500</v>
      </c>
      <c r="P63" s="242">
        <v>0</v>
      </c>
      <c r="Q63" s="35"/>
      <c r="R63" s="48"/>
      <c r="S63" s="36"/>
      <c r="T63" s="36"/>
      <c r="U63" s="37"/>
      <c r="V63" s="38"/>
      <c r="W63" s="39"/>
      <c r="X63" s="39"/>
      <c r="Y63" s="40"/>
      <c r="Z63" s="40"/>
      <c r="AA63" s="41"/>
      <c r="AB63" s="42"/>
      <c r="AC63" s="43"/>
      <c r="AD63" s="43"/>
    </row>
    <row r="64" spans="1:35" ht="24" customHeight="1" x14ac:dyDescent="0.4">
      <c r="A64" s="71" t="s">
        <v>128</v>
      </c>
      <c r="B64" s="246" t="s">
        <v>232</v>
      </c>
      <c r="C64" s="253" t="s">
        <v>127</v>
      </c>
      <c r="D64" s="49" t="s">
        <v>71</v>
      </c>
      <c r="E64" s="28">
        <v>69010420</v>
      </c>
      <c r="F64" s="29">
        <v>690106</v>
      </c>
      <c r="G64" s="45">
        <v>740</v>
      </c>
      <c r="H64" s="31">
        <v>720</v>
      </c>
      <c r="I64" s="46">
        <v>135</v>
      </c>
      <c r="J64" s="64">
        <v>135</v>
      </c>
      <c r="K64" s="65">
        <f t="shared" si="5"/>
        <v>59.2</v>
      </c>
      <c r="L64" s="76">
        <f t="shared" si="5"/>
        <v>57.6</v>
      </c>
      <c r="M64" s="31">
        <v>2280</v>
      </c>
      <c r="N64" s="31">
        <v>700</v>
      </c>
      <c r="O64" s="31">
        <v>700</v>
      </c>
      <c r="P64" s="31">
        <v>1420</v>
      </c>
      <c r="Q64" s="35"/>
      <c r="R64" s="48">
        <v>2300</v>
      </c>
      <c r="S64" s="36"/>
      <c r="T64" s="36">
        <v>158.4</v>
      </c>
      <c r="U64" s="37"/>
      <c r="V64" s="38">
        <v>20</v>
      </c>
      <c r="W64" s="39"/>
      <c r="X64" s="39">
        <f>T64*1000/39.37/R64*31.5</f>
        <v>55.102649335733453</v>
      </c>
      <c r="Y64" s="40"/>
      <c r="Z64" s="40">
        <f t="shared" si="6"/>
        <v>56.016324667866726</v>
      </c>
      <c r="AA64" s="41"/>
      <c r="AB64" s="42"/>
      <c r="AC64" s="43"/>
      <c r="AD64" s="43">
        <v>56.93</v>
      </c>
    </row>
    <row r="65" spans="1:30" ht="24" customHeight="1" x14ac:dyDescent="0.4">
      <c r="A65" s="71" t="s">
        <v>129</v>
      </c>
      <c r="B65" s="246" t="s">
        <v>232</v>
      </c>
      <c r="C65" s="253" t="s">
        <v>127</v>
      </c>
      <c r="D65" s="49" t="s">
        <v>71</v>
      </c>
      <c r="E65" s="28">
        <v>69010421</v>
      </c>
      <c r="F65" s="29">
        <v>690106</v>
      </c>
      <c r="G65" s="69">
        <v>670</v>
      </c>
      <c r="H65" s="31">
        <v>620</v>
      </c>
      <c r="I65" s="46">
        <v>135</v>
      </c>
      <c r="J65" s="32">
        <v>135</v>
      </c>
      <c r="K65" s="33">
        <f t="shared" si="5"/>
        <v>53.6</v>
      </c>
      <c r="L65" s="47">
        <f t="shared" si="5"/>
        <v>49.6</v>
      </c>
      <c r="M65" s="31">
        <v>1850</v>
      </c>
      <c r="N65" s="31">
        <v>480</v>
      </c>
      <c r="O65" s="31">
        <v>480</v>
      </c>
      <c r="P65" s="31">
        <v>1100</v>
      </c>
      <c r="Q65" s="35"/>
      <c r="R65" s="48">
        <v>2040</v>
      </c>
      <c r="S65" s="36"/>
      <c r="T65" s="36">
        <v>143.9</v>
      </c>
      <c r="U65" s="37"/>
      <c r="V65" s="38">
        <v>20</v>
      </c>
      <c r="W65" s="39"/>
      <c r="X65" s="39">
        <f>T65*1000/39.37/R65*31.5</f>
        <v>56.438539347666939</v>
      </c>
      <c r="Y65" s="40"/>
      <c r="Z65" s="40">
        <f t="shared" si="6"/>
        <v>57.64426967383347</v>
      </c>
      <c r="AA65" s="41"/>
      <c r="AB65" s="42"/>
      <c r="AC65" s="43"/>
      <c r="AD65" s="43">
        <v>58.85</v>
      </c>
    </row>
    <row r="66" spans="1:30" ht="24" customHeight="1" x14ac:dyDescent="0.5">
      <c r="A66" s="71" t="s">
        <v>130</v>
      </c>
      <c r="B66" s="246" t="s">
        <v>232</v>
      </c>
      <c r="C66" s="253" t="s">
        <v>127</v>
      </c>
      <c r="D66" s="214" t="s">
        <v>211</v>
      </c>
      <c r="E66" s="28"/>
      <c r="F66" s="29"/>
      <c r="G66" s="45">
        <v>0</v>
      </c>
      <c r="H66" s="31">
        <v>720</v>
      </c>
      <c r="I66" s="46">
        <v>135</v>
      </c>
      <c r="J66" s="32">
        <v>135</v>
      </c>
      <c r="K66" s="33">
        <f t="shared" si="5"/>
        <v>0</v>
      </c>
      <c r="L66" s="47">
        <f t="shared" si="5"/>
        <v>57.6</v>
      </c>
      <c r="M66" s="31">
        <v>0</v>
      </c>
      <c r="N66" s="31">
        <v>0</v>
      </c>
      <c r="O66" s="31">
        <v>0</v>
      </c>
      <c r="P66" s="31">
        <v>720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71" t="s">
        <v>131</v>
      </c>
      <c r="B67" s="246" t="s">
        <v>232</v>
      </c>
      <c r="C67" s="253" t="s">
        <v>127</v>
      </c>
      <c r="D67" s="49" t="s">
        <v>104</v>
      </c>
      <c r="E67" s="28">
        <v>69010411</v>
      </c>
      <c r="F67" s="29">
        <v>690128</v>
      </c>
      <c r="G67" s="45">
        <v>580</v>
      </c>
      <c r="H67" s="31">
        <v>600</v>
      </c>
      <c r="I67" s="46">
        <v>135</v>
      </c>
      <c r="J67" s="32">
        <v>135</v>
      </c>
      <c r="K67" s="33">
        <f t="shared" si="5"/>
        <v>46.4</v>
      </c>
      <c r="L67" s="47">
        <f t="shared" si="5"/>
        <v>48</v>
      </c>
      <c r="M67" s="31">
        <v>1500</v>
      </c>
      <c r="N67" s="31">
        <v>580</v>
      </c>
      <c r="O67" s="31">
        <v>580</v>
      </c>
      <c r="P67" s="31">
        <v>1180</v>
      </c>
      <c r="Q67" s="35">
        <v>1490</v>
      </c>
      <c r="R67" s="48"/>
      <c r="S67" s="36">
        <v>166.6</v>
      </c>
      <c r="T67" s="36"/>
      <c r="U67" s="37"/>
      <c r="V67" s="38"/>
      <c r="W67" s="39">
        <f>S67*1000/39.37/Q67*42.5</f>
        <v>120.70138234236201</v>
      </c>
      <c r="X67" s="39"/>
      <c r="Y67" s="40">
        <f>(AC67+W67)/2</f>
        <v>122.890691171181</v>
      </c>
      <c r="Z67" s="40"/>
      <c r="AA67" s="41"/>
      <c r="AB67" s="42"/>
      <c r="AC67" s="239">
        <v>125.08</v>
      </c>
      <c r="AD67" s="43"/>
    </row>
    <row r="68" spans="1:30" ht="24" customHeight="1" x14ac:dyDescent="0.4">
      <c r="A68" s="71" t="s">
        <v>132</v>
      </c>
      <c r="B68" s="246" t="s">
        <v>51</v>
      </c>
      <c r="C68" s="253" t="s">
        <v>233</v>
      </c>
      <c r="D68" s="49" t="s">
        <v>47</v>
      </c>
      <c r="E68" s="28"/>
      <c r="F68" s="29">
        <v>690119</v>
      </c>
      <c r="G68" s="69">
        <v>489</v>
      </c>
      <c r="H68" s="31">
        <v>349</v>
      </c>
      <c r="I68" s="46">
        <v>130</v>
      </c>
      <c r="J68" s="32">
        <v>130</v>
      </c>
      <c r="K68" s="33">
        <f t="shared" si="5"/>
        <v>39.119999999999997</v>
      </c>
      <c r="L68" s="47">
        <f t="shared" si="5"/>
        <v>27.92</v>
      </c>
      <c r="M68" s="31">
        <v>795</v>
      </c>
      <c r="N68" s="31">
        <v>1284</v>
      </c>
      <c r="O68" s="31">
        <v>1284</v>
      </c>
      <c r="P68" s="31">
        <v>1633</v>
      </c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customHeight="1" x14ac:dyDescent="0.4">
      <c r="A69" s="44" t="s">
        <v>133</v>
      </c>
      <c r="B69" s="246" t="s">
        <v>64</v>
      </c>
      <c r="C69" s="253"/>
      <c r="D69" s="49" t="s">
        <v>47</v>
      </c>
      <c r="E69" s="28"/>
      <c r="F69" s="29">
        <v>690119</v>
      </c>
      <c r="G69" s="69">
        <v>0</v>
      </c>
      <c r="H69" s="31">
        <v>0</v>
      </c>
      <c r="I69" s="46">
        <v>780</v>
      </c>
      <c r="J69" s="32">
        <v>780</v>
      </c>
      <c r="K69" s="33">
        <f t="shared" si="5"/>
        <v>0</v>
      </c>
      <c r="L69" s="47">
        <f t="shared" si="5"/>
        <v>0</v>
      </c>
      <c r="M69" s="31">
        <v>597</v>
      </c>
      <c r="N69" s="31">
        <v>597</v>
      </c>
      <c r="O69" s="31">
        <v>597</v>
      </c>
      <c r="P69" s="31">
        <v>597</v>
      </c>
      <c r="Q69" s="35"/>
      <c r="R69" s="48"/>
      <c r="S69" s="36"/>
      <c r="T69" s="36"/>
      <c r="U69" s="37"/>
      <c r="V69" s="38"/>
      <c r="W69" s="39"/>
      <c r="X69" s="39"/>
      <c r="Y69" s="40"/>
      <c r="Z69" s="40"/>
      <c r="AA69" s="41"/>
      <c r="AB69" s="42"/>
      <c r="AC69" s="43"/>
      <c r="AD69" s="43"/>
    </row>
    <row r="70" spans="1:30" ht="24" customHeight="1" thickBot="1" x14ac:dyDescent="0.45">
      <c r="A70" s="44" t="s">
        <v>134</v>
      </c>
      <c r="B70" s="246" t="s">
        <v>64</v>
      </c>
      <c r="C70" s="253"/>
      <c r="D70" s="49" t="s">
        <v>47</v>
      </c>
      <c r="E70" s="28"/>
      <c r="F70" s="29">
        <v>690119</v>
      </c>
      <c r="G70" s="45">
        <v>0</v>
      </c>
      <c r="H70" s="31">
        <v>0</v>
      </c>
      <c r="I70" s="46">
        <v>780</v>
      </c>
      <c r="J70" s="32">
        <v>780</v>
      </c>
      <c r="K70" s="33">
        <f t="shared" si="5"/>
        <v>0</v>
      </c>
      <c r="L70" s="47">
        <f t="shared" si="5"/>
        <v>0</v>
      </c>
      <c r="M70" s="31">
        <v>190</v>
      </c>
      <c r="N70" s="31">
        <v>190</v>
      </c>
      <c r="O70" s="31">
        <v>190</v>
      </c>
      <c r="P70" s="82">
        <v>190</v>
      </c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44" t="s">
        <v>135</v>
      </c>
      <c r="B71" s="246" t="s">
        <v>64</v>
      </c>
      <c r="C71" s="253" t="s">
        <v>34</v>
      </c>
      <c r="D71" s="49" t="s">
        <v>57</v>
      </c>
      <c r="E71" s="28"/>
      <c r="F71" s="29">
        <v>690106</v>
      </c>
      <c r="G71" s="45">
        <v>0</v>
      </c>
      <c r="H71" s="31">
        <v>542</v>
      </c>
      <c r="I71" s="46">
        <v>780</v>
      </c>
      <c r="J71" s="32">
        <v>780</v>
      </c>
      <c r="K71" s="33">
        <f t="shared" si="5"/>
        <v>0</v>
      </c>
      <c r="L71" s="47">
        <f t="shared" si="5"/>
        <v>43.36</v>
      </c>
      <c r="M71" s="31">
        <v>1373</v>
      </c>
      <c r="N71" s="31">
        <v>1373</v>
      </c>
      <c r="O71" s="31">
        <v>1373</v>
      </c>
      <c r="P71" s="240">
        <v>1915</v>
      </c>
      <c r="Q71" s="35"/>
      <c r="R71" s="48"/>
      <c r="S71" s="36"/>
      <c r="T71" s="36"/>
      <c r="U71" s="37"/>
      <c r="V71" s="38"/>
      <c r="W71" s="39"/>
      <c r="X71" s="39"/>
      <c r="Y71" s="40"/>
      <c r="Z71" s="40"/>
      <c r="AA71" s="41"/>
      <c r="AB71" s="42"/>
      <c r="AC71" s="43"/>
      <c r="AD71" s="43"/>
    </row>
    <row r="72" spans="1:30" ht="24" customHeight="1" x14ac:dyDescent="0.4">
      <c r="A72" s="44" t="s">
        <v>136</v>
      </c>
      <c r="B72" s="246" t="s">
        <v>64</v>
      </c>
      <c r="C72" s="253" t="s">
        <v>34</v>
      </c>
      <c r="D72" s="49" t="s">
        <v>71</v>
      </c>
      <c r="E72" s="28"/>
      <c r="F72" s="29">
        <v>690104</v>
      </c>
      <c r="G72" s="77">
        <v>0</v>
      </c>
      <c r="H72" s="31">
        <v>405</v>
      </c>
      <c r="I72" s="63">
        <v>780</v>
      </c>
      <c r="J72" s="64">
        <v>780</v>
      </c>
      <c r="K72" s="65">
        <f t="shared" si="5"/>
        <v>0</v>
      </c>
      <c r="L72" s="47">
        <f t="shared" si="5"/>
        <v>32.4</v>
      </c>
      <c r="M72" s="31">
        <v>2451</v>
      </c>
      <c r="N72" s="31">
        <v>2451</v>
      </c>
      <c r="O72" s="31">
        <v>2451</v>
      </c>
      <c r="P72" s="31">
        <v>356</v>
      </c>
      <c r="Q72" s="35"/>
      <c r="R72" s="48"/>
      <c r="S72" s="36"/>
      <c r="T72" s="36"/>
      <c r="U72" s="37"/>
      <c r="V72" s="38"/>
      <c r="W72" s="39"/>
      <c r="X72" s="39"/>
      <c r="Y72" s="40"/>
      <c r="Z72" s="40"/>
      <c r="AA72" s="41"/>
      <c r="AB72" s="42"/>
      <c r="AC72" s="43"/>
      <c r="AD72" s="43"/>
    </row>
    <row r="73" spans="1:30" ht="24" customHeight="1" x14ac:dyDescent="0.4">
      <c r="A73" s="44" t="s">
        <v>137</v>
      </c>
      <c r="B73" s="246" t="s">
        <v>76</v>
      </c>
      <c r="C73" s="253" t="s">
        <v>34</v>
      </c>
      <c r="D73" s="49" t="s">
        <v>94</v>
      </c>
      <c r="E73" s="28">
        <v>69010417</v>
      </c>
      <c r="F73" s="29">
        <v>690107</v>
      </c>
      <c r="G73" s="78">
        <v>685</v>
      </c>
      <c r="H73" s="31">
        <v>533</v>
      </c>
      <c r="I73" s="63">
        <v>780</v>
      </c>
      <c r="J73" s="64">
        <v>780</v>
      </c>
      <c r="K73" s="65">
        <f t="shared" si="5"/>
        <v>54.8</v>
      </c>
      <c r="L73" s="47">
        <f t="shared" si="5"/>
        <v>42.64</v>
      </c>
      <c r="M73" s="31">
        <v>1691</v>
      </c>
      <c r="N73" s="31">
        <v>245</v>
      </c>
      <c r="O73" s="31">
        <v>245</v>
      </c>
      <c r="P73" s="31">
        <v>778</v>
      </c>
      <c r="Q73" s="35"/>
      <c r="R73" s="48">
        <v>2020</v>
      </c>
      <c r="S73" s="36"/>
      <c r="T73" s="36">
        <v>145.69999999999999</v>
      </c>
      <c r="U73" s="37"/>
      <c r="V73" s="38">
        <v>20</v>
      </c>
      <c r="W73" s="39"/>
      <c r="X73" s="39">
        <f>T73*1000/39.37/R73*38.5</f>
        <v>70.534809386450462</v>
      </c>
      <c r="Y73" s="40"/>
      <c r="Z73" s="40">
        <f>(AD73+X73)/2</f>
        <v>71.472404693225229</v>
      </c>
      <c r="AA73" s="41"/>
      <c r="AB73" s="42"/>
      <c r="AC73" s="43"/>
      <c r="AD73" s="43">
        <v>72.41</v>
      </c>
    </row>
    <row r="74" spans="1:30" ht="24" customHeight="1" thickBot="1" x14ac:dyDescent="0.45">
      <c r="A74" s="44" t="s">
        <v>138</v>
      </c>
      <c r="B74" s="246" t="s">
        <v>76</v>
      </c>
      <c r="C74" s="253" t="s">
        <v>34</v>
      </c>
      <c r="D74" s="49" t="s">
        <v>94</v>
      </c>
      <c r="E74" s="28">
        <v>69010418</v>
      </c>
      <c r="F74" s="29">
        <v>690107</v>
      </c>
      <c r="G74" s="79">
        <v>342</v>
      </c>
      <c r="H74" s="31">
        <v>534</v>
      </c>
      <c r="I74" s="63">
        <v>780</v>
      </c>
      <c r="J74" s="64">
        <v>780</v>
      </c>
      <c r="K74" s="65">
        <f t="shared" si="5"/>
        <v>27.36</v>
      </c>
      <c r="L74" s="68">
        <f t="shared" si="5"/>
        <v>42.72</v>
      </c>
      <c r="M74" s="31">
        <v>1852</v>
      </c>
      <c r="N74" s="31">
        <v>212</v>
      </c>
      <c r="O74" s="31">
        <v>212</v>
      </c>
      <c r="P74" s="241">
        <v>746</v>
      </c>
      <c r="Q74" s="35"/>
      <c r="R74" s="48">
        <v>2131</v>
      </c>
      <c r="S74" s="36"/>
      <c r="T74" s="36">
        <v>151.30000000000001</v>
      </c>
      <c r="U74" s="37"/>
      <c r="V74" s="38">
        <v>20</v>
      </c>
      <c r="W74" s="39"/>
      <c r="X74" s="39">
        <f>T74*1000/39.37/R74*38.5</f>
        <v>69.430579968621217</v>
      </c>
      <c r="Y74" s="40"/>
      <c r="Z74" s="40">
        <f t="shared" ref="Z74:Z75" si="7">(AD74+X74)/2</f>
        <v>70.475289984310606</v>
      </c>
      <c r="AA74" s="41"/>
      <c r="AB74" s="42"/>
      <c r="AC74" s="43"/>
      <c r="AD74" s="43">
        <v>71.52</v>
      </c>
    </row>
    <row r="75" spans="1:30" ht="22.5" customHeight="1" x14ac:dyDescent="0.4">
      <c r="A75" s="44" t="s">
        <v>139</v>
      </c>
      <c r="B75" s="246" t="s">
        <v>85</v>
      </c>
      <c r="C75" s="253" t="s">
        <v>234</v>
      </c>
      <c r="D75" s="49" t="s">
        <v>140</v>
      </c>
      <c r="E75" s="28">
        <v>69010428</v>
      </c>
      <c r="F75" s="29">
        <v>690109</v>
      </c>
      <c r="G75" s="80">
        <v>820</v>
      </c>
      <c r="H75" s="31">
        <v>927</v>
      </c>
      <c r="I75" s="46">
        <v>800</v>
      </c>
      <c r="J75" s="32">
        <v>800</v>
      </c>
      <c r="K75" s="33">
        <f t="shared" si="5"/>
        <v>65.599999999999994</v>
      </c>
      <c r="L75" s="47">
        <f t="shared" si="5"/>
        <v>74.16</v>
      </c>
      <c r="M75" s="31">
        <v>1955</v>
      </c>
      <c r="N75" s="31">
        <v>775</v>
      </c>
      <c r="O75" s="31">
        <v>775</v>
      </c>
      <c r="P75" s="242">
        <v>1702</v>
      </c>
      <c r="Q75" s="35"/>
      <c r="R75" s="48">
        <v>2000</v>
      </c>
      <c r="S75" s="36"/>
      <c r="T75" s="36">
        <v>149.4</v>
      </c>
      <c r="U75" s="37"/>
      <c r="V75" s="38"/>
      <c r="W75" s="39"/>
      <c r="X75" s="39">
        <f>T75*1000/39.37/R75*38.5</f>
        <v>73.049276098552212</v>
      </c>
      <c r="Y75" s="40"/>
      <c r="Z75" s="40">
        <f t="shared" si="7"/>
        <v>73.699638049276103</v>
      </c>
      <c r="AA75" s="41"/>
      <c r="AB75" s="42"/>
      <c r="AC75" s="43"/>
      <c r="AD75" s="43">
        <v>74.349999999999994</v>
      </c>
    </row>
    <row r="76" spans="1:30" ht="24" customHeight="1" x14ac:dyDescent="0.4">
      <c r="A76" s="44" t="s">
        <v>141</v>
      </c>
      <c r="B76" s="246" t="s">
        <v>85</v>
      </c>
      <c r="C76" s="253" t="s">
        <v>234</v>
      </c>
      <c r="D76" s="49" t="s">
        <v>140</v>
      </c>
      <c r="E76" s="28">
        <v>69010402</v>
      </c>
      <c r="F76" s="29">
        <v>690109</v>
      </c>
      <c r="G76" s="45">
        <v>976</v>
      </c>
      <c r="H76" s="31">
        <v>908</v>
      </c>
      <c r="I76" s="46">
        <v>800</v>
      </c>
      <c r="J76" s="32">
        <v>800</v>
      </c>
      <c r="K76" s="33">
        <f t="shared" si="5"/>
        <v>78.08</v>
      </c>
      <c r="L76" s="47">
        <f t="shared" si="5"/>
        <v>72.64</v>
      </c>
      <c r="M76" s="31">
        <v>84</v>
      </c>
      <c r="N76" s="31">
        <v>1060</v>
      </c>
      <c r="O76" s="31">
        <v>1060</v>
      </c>
      <c r="P76" s="31">
        <v>1968</v>
      </c>
      <c r="Q76" s="35">
        <v>2000</v>
      </c>
      <c r="R76" s="48"/>
      <c r="S76" s="36">
        <v>150.6</v>
      </c>
      <c r="T76" s="36"/>
      <c r="U76" s="37"/>
      <c r="V76" s="38"/>
      <c r="W76" s="39">
        <f>S76*1000/39.37/Q76*38.5</f>
        <v>73.63601727203455</v>
      </c>
      <c r="X76" s="39"/>
      <c r="Y76" s="40">
        <f t="shared" ref="Y76:Z79" si="8">(AC76+W76)/2</f>
        <v>74.198008636017278</v>
      </c>
      <c r="Z76" s="40"/>
      <c r="AA76" s="41"/>
      <c r="AB76" s="42"/>
      <c r="AC76" s="43">
        <v>74.760000000000005</v>
      </c>
      <c r="AD76" s="43"/>
    </row>
    <row r="77" spans="1:30" ht="24" customHeight="1" x14ac:dyDescent="0.4">
      <c r="A77" s="44" t="s">
        <v>142</v>
      </c>
      <c r="B77" s="246" t="s">
        <v>85</v>
      </c>
      <c r="C77" s="253" t="s">
        <v>234</v>
      </c>
      <c r="D77" s="49" t="s">
        <v>140</v>
      </c>
      <c r="E77" s="28">
        <v>69010403</v>
      </c>
      <c r="F77" s="29">
        <v>690109</v>
      </c>
      <c r="G77" s="45">
        <v>1027</v>
      </c>
      <c r="H77" s="31">
        <v>874</v>
      </c>
      <c r="I77" s="46">
        <v>800</v>
      </c>
      <c r="J77" s="32">
        <v>800</v>
      </c>
      <c r="K77" s="33">
        <f t="shared" si="5"/>
        <v>82.16</v>
      </c>
      <c r="L77" s="47">
        <f t="shared" si="5"/>
        <v>69.92</v>
      </c>
      <c r="M77" s="31">
        <v>89</v>
      </c>
      <c r="N77" s="31">
        <v>1116</v>
      </c>
      <c r="O77" s="31">
        <v>1116</v>
      </c>
      <c r="P77" s="31">
        <v>1990</v>
      </c>
      <c r="Q77" s="35">
        <v>2000</v>
      </c>
      <c r="R77" s="48"/>
      <c r="S77" s="36">
        <v>147.9</v>
      </c>
      <c r="T77" s="36"/>
      <c r="U77" s="37"/>
      <c r="V77" s="38"/>
      <c r="W77" s="39">
        <f>S77*1000/39.37/Q77*38.5</f>
        <v>72.315849631699265</v>
      </c>
      <c r="X77" s="39"/>
      <c r="Y77" s="40">
        <f t="shared" si="8"/>
        <v>72.842924815849642</v>
      </c>
      <c r="Z77" s="40"/>
      <c r="AA77" s="41"/>
      <c r="AB77" s="42"/>
      <c r="AC77" s="43">
        <v>73.37</v>
      </c>
      <c r="AD77" s="43"/>
    </row>
    <row r="78" spans="1:30" ht="24" customHeight="1" x14ac:dyDescent="0.4">
      <c r="A78" s="44" t="s">
        <v>143</v>
      </c>
      <c r="B78" s="246" t="s">
        <v>85</v>
      </c>
      <c r="C78" s="253" t="s">
        <v>234</v>
      </c>
      <c r="D78" s="49" t="s">
        <v>57</v>
      </c>
      <c r="E78" s="28">
        <v>69010425</v>
      </c>
      <c r="F78" s="29">
        <v>690106</v>
      </c>
      <c r="G78" s="45">
        <v>870</v>
      </c>
      <c r="H78" s="31">
        <v>841</v>
      </c>
      <c r="I78" s="46">
        <v>800</v>
      </c>
      <c r="J78" s="32">
        <v>800</v>
      </c>
      <c r="K78" s="33">
        <f t="shared" si="5"/>
        <v>69.599999999999994</v>
      </c>
      <c r="L78" s="47">
        <f t="shared" si="5"/>
        <v>67.28</v>
      </c>
      <c r="M78" s="31">
        <v>2017</v>
      </c>
      <c r="N78" s="31">
        <v>387</v>
      </c>
      <c r="O78" s="31">
        <v>387</v>
      </c>
      <c r="P78" s="31">
        <v>1228</v>
      </c>
      <c r="Q78" s="35"/>
      <c r="R78" s="48">
        <v>2500</v>
      </c>
      <c r="S78" s="36"/>
      <c r="T78" s="36">
        <v>201.2</v>
      </c>
      <c r="U78" s="37"/>
      <c r="V78" s="38">
        <v>25</v>
      </c>
      <c r="W78" s="39"/>
      <c r="X78" s="39">
        <f>T78*1000/39.37/R78*31.5</f>
        <v>64.39217678435358</v>
      </c>
      <c r="Y78" s="40"/>
      <c r="Z78" s="40">
        <f t="shared" si="8"/>
        <v>65.421088392176785</v>
      </c>
      <c r="AA78" s="41"/>
      <c r="AB78" s="42"/>
      <c r="AC78" s="43"/>
      <c r="AD78" s="43">
        <v>66.45</v>
      </c>
    </row>
    <row r="79" spans="1:30" ht="24" customHeight="1" x14ac:dyDescent="0.4">
      <c r="A79" s="44" t="s">
        <v>144</v>
      </c>
      <c r="B79" s="246" t="s">
        <v>116</v>
      </c>
      <c r="C79" s="253" t="s">
        <v>63</v>
      </c>
      <c r="D79" s="49" t="s">
        <v>140</v>
      </c>
      <c r="E79" s="28">
        <v>69010431</v>
      </c>
      <c r="F79" s="29">
        <v>690109</v>
      </c>
      <c r="G79" s="45">
        <v>910</v>
      </c>
      <c r="H79" s="31">
        <v>576</v>
      </c>
      <c r="I79" s="46">
        <v>800</v>
      </c>
      <c r="J79" s="32">
        <v>800</v>
      </c>
      <c r="K79" s="33">
        <f t="shared" si="5"/>
        <v>72.8</v>
      </c>
      <c r="L79" s="47">
        <f t="shared" si="5"/>
        <v>46.08</v>
      </c>
      <c r="M79" s="31">
        <v>1379</v>
      </c>
      <c r="N79" s="31">
        <v>289</v>
      </c>
      <c r="O79" s="31">
        <v>289</v>
      </c>
      <c r="P79" s="31">
        <v>865</v>
      </c>
      <c r="Q79" s="35"/>
      <c r="R79" s="48">
        <v>2000</v>
      </c>
      <c r="S79" s="36"/>
      <c r="T79" s="36">
        <v>158</v>
      </c>
      <c r="U79" s="37"/>
      <c r="V79" s="38"/>
      <c r="W79" s="39"/>
      <c r="X79" s="39">
        <f>T79*1000/39.37/R79*38.5</f>
        <v>77.254254508509021</v>
      </c>
      <c r="Y79" s="40"/>
      <c r="Z79" s="40">
        <f t="shared" si="8"/>
        <v>76.087127254254511</v>
      </c>
      <c r="AA79" s="41"/>
      <c r="AB79" s="42"/>
      <c r="AC79" s="43"/>
      <c r="AD79" s="43">
        <v>74.92</v>
      </c>
    </row>
    <row r="80" spans="1:30" ht="24" customHeight="1" x14ac:dyDescent="0.4">
      <c r="A80" s="44" t="s">
        <v>145</v>
      </c>
      <c r="B80" s="246" t="s">
        <v>116</v>
      </c>
      <c r="C80" s="253" t="s">
        <v>63</v>
      </c>
      <c r="D80" s="49" t="s">
        <v>140</v>
      </c>
      <c r="E80" s="28">
        <v>69010401</v>
      </c>
      <c r="F80" s="29">
        <v>690109</v>
      </c>
      <c r="G80" s="45">
        <v>955</v>
      </c>
      <c r="H80" s="31">
        <v>549</v>
      </c>
      <c r="I80" s="46">
        <v>800</v>
      </c>
      <c r="J80" s="32">
        <v>800</v>
      </c>
      <c r="K80" s="33">
        <f t="shared" si="5"/>
        <v>76.400000000000006</v>
      </c>
      <c r="L80" s="47">
        <f t="shared" si="5"/>
        <v>43.92</v>
      </c>
      <c r="M80" s="31">
        <v>490</v>
      </c>
      <c r="N80" s="31">
        <v>1445</v>
      </c>
      <c r="O80" s="31">
        <v>1445</v>
      </c>
      <c r="P80" s="31">
        <v>1994</v>
      </c>
      <c r="Q80" s="35">
        <v>1620</v>
      </c>
      <c r="R80" s="48"/>
      <c r="S80" s="36">
        <v>117.9</v>
      </c>
      <c r="T80" s="36"/>
      <c r="U80" s="37"/>
      <c r="V80" s="38"/>
      <c r="W80" s="39">
        <f>S80*1000/39.37/Q80*38.5</f>
        <v>71.169531227951353</v>
      </c>
      <c r="X80" s="39"/>
      <c r="Y80" s="40">
        <f>(AC80+W80)/2</f>
        <v>71.879765613975678</v>
      </c>
      <c r="Z80" s="40"/>
      <c r="AA80" s="41"/>
      <c r="AB80" s="42"/>
      <c r="AC80" s="43">
        <v>72.59</v>
      </c>
      <c r="AD80" s="43"/>
    </row>
    <row r="81" spans="1:34" ht="23.25" customHeight="1" x14ac:dyDescent="0.4">
      <c r="A81" s="44" t="s">
        <v>147</v>
      </c>
      <c r="B81" s="246" t="s">
        <v>116</v>
      </c>
      <c r="C81" s="253" t="s">
        <v>63</v>
      </c>
      <c r="D81" s="49" t="s">
        <v>47</v>
      </c>
      <c r="E81" s="28"/>
      <c r="F81" s="29">
        <v>690119</v>
      </c>
      <c r="G81" s="45">
        <v>730</v>
      </c>
      <c r="H81" s="31">
        <v>432</v>
      </c>
      <c r="I81" s="46">
        <v>800</v>
      </c>
      <c r="J81" s="32">
        <v>800</v>
      </c>
      <c r="K81" s="33">
        <f t="shared" si="5"/>
        <v>58.4</v>
      </c>
      <c r="L81" s="47">
        <f t="shared" si="5"/>
        <v>34.56</v>
      </c>
      <c r="M81" s="31">
        <v>1538</v>
      </c>
      <c r="N81" s="31">
        <v>2268</v>
      </c>
      <c r="O81" s="31">
        <v>2268</v>
      </c>
      <c r="P81" s="31">
        <v>200</v>
      </c>
      <c r="Q81" s="35"/>
      <c r="R81" s="48"/>
      <c r="S81" s="36"/>
      <c r="T81" s="36"/>
      <c r="U81" s="37"/>
      <c r="V81" s="38"/>
      <c r="W81" s="39"/>
      <c r="X81" s="39"/>
      <c r="Y81" s="40"/>
      <c r="Z81" s="40"/>
      <c r="AA81" s="41"/>
      <c r="AB81" s="42"/>
      <c r="AC81" s="43"/>
      <c r="AD81" s="43"/>
    </row>
    <row r="82" spans="1:34" ht="24" customHeight="1" x14ac:dyDescent="0.4">
      <c r="A82" s="44" t="s">
        <v>148</v>
      </c>
      <c r="B82" s="246" t="s">
        <v>116</v>
      </c>
      <c r="C82" s="253" t="s">
        <v>63</v>
      </c>
      <c r="D82" s="49" t="s">
        <v>47</v>
      </c>
      <c r="E82" s="28">
        <v>69010427</v>
      </c>
      <c r="F82" s="29">
        <v>690119</v>
      </c>
      <c r="G82" s="45">
        <v>737</v>
      </c>
      <c r="H82" s="31">
        <v>445</v>
      </c>
      <c r="I82" s="46">
        <v>800</v>
      </c>
      <c r="J82" s="32">
        <v>800</v>
      </c>
      <c r="K82" s="33">
        <f t="shared" si="5"/>
        <v>58.96</v>
      </c>
      <c r="L82" s="47">
        <f t="shared" si="5"/>
        <v>35.6</v>
      </c>
      <c r="M82" s="31">
        <v>1741</v>
      </c>
      <c r="N82" s="31">
        <v>258</v>
      </c>
      <c r="O82" s="31">
        <v>258</v>
      </c>
      <c r="P82" s="31">
        <v>703</v>
      </c>
      <c r="Q82" s="35"/>
      <c r="R82" s="48">
        <v>2220</v>
      </c>
      <c r="S82" s="36"/>
      <c r="T82" s="36">
        <v>186.4</v>
      </c>
      <c r="U82" s="37"/>
      <c r="V82" s="38">
        <v>20</v>
      </c>
      <c r="W82" s="39"/>
      <c r="X82" s="39">
        <f>T82*1000/39.37/R82*38.5</f>
        <v>82.108524577409526</v>
      </c>
      <c r="Y82" s="40"/>
      <c r="Z82" s="40">
        <f>(AD82+X82)/2</f>
        <v>83.099262288704765</v>
      </c>
      <c r="AA82" s="41"/>
      <c r="AB82" s="42"/>
      <c r="AC82" s="43"/>
      <c r="AD82" s="43">
        <v>84.09</v>
      </c>
    </row>
    <row r="83" spans="1:34" ht="24" customHeight="1" x14ac:dyDescent="0.4">
      <c r="A83" s="71" t="s">
        <v>214</v>
      </c>
      <c r="B83" s="26"/>
      <c r="C83" s="254"/>
      <c r="D83" s="49" t="s">
        <v>104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9">G83*8/100</f>
        <v>0</v>
      </c>
      <c r="L83" s="47">
        <f t="shared" si="9"/>
        <v>0</v>
      </c>
      <c r="M83" s="31">
        <v>230</v>
      </c>
      <c r="N83" s="31"/>
      <c r="O83" s="31"/>
      <c r="P83" s="31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71" t="s">
        <v>215</v>
      </c>
      <c r="B84" s="26"/>
      <c r="C84" s="26"/>
      <c r="D84" s="49" t="s">
        <v>104</v>
      </c>
      <c r="E84" s="28"/>
      <c r="F84" s="29">
        <v>690128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1">
        <v>34</v>
      </c>
      <c r="N84" s="31"/>
      <c r="O84" s="31"/>
      <c r="P84" s="31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6"/>
      <c r="D85" s="49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10">G85*8/100</f>
        <v>0</v>
      </c>
      <c r="L85" s="47">
        <f t="shared" si="10"/>
        <v>0</v>
      </c>
      <c r="M85" s="81">
        <v>62</v>
      </c>
      <c r="N85" s="81"/>
      <c r="O85" s="81"/>
      <c r="P85" s="8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6"/>
      <c r="D86" s="49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10"/>
        <v>0</v>
      </c>
      <c r="L86" s="47">
        <f t="shared" si="10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34492</v>
      </c>
      <c r="H87" s="86">
        <f>SUM(H6:H82)</f>
        <v>31673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25725</v>
      </c>
      <c r="R87" s="89">
        <f>SUM(R6:R86)</f>
        <v>35231</v>
      </c>
      <c r="S87" s="90">
        <f>SUM(S6:S86)</f>
        <v>2191.8999999999996</v>
      </c>
      <c r="T87" s="91">
        <f>SUM(T6:T86)</f>
        <v>2622.7000000000003</v>
      </c>
      <c r="U87" s="89">
        <f>SUM(U6:U86)</f>
        <v>130</v>
      </c>
      <c r="V87" s="89">
        <f>SUM(V6:V84)</f>
        <v>260</v>
      </c>
      <c r="W87" s="92">
        <f>SUM(W6:W86)</f>
        <v>1311.4146580644758</v>
      </c>
      <c r="X87" s="93">
        <f>SUM(X6:X86)</f>
        <v>1067.8351726705355</v>
      </c>
      <c r="Y87" s="94">
        <f>SUM(Y6:Y86)</f>
        <v>1321.9873290322378</v>
      </c>
      <c r="Z87" s="95">
        <f>SUM(Z6:Z86)</f>
        <v>1079.6475863352678</v>
      </c>
      <c r="AA87" s="96">
        <f>SUM(AA6:AA82)</f>
        <v>0</v>
      </c>
      <c r="AB87" s="97">
        <f>SUM(AB6:AB82)</f>
        <v>0</v>
      </c>
      <c r="AC87" s="98">
        <f>SUM(AC6:AC86)</f>
        <v>1332.5599999999997</v>
      </c>
      <c r="AD87" s="98">
        <f>SUM(AD6:AD86)</f>
        <v>1091.4599999999998</v>
      </c>
    </row>
    <row r="88" spans="1:34" ht="24" customHeight="1" thickBot="1" x14ac:dyDescent="0.45">
      <c r="A88" s="334"/>
      <c r="B88" s="83">
        <v>53</v>
      </c>
      <c r="C88" s="83">
        <v>54</v>
      </c>
      <c r="D88" s="84"/>
      <c r="E88" s="84"/>
      <c r="F88" s="84"/>
      <c r="G88" s="341">
        <f>G87+H87</f>
        <v>66165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</f>
        <v>60956</v>
      </c>
      <c r="R88" s="342"/>
      <c r="S88" s="375">
        <f>S87+T87+S133</f>
        <v>4814.6000000000004</v>
      </c>
      <c r="T88" s="376"/>
      <c r="U88" s="341">
        <f>U87+V87+U133</f>
        <v>390</v>
      </c>
      <c r="V88" s="342"/>
      <c r="W88" s="375">
        <f>W87+X87+W133</f>
        <v>2379.2498307350115</v>
      </c>
      <c r="X88" s="376"/>
      <c r="Y88" s="375">
        <f>Y87+Z87+Y133</f>
        <v>2401.6349153675055</v>
      </c>
      <c r="Z88" s="376"/>
      <c r="AA88" s="375">
        <f>AA87+AB87+AA133</f>
        <v>0</v>
      </c>
      <c r="AB88" s="376"/>
      <c r="AC88" s="375">
        <f>AC87+AD87+AC133</f>
        <v>2424.0199999999995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217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60956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390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34492</v>
      </c>
      <c r="O91" s="108" t="s">
        <v>158</v>
      </c>
      <c r="P91" s="108"/>
      <c r="Q91" s="108" t="s">
        <v>159</v>
      </c>
      <c r="R91" s="109"/>
      <c r="S91" s="120">
        <f>H87</f>
        <v>31673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130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1.19258</v>
      </c>
      <c r="F92" s="124"/>
      <c r="G92" s="108" t="s">
        <v>162</v>
      </c>
      <c r="H92" s="125"/>
      <c r="I92" s="125">
        <v>13280</v>
      </c>
      <c r="J92" s="117" t="s">
        <v>154</v>
      </c>
      <c r="K92" s="108"/>
      <c r="L92" s="108" t="s">
        <v>163</v>
      </c>
      <c r="M92" s="108"/>
      <c r="N92" s="126">
        <f>G87/B88</f>
        <v>650.79245283018872</v>
      </c>
      <c r="O92" s="108" t="s">
        <v>158</v>
      </c>
      <c r="P92" s="108"/>
      <c r="Q92" s="108" t="s">
        <v>164</v>
      </c>
      <c r="S92" s="126">
        <f>H87/C88</f>
        <v>586.53703703703707</v>
      </c>
      <c r="T92" s="108"/>
      <c r="U92" s="108" t="s">
        <v>158</v>
      </c>
      <c r="W92" s="110"/>
      <c r="X92" s="108"/>
      <c r="Y92" s="127" t="s">
        <v>165</v>
      </c>
      <c r="AA92" s="122">
        <f>V87</f>
        <v>260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220</v>
      </c>
      <c r="F93" s="129"/>
      <c r="G93" s="108" t="s">
        <v>162</v>
      </c>
      <c r="H93" s="125"/>
      <c r="I93" s="125">
        <v>5904</v>
      </c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>
        <v>7160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221</v>
      </c>
      <c r="F95" s="116"/>
      <c r="G95" s="108" t="s">
        <v>162</v>
      </c>
      <c r="H95" s="125"/>
      <c r="I95" s="125">
        <v>6711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>
        <v>8000</v>
      </c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174</v>
      </c>
      <c r="F97" s="129"/>
      <c r="G97" s="108" t="s">
        <v>162</v>
      </c>
      <c r="H97" s="125"/>
      <c r="I97" s="125">
        <v>9620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53</v>
      </c>
      <c r="P97" s="108" t="s">
        <v>25</v>
      </c>
      <c r="Q97" s="108"/>
      <c r="R97" s="108"/>
      <c r="S97" s="130" t="s">
        <v>177</v>
      </c>
      <c r="T97" s="138">
        <f>C88</f>
        <v>54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3720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0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13</v>
      </c>
      <c r="Y98" s="127" t="s">
        <v>180</v>
      </c>
      <c r="Z98" s="103" t="s">
        <v>183</v>
      </c>
      <c r="AA98" s="141">
        <v>2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>
        <v>1561</v>
      </c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222</v>
      </c>
      <c r="F100" s="148"/>
      <c r="G100" s="108" t="s">
        <v>162</v>
      </c>
      <c r="H100" s="125"/>
      <c r="I100" s="125">
        <v>5000</v>
      </c>
      <c r="J100" s="117" t="s">
        <v>154</v>
      </c>
      <c r="K100" s="8"/>
      <c r="L100" s="149" t="s">
        <v>188</v>
      </c>
      <c r="M100" s="150"/>
      <c r="N100" s="151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199</v>
      </c>
      <c r="AB100" s="149" t="s">
        <v>225</v>
      </c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190</v>
      </c>
      <c r="F101" s="155"/>
      <c r="G101" s="108" t="s">
        <v>162</v>
      </c>
      <c r="H101" s="125"/>
      <c r="I101" s="125"/>
      <c r="J101" s="117" t="s">
        <v>154</v>
      </c>
      <c r="K101" s="108"/>
      <c r="L101" s="149"/>
      <c r="M101" s="150"/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199</v>
      </c>
      <c r="AB101" s="149" t="s">
        <v>226</v>
      </c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156" t="s">
        <v>191</v>
      </c>
      <c r="F102" s="157"/>
      <c r="G102" s="108" t="s">
        <v>162</v>
      </c>
      <c r="H102" s="125"/>
      <c r="I102" s="125"/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/>
      <c r="J103" s="117" t="s">
        <v>154</v>
      </c>
      <c r="K103" s="8"/>
      <c r="L103" s="149" t="s">
        <v>193</v>
      </c>
      <c r="M103" s="150" t="s">
        <v>223</v>
      </c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 t="s">
        <v>224</v>
      </c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198</v>
      </c>
      <c r="F105" s="155"/>
      <c r="G105" s="108" t="s">
        <v>162</v>
      </c>
      <c r="H105" s="125"/>
      <c r="I105" s="125"/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/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202</v>
      </c>
      <c r="F107" s="155"/>
      <c r="G107" s="108" t="s">
        <v>162</v>
      </c>
      <c r="H107" s="125"/>
      <c r="I107" s="125"/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219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/>
      <c r="AB108" s="149"/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/>
      <c r="AB109" s="149"/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86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53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11">SUM(Q122:Q131)</f>
        <v>0</v>
      </c>
      <c r="R132" s="237">
        <f t="shared" si="11"/>
        <v>0</v>
      </c>
      <c r="S132" s="238">
        <f t="shared" si="11"/>
        <v>0</v>
      </c>
      <c r="T132" s="238">
        <f t="shared" si="11"/>
        <v>0</v>
      </c>
      <c r="U132" s="237">
        <f t="shared" si="11"/>
        <v>0</v>
      </c>
      <c r="V132" s="237">
        <f t="shared" si="11"/>
        <v>0</v>
      </c>
      <c r="W132" s="238">
        <f t="shared" si="11"/>
        <v>0</v>
      </c>
      <c r="X132" s="238">
        <f t="shared" si="11"/>
        <v>0</v>
      </c>
      <c r="Y132" s="95">
        <f t="shared" si="11"/>
        <v>0</v>
      </c>
      <c r="Z132" s="95">
        <f t="shared" si="11"/>
        <v>0</v>
      </c>
      <c r="AA132" s="238">
        <f t="shared" si="11"/>
        <v>0</v>
      </c>
      <c r="AB132" s="238">
        <f t="shared" si="11"/>
        <v>0</v>
      </c>
      <c r="AC132" s="98"/>
      <c r="AD132" s="98">
        <f t="shared" si="11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</sheetData>
  <autoFilter ref="A5:AD112" xr:uid="{3D257094-AFCF-44D4-9CB6-CF8FC9C29795}"/>
  <mergeCells count="73">
    <mergeCell ref="W133:X133"/>
    <mergeCell ref="Y133:Z133"/>
    <mergeCell ref="AA133:AB133"/>
    <mergeCell ref="AC133:AD133"/>
    <mergeCell ref="A132:A133"/>
    <mergeCell ref="M132:P133"/>
    <mergeCell ref="K133:L133"/>
    <mergeCell ref="Q133:R133"/>
    <mergeCell ref="S133:T133"/>
    <mergeCell ref="U133:V133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U119:V119"/>
    <mergeCell ref="W119:X119"/>
    <mergeCell ref="Y119:Z120"/>
    <mergeCell ref="M119:N119"/>
    <mergeCell ref="A119:A120"/>
    <mergeCell ref="B119:C120"/>
    <mergeCell ref="G119:H120"/>
    <mergeCell ref="I119:J120"/>
    <mergeCell ref="K119:L120"/>
    <mergeCell ref="F114:G114"/>
    <mergeCell ref="S88:T88"/>
    <mergeCell ref="U88:V88"/>
    <mergeCell ref="W88:X88"/>
    <mergeCell ref="Y88:Z88"/>
    <mergeCell ref="E90:J90"/>
    <mergeCell ref="M112:Q112"/>
    <mergeCell ref="X112:AD112"/>
    <mergeCell ref="M113:Q113"/>
    <mergeCell ref="X113:AD113"/>
    <mergeCell ref="AA88:AB88"/>
    <mergeCell ref="AC88:AD88"/>
    <mergeCell ref="Q88:R88"/>
    <mergeCell ref="A87:A88"/>
    <mergeCell ref="M87:P88"/>
    <mergeCell ref="G88:H88"/>
    <mergeCell ref="I88:J88"/>
    <mergeCell ref="K88:L88"/>
    <mergeCell ref="U3:V3"/>
    <mergeCell ref="W3:X3"/>
    <mergeCell ref="Y3:Z4"/>
    <mergeCell ref="E4:E5"/>
    <mergeCell ref="M4:N4"/>
    <mergeCell ref="O4:P4"/>
    <mergeCell ref="Q4:R4"/>
    <mergeCell ref="S4:T4"/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U4:V4"/>
    <mergeCell ref="S3:T3"/>
  </mergeCells>
  <dataValidations count="1">
    <dataValidation type="list" allowBlank="1" showInputMessage="1" showErrorMessage="1" sqref="B10:C10 B54:C54" xr:uid="{58D2B99D-6955-4C2F-951E-F5ADC8DE06DA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F232-0156-4C07-BDE3-9D94BADF5856}">
  <sheetPr>
    <tabColor rgb="FF00B050"/>
  </sheetPr>
  <dimension ref="A1:AL133"/>
  <sheetViews>
    <sheetView zoomScale="78" zoomScaleNormal="78" zoomScaleSheetLayoutView="70" workbookViewId="0">
      <pane xSplit="4" ySplit="5" topLeftCell="E64" activePane="bottomRight" state="frozen"/>
      <selection activeCell="M107" sqref="M107"/>
      <selection pane="topRight" activeCell="M107" sqref="M107"/>
      <selection pane="bottomLeft" activeCell="M107" sqref="M107"/>
      <selection pane="bottomRight" activeCell="A83" sqref="A83:D86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7.1406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6" width="8.85546875" style="1" customWidth="1"/>
    <col min="27" max="27" width="9.7109375" style="1" customWidth="1"/>
    <col min="28" max="28" width="8.8554687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216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11" t="s">
        <v>26</v>
      </c>
      <c r="C5" s="12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4">
      <c r="A6" s="25" t="s">
        <v>33</v>
      </c>
      <c r="B6" s="246" t="s">
        <v>35</v>
      </c>
      <c r="C6" s="253"/>
      <c r="D6" s="49" t="s">
        <v>36</v>
      </c>
      <c r="E6" s="28"/>
      <c r="F6" s="29">
        <v>690126</v>
      </c>
      <c r="G6" s="30">
        <v>0</v>
      </c>
      <c r="H6" s="31">
        <v>0</v>
      </c>
      <c r="I6" s="32">
        <v>750</v>
      </c>
      <c r="J6" s="32">
        <v>750</v>
      </c>
      <c r="K6" s="33">
        <f>G6*8/100</f>
        <v>0</v>
      </c>
      <c r="L6" s="34">
        <f>H6*8/100</f>
        <v>0</v>
      </c>
      <c r="M6" s="31">
        <v>110</v>
      </c>
      <c r="N6" s="31">
        <v>110</v>
      </c>
      <c r="O6" s="31">
        <v>110</v>
      </c>
      <c r="P6" s="31">
        <v>110</v>
      </c>
      <c r="Q6" s="35"/>
      <c r="R6" s="35"/>
      <c r="S6" s="36"/>
      <c r="T6" s="36"/>
      <c r="U6" s="37"/>
      <c r="V6" s="38"/>
      <c r="W6" s="39"/>
      <c r="X6" s="39"/>
      <c r="Y6" s="40"/>
      <c r="Z6" s="40"/>
      <c r="AA6" s="41"/>
      <c r="AB6" s="42"/>
      <c r="AC6" s="43"/>
      <c r="AD6" s="43"/>
    </row>
    <row r="7" spans="1:31" ht="24" customHeight="1" x14ac:dyDescent="0.4">
      <c r="A7" s="44" t="s">
        <v>37</v>
      </c>
      <c r="B7" s="246" t="s">
        <v>35</v>
      </c>
      <c r="C7" s="253"/>
      <c r="D7" s="49" t="s">
        <v>36</v>
      </c>
      <c r="E7" s="28"/>
      <c r="F7" s="29">
        <v>690126</v>
      </c>
      <c r="G7" s="45">
        <v>0</v>
      </c>
      <c r="H7" s="31">
        <v>0</v>
      </c>
      <c r="I7" s="46">
        <v>750</v>
      </c>
      <c r="J7" s="32">
        <v>750</v>
      </c>
      <c r="K7" s="33">
        <f t="shared" ref="K7:L38" si="0">G7*8/100</f>
        <v>0</v>
      </c>
      <c r="L7" s="47">
        <f t="shared" si="0"/>
        <v>0</v>
      </c>
      <c r="M7" s="31">
        <v>309</v>
      </c>
      <c r="N7" s="31">
        <v>309</v>
      </c>
      <c r="O7" s="31">
        <v>309</v>
      </c>
      <c r="P7" s="31">
        <v>309</v>
      </c>
      <c r="Q7" s="35"/>
      <c r="R7" s="48"/>
      <c r="S7" s="36"/>
      <c r="T7" s="36"/>
      <c r="U7" s="37"/>
      <c r="V7" s="38"/>
      <c r="W7" s="39"/>
      <c r="X7" s="39"/>
      <c r="Y7" s="40"/>
      <c r="Z7" s="40"/>
      <c r="AA7" s="41"/>
      <c r="AB7" s="42"/>
      <c r="AC7" s="43"/>
      <c r="AD7" s="43"/>
    </row>
    <row r="8" spans="1:31" ht="24" customHeight="1" x14ac:dyDescent="0.4">
      <c r="A8" s="44" t="s">
        <v>38</v>
      </c>
      <c r="B8" s="246" t="s">
        <v>35</v>
      </c>
      <c r="C8" s="253" t="s">
        <v>34</v>
      </c>
      <c r="D8" s="49" t="s">
        <v>39</v>
      </c>
      <c r="E8" s="28"/>
      <c r="F8" s="29">
        <v>690111</v>
      </c>
      <c r="G8" s="45">
        <v>575</v>
      </c>
      <c r="H8" s="31">
        <v>770</v>
      </c>
      <c r="I8" s="46">
        <v>750</v>
      </c>
      <c r="J8" s="32">
        <v>750</v>
      </c>
      <c r="K8" s="33">
        <f t="shared" si="0"/>
        <v>46</v>
      </c>
      <c r="L8" s="47">
        <f t="shared" si="0"/>
        <v>61.6</v>
      </c>
      <c r="M8" s="31">
        <v>223</v>
      </c>
      <c r="N8" s="31">
        <v>798</v>
      </c>
      <c r="O8" s="31">
        <v>798</v>
      </c>
      <c r="P8" s="31">
        <v>1568</v>
      </c>
      <c r="Q8" s="35"/>
      <c r="R8" s="48"/>
      <c r="S8" s="36"/>
      <c r="T8" s="36"/>
      <c r="U8" s="37"/>
      <c r="V8" s="38"/>
      <c r="W8" s="39"/>
      <c r="X8" s="39"/>
      <c r="Y8" s="40"/>
      <c r="Z8" s="40"/>
      <c r="AA8" s="41"/>
      <c r="AB8" s="42"/>
      <c r="AC8" s="43"/>
      <c r="AD8" s="43"/>
    </row>
    <row r="9" spans="1:31" ht="24" customHeight="1" x14ac:dyDescent="0.4">
      <c r="A9" s="50" t="s">
        <v>40</v>
      </c>
      <c r="B9" s="246" t="s">
        <v>42</v>
      </c>
      <c r="C9" s="253" t="s">
        <v>41</v>
      </c>
      <c r="D9" s="49" t="s">
        <v>140</v>
      </c>
      <c r="E9" s="28">
        <v>69010313</v>
      </c>
      <c r="F9" s="29">
        <v>690109</v>
      </c>
      <c r="G9" s="45">
        <v>161</v>
      </c>
      <c r="H9" s="31">
        <v>605</v>
      </c>
      <c r="I9" s="46">
        <v>110</v>
      </c>
      <c r="J9" s="32">
        <v>110</v>
      </c>
      <c r="K9" s="33">
        <f t="shared" si="0"/>
        <v>12.88</v>
      </c>
      <c r="L9" s="47">
        <f t="shared" si="0"/>
        <v>48.4</v>
      </c>
      <c r="M9" s="31">
        <v>1305</v>
      </c>
      <c r="N9" s="31">
        <v>66</v>
      </c>
      <c r="O9" s="31">
        <v>66</v>
      </c>
      <c r="P9" s="31">
        <v>671</v>
      </c>
      <c r="Q9" s="35">
        <v>1413</v>
      </c>
      <c r="R9" s="48"/>
      <c r="S9" s="36">
        <v>101.4</v>
      </c>
      <c r="T9" s="36"/>
      <c r="U9" s="37"/>
      <c r="V9" s="38"/>
      <c r="W9" s="39">
        <f>S9*1000/39.37/Q9*38.5</f>
        <v>70.176403622446315</v>
      </c>
      <c r="X9" s="39"/>
      <c r="Y9" s="40">
        <f>(AC9+W9)/2</f>
        <v>71.953201811223153</v>
      </c>
      <c r="Z9" s="40"/>
      <c r="AA9" s="41"/>
      <c r="AB9" s="42"/>
      <c r="AC9" s="43">
        <v>73.73</v>
      </c>
      <c r="AD9" s="43"/>
    </row>
    <row r="10" spans="1:31" ht="24" customHeight="1" x14ac:dyDescent="0.4">
      <c r="A10" s="50" t="s">
        <v>44</v>
      </c>
      <c r="B10" s="246" t="s">
        <v>46</v>
      </c>
      <c r="C10" s="253" t="s">
        <v>45</v>
      </c>
      <c r="D10" s="49" t="s">
        <v>47</v>
      </c>
      <c r="E10" s="28">
        <v>69010301</v>
      </c>
      <c r="F10" s="29">
        <v>690119</v>
      </c>
      <c r="G10" s="51">
        <v>400</v>
      </c>
      <c r="H10" s="31">
        <v>600</v>
      </c>
      <c r="I10" s="46">
        <v>110</v>
      </c>
      <c r="J10" s="32">
        <v>110</v>
      </c>
      <c r="K10" s="33">
        <f t="shared" si="0"/>
        <v>32</v>
      </c>
      <c r="L10" s="47">
        <f t="shared" si="0"/>
        <v>48</v>
      </c>
      <c r="M10" s="31">
        <v>1360</v>
      </c>
      <c r="N10" s="31">
        <v>400</v>
      </c>
      <c r="O10" s="31">
        <v>400</v>
      </c>
      <c r="P10" s="31">
        <v>1000</v>
      </c>
      <c r="Q10" s="35">
        <v>1350</v>
      </c>
      <c r="R10" s="48"/>
      <c r="S10" s="36">
        <v>110.9</v>
      </c>
      <c r="T10" s="36"/>
      <c r="U10" s="37">
        <v>10</v>
      </c>
      <c r="V10" s="38"/>
      <c r="W10" s="39">
        <f>S10*1000/39.37/Q10*38.5</f>
        <v>80.332834739743561</v>
      </c>
      <c r="X10" s="39"/>
      <c r="Y10" s="40">
        <f>(AC10+W10)/2</f>
        <v>81.476417369871783</v>
      </c>
      <c r="Z10" s="52"/>
      <c r="AA10" s="41"/>
      <c r="AB10" s="42"/>
      <c r="AC10" s="43">
        <v>82.62</v>
      </c>
      <c r="AD10" s="43"/>
    </row>
    <row r="11" spans="1:31" ht="23.25" customHeight="1" x14ac:dyDescent="0.4">
      <c r="A11" s="44" t="s">
        <v>48</v>
      </c>
      <c r="B11" s="246" t="s">
        <v>49</v>
      </c>
      <c r="C11" s="253" t="s">
        <v>233</v>
      </c>
      <c r="D11" s="49" t="s">
        <v>36</v>
      </c>
      <c r="E11" s="28"/>
      <c r="F11" s="29">
        <v>690126</v>
      </c>
      <c r="G11" s="45">
        <v>0</v>
      </c>
      <c r="H11" s="31">
        <v>0</v>
      </c>
      <c r="I11" s="46">
        <v>800</v>
      </c>
      <c r="J11" s="32">
        <v>800</v>
      </c>
      <c r="K11" s="33">
        <f t="shared" si="0"/>
        <v>0</v>
      </c>
      <c r="L11" s="47">
        <f>H11*8/100</f>
        <v>0</v>
      </c>
      <c r="M11" s="53">
        <v>635</v>
      </c>
      <c r="N11" s="31">
        <v>635</v>
      </c>
      <c r="O11" s="31">
        <v>635</v>
      </c>
      <c r="P11" s="53">
        <v>635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44" t="s">
        <v>50</v>
      </c>
      <c r="B12" s="246" t="s">
        <v>51</v>
      </c>
      <c r="C12" s="253" t="s">
        <v>233</v>
      </c>
      <c r="D12" s="49" t="s">
        <v>52</v>
      </c>
      <c r="E12" s="28"/>
      <c r="F12" s="29">
        <v>690113</v>
      </c>
      <c r="G12" s="45">
        <v>360</v>
      </c>
      <c r="H12" s="31">
        <v>0</v>
      </c>
      <c r="I12" s="46">
        <v>800</v>
      </c>
      <c r="J12" s="32">
        <v>800</v>
      </c>
      <c r="K12" s="33">
        <f t="shared" si="0"/>
        <v>28.8</v>
      </c>
      <c r="L12" s="47">
        <f t="shared" si="0"/>
        <v>0</v>
      </c>
      <c r="M12" s="31">
        <v>934</v>
      </c>
      <c r="N12" s="31">
        <v>1294</v>
      </c>
      <c r="O12" s="31">
        <v>1294</v>
      </c>
      <c r="P12" s="31">
        <v>1294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44" t="s">
        <v>53</v>
      </c>
      <c r="B13" s="246" t="s">
        <v>51</v>
      </c>
      <c r="C13" s="253" t="s">
        <v>233</v>
      </c>
      <c r="D13" s="49" t="s">
        <v>52</v>
      </c>
      <c r="E13" s="28"/>
      <c r="F13" s="29">
        <v>690113</v>
      </c>
      <c r="G13" s="45">
        <v>231</v>
      </c>
      <c r="H13" s="31">
        <v>0</v>
      </c>
      <c r="I13" s="46">
        <v>800</v>
      </c>
      <c r="J13" s="32">
        <v>800</v>
      </c>
      <c r="K13" s="33">
        <f t="shared" si="0"/>
        <v>18.48</v>
      </c>
      <c r="L13" s="47">
        <f t="shared" si="0"/>
        <v>0</v>
      </c>
      <c r="M13" s="31">
        <v>171</v>
      </c>
      <c r="N13" s="31">
        <v>402</v>
      </c>
      <c r="O13" s="31">
        <v>402</v>
      </c>
      <c r="P13" s="31">
        <v>402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5">
      <c r="A14" s="44" t="s">
        <v>54</v>
      </c>
      <c r="B14" s="246" t="s">
        <v>51</v>
      </c>
      <c r="C14" s="253" t="s">
        <v>233</v>
      </c>
      <c r="D14" s="214" t="s">
        <v>211</v>
      </c>
      <c r="E14" s="28"/>
      <c r="F14" s="29">
        <v>690134</v>
      </c>
      <c r="G14" s="45">
        <v>205</v>
      </c>
      <c r="H14" s="31">
        <v>0</v>
      </c>
      <c r="I14" s="46">
        <v>800</v>
      </c>
      <c r="J14" s="32">
        <v>800</v>
      </c>
      <c r="K14" s="33">
        <f t="shared" si="0"/>
        <v>16.399999999999999</v>
      </c>
      <c r="L14" s="47">
        <f t="shared" si="0"/>
        <v>0</v>
      </c>
      <c r="M14" s="31">
        <v>142</v>
      </c>
      <c r="N14" s="31">
        <v>205</v>
      </c>
      <c r="O14" s="31">
        <v>205</v>
      </c>
      <c r="P14" s="31">
        <v>205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44" t="s">
        <v>55</v>
      </c>
      <c r="B15" s="246" t="s">
        <v>51</v>
      </c>
      <c r="C15" s="253" t="s">
        <v>233</v>
      </c>
      <c r="D15" s="49" t="s">
        <v>47</v>
      </c>
      <c r="E15" s="28"/>
      <c r="F15" s="29">
        <v>690119</v>
      </c>
      <c r="G15" s="55">
        <v>0</v>
      </c>
      <c r="H15" s="31">
        <v>0</v>
      </c>
      <c r="I15" s="46">
        <v>800</v>
      </c>
      <c r="J15" s="32">
        <v>800</v>
      </c>
      <c r="K15" s="33">
        <f t="shared" si="0"/>
        <v>0</v>
      </c>
      <c r="L15" s="47">
        <f t="shared" si="0"/>
        <v>0</v>
      </c>
      <c r="M15" s="31">
        <v>0</v>
      </c>
      <c r="N15" s="31">
        <v>0</v>
      </c>
      <c r="O15" s="31">
        <v>0</v>
      </c>
      <c r="P15" s="31">
        <v>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44" t="s">
        <v>56</v>
      </c>
      <c r="B16" s="246" t="s">
        <v>51</v>
      </c>
      <c r="C16" s="253" t="s">
        <v>233</v>
      </c>
      <c r="D16" s="49" t="s">
        <v>57</v>
      </c>
      <c r="E16" s="28"/>
      <c r="F16" s="29">
        <v>690106</v>
      </c>
      <c r="G16" s="55">
        <v>308</v>
      </c>
      <c r="H16" s="31">
        <v>690</v>
      </c>
      <c r="I16" s="46">
        <v>800</v>
      </c>
      <c r="J16" s="32">
        <v>800</v>
      </c>
      <c r="K16" s="33">
        <f t="shared" si="0"/>
        <v>24.64</v>
      </c>
      <c r="L16" s="47">
        <f t="shared" si="0"/>
        <v>55.2</v>
      </c>
      <c r="M16" s="31">
        <v>139</v>
      </c>
      <c r="N16" s="31">
        <v>447</v>
      </c>
      <c r="O16" s="31">
        <v>447</v>
      </c>
      <c r="P16" s="31">
        <v>1137</v>
      </c>
      <c r="Q16" s="35"/>
      <c r="R16" s="48"/>
      <c r="S16" s="36"/>
      <c r="T16" s="36"/>
      <c r="U16" s="37"/>
      <c r="V16" s="38"/>
      <c r="W16" s="39"/>
      <c r="X16" s="39"/>
      <c r="Y16" s="40"/>
      <c r="Z16" s="52"/>
      <c r="AA16" s="41"/>
      <c r="AB16" s="42"/>
      <c r="AC16" s="43"/>
      <c r="AD16" s="43"/>
    </row>
    <row r="17" spans="1:35" ht="24" customHeight="1" x14ac:dyDescent="0.4">
      <c r="A17" s="44" t="s">
        <v>58</v>
      </c>
      <c r="B17" s="246" t="s">
        <v>51</v>
      </c>
      <c r="C17" s="253" t="s">
        <v>233</v>
      </c>
      <c r="D17" s="49" t="s">
        <v>57</v>
      </c>
      <c r="E17" s="28"/>
      <c r="F17" s="29">
        <v>690106</v>
      </c>
      <c r="G17" s="55">
        <v>219</v>
      </c>
      <c r="H17" s="31">
        <v>669</v>
      </c>
      <c r="I17" s="46">
        <v>800</v>
      </c>
      <c r="J17" s="32">
        <v>800</v>
      </c>
      <c r="K17" s="33">
        <f t="shared" si="0"/>
        <v>17.52</v>
      </c>
      <c r="L17" s="47">
        <f t="shared" si="0"/>
        <v>53.52</v>
      </c>
      <c r="M17" s="31">
        <v>1325</v>
      </c>
      <c r="N17" s="31">
        <v>1544</v>
      </c>
      <c r="O17" s="31">
        <v>1544</v>
      </c>
      <c r="P17" s="31">
        <v>213</v>
      </c>
      <c r="Q17" s="35"/>
      <c r="R17" s="48"/>
      <c r="S17" s="36"/>
      <c r="T17" s="36"/>
      <c r="U17" s="37"/>
      <c r="V17" s="38"/>
      <c r="W17" s="39"/>
      <c r="X17" s="39"/>
      <c r="Y17" s="40"/>
      <c r="Z17" s="40"/>
      <c r="AA17" s="41"/>
      <c r="AB17" s="42"/>
      <c r="AC17" s="43"/>
      <c r="AD17" s="43"/>
    </row>
    <row r="18" spans="1:35" ht="24" customHeight="1" x14ac:dyDescent="0.4">
      <c r="A18" s="44" t="s">
        <v>60</v>
      </c>
      <c r="B18" s="246" t="s">
        <v>51</v>
      </c>
      <c r="C18" s="253" t="s">
        <v>233</v>
      </c>
      <c r="D18" s="49" t="s">
        <v>57</v>
      </c>
      <c r="E18" s="28"/>
      <c r="F18" s="29">
        <v>690106</v>
      </c>
      <c r="G18" s="55">
        <v>276</v>
      </c>
      <c r="H18" s="31">
        <v>697</v>
      </c>
      <c r="I18" s="46">
        <v>800</v>
      </c>
      <c r="J18" s="32">
        <v>800</v>
      </c>
      <c r="K18" s="33">
        <f t="shared" si="0"/>
        <v>22.08</v>
      </c>
      <c r="L18" s="47">
        <f t="shared" si="0"/>
        <v>55.76</v>
      </c>
      <c r="M18" s="31">
        <v>888</v>
      </c>
      <c r="N18" s="31">
        <v>1164</v>
      </c>
      <c r="O18" s="31">
        <v>1164</v>
      </c>
      <c r="P18" s="31">
        <v>1861</v>
      </c>
      <c r="Q18" s="35"/>
      <c r="R18" s="48"/>
      <c r="S18" s="36"/>
      <c r="T18" s="36"/>
      <c r="U18" s="37"/>
      <c r="V18" s="38"/>
      <c r="W18" s="39"/>
      <c r="X18" s="39"/>
      <c r="Y18" s="40"/>
      <c r="Z18" s="40"/>
      <c r="AA18" s="41"/>
      <c r="AB18" s="42"/>
      <c r="AC18" s="43"/>
      <c r="AD18" s="43"/>
    </row>
    <row r="19" spans="1:35" ht="24" customHeight="1" x14ac:dyDescent="0.4">
      <c r="A19" s="44" t="s">
        <v>62</v>
      </c>
      <c r="B19" s="246" t="s">
        <v>35</v>
      </c>
      <c r="C19" s="253" t="s">
        <v>34</v>
      </c>
      <c r="D19" s="49" t="s">
        <v>61</v>
      </c>
      <c r="E19" s="28"/>
      <c r="F19" s="29">
        <v>690112</v>
      </c>
      <c r="G19" s="45">
        <v>575</v>
      </c>
      <c r="H19" s="31">
        <v>0</v>
      </c>
      <c r="I19" s="46">
        <v>750</v>
      </c>
      <c r="J19" s="32">
        <v>750</v>
      </c>
      <c r="K19" s="33">
        <f t="shared" si="0"/>
        <v>46</v>
      </c>
      <c r="L19" s="47">
        <f t="shared" si="0"/>
        <v>0</v>
      </c>
      <c r="M19" s="31">
        <v>1100</v>
      </c>
      <c r="N19" s="31">
        <v>1675</v>
      </c>
      <c r="O19" s="31">
        <v>1675</v>
      </c>
      <c r="P19" s="31">
        <v>1675</v>
      </c>
      <c r="Q19" s="35"/>
      <c r="R19" s="48"/>
      <c r="S19" s="36"/>
      <c r="T19" s="36"/>
      <c r="U19" s="37"/>
      <c r="V19" s="38"/>
      <c r="W19" s="39"/>
      <c r="X19" s="39"/>
      <c r="Y19" s="40"/>
      <c r="Z19" s="40"/>
      <c r="AA19" s="41"/>
      <c r="AB19" s="42"/>
      <c r="AC19" s="43"/>
      <c r="AD19" s="43"/>
      <c r="AF19" s="54"/>
    </row>
    <row r="20" spans="1:35" ht="24" customHeight="1" x14ac:dyDescent="0.4">
      <c r="A20" s="44" t="s">
        <v>66</v>
      </c>
      <c r="B20" s="246" t="s">
        <v>35</v>
      </c>
      <c r="C20" s="253" t="s">
        <v>34</v>
      </c>
      <c r="D20" s="49" t="s">
        <v>47</v>
      </c>
      <c r="E20" s="28"/>
      <c r="F20" s="29">
        <v>690119</v>
      </c>
      <c r="G20" s="45">
        <v>400</v>
      </c>
      <c r="H20" s="31">
        <v>0</v>
      </c>
      <c r="I20" s="46">
        <v>750</v>
      </c>
      <c r="J20" s="32">
        <v>750</v>
      </c>
      <c r="K20" s="33">
        <f t="shared" si="0"/>
        <v>32</v>
      </c>
      <c r="L20" s="47">
        <f t="shared" si="0"/>
        <v>0</v>
      </c>
      <c r="M20" s="31">
        <v>0</v>
      </c>
      <c r="N20" s="31">
        <v>400</v>
      </c>
      <c r="O20" s="31">
        <v>400</v>
      </c>
      <c r="P20" s="31">
        <v>400</v>
      </c>
      <c r="Q20" s="35"/>
      <c r="R20" s="48"/>
      <c r="S20" s="36"/>
      <c r="T20" s="36"/>
      <c r="U20" s="37"/>
      <c r="V20" s="38"/>
      <c r="W20" s="39"/>
      <c r="X20" s="39"/>
      <c r="Y20" s="40"/>
      <c r="Z20" s="40"/>
      <c r="AA20" s="41"/>
      <c r="AB20" s="42"/>
      <c r="AC20" s="43"/>
      <c r="AD20" s="43"/>
    </row>
    <row r="21" spans="1:35" ht="24" customHeight="1" thickBot="1" x14ac:dyDescent="0.45">
      <c r="A21" s="44" t="s">
        <v>67</v>
      </c>
      <c r="B21" s="246" t="s">
        <v>35</v>
      </c>
      <c r="C21" s="253" t="s">
        <v>34</v>
      </c>
      <c r="D21" s="49" t="s">
        <v>47</v>
      </c>
      <c r="E21" s="28"/>
      <c r="F21" s="29">
        <v>690119</v>
      </c>
      <c r="G21" s="45">
        <v>610</v>
      </c>
      <c r="H21" s="31">
        <v>749</v>
      </c>
      <c r="I21" s="46">
        <v>750</v>
      </c>
      <c r="J21" s="32">
        <v>750</v>
      </c>
      <c r="K21" s="33">
        <f t="shared" si="0"/>
        <v>48.8</v>
      </c>
      <c r="L21" s="47">
        <f t="shared" si="0"/>
        <v>59.92</v>
      </c>
      <c r="M21" s="31">
        <v>509</v>
      </c>
      <c r="N21" s="31">
        <v>1119</v>
      </c>
      <c r="O21" s="31">
        <v>1119</v>
      </c>
      <c r="P21" s="82">
        <v>1868</v>
      </c>
      <c r="Q21" s="35"/>
      <c r="R21" s="48"/>
      <c r="S21" s="36"/>
      <c r="T21" s="36"/>
      <c r="U21" s="37"/>
      <c r="V21" s="38"/>
      <c r="W21" s="39"/>
      <c r="X21" s="39"/>
      <c r="Y21" s="40"/>
      <c r="Z21" s="40"/>
      <c r="AA21" s="41"/>
      <c r="AB21" s="42"/>
      <c r="AC21" s="43"/>
      <c r="AD21" s="43"/>
    </row>
    <row r="22" spans="1:35" ht="26.25" customHeight="1" x14ac:dyDescent="0.4">
      <c r="A22" s="44" t="s">
        <v>68</v>
      </c>
      <c r="B22" s="246" t="s">
        <v>42</v>
      </c>
      <c r="C22" s="253" t="s">
        <v>41</v>
      </c>
      <c r="D22" s="49" t="s">
        <v>61</v>
      </c>
      <c r="E22" s="28"/>
      <c r="F22" s="29">
        <v>690112</v>
      </c>
      <c r="G22" s="45">
        <v>433</v>
      </c>
      <c r="H22" s="31">
        <v>851</v>
      </c>
      <c r="I22" s="46">
        <v>750</v>
      </c>
      <c r="J22" s="32">
        <v>750</v>
      </c>
      <c r="K22" s="33">
        <f t="shared" si="0"/>
        <v>34.64</v>
      </c>
      <c r="L22" s="47">
        <f t="shared" si="0"/>
        <v>68.08</v>
      </c>
      <c r="M22" s="31">
        <v>1665</v>
      </c>
      <c r="N22" s="31">
        <v>98</v>
      </c>
      <c r="O22" s="31">
        <v>98</v>
      </c>
      <c r="P22" s="240">
        <v>949</v>
      </c>
      <c r="Q22" s="35"/>
      <c r="R22" s="48"/>
      <c r="S22" s="36"/>
      <c r="T22" s="36"/>
      <c r="U22" s="37"/>
      <c r="V22" s="38"/>
      <c r="W22" s="39"/>
      <c r="X22" s="39"/>
      <c r="Y22" s="40"/>
      <c r="Z22" s="40"/>
      <c r="AA22" s="41"/>
      <c r="AB22" s="42"/>
      <c r="AC22" s="43"/>
      <c r="AD22" s="43"/>
    </row>
    <row r="23" spans="1:35" ht="24" customHeight="1" x14ac:dyDescent="0.4">
      <c r="A23" s="44" t="s">
        <v>70</v>
      </c>
      <c r="B23" s="246" t="s">
        <v>42</v>
      </c>
      <c r="C23" s="253" t="s">
        <v>41</v>
      </c>
      <c r="D23" s="49" t="s">
        <v>71</v>
      </c>
      <c r="E23" s="28"/>
      <c r="F23" s="29">
        <v>690104</v>
      </c>
      <c r="G23" s="45">
        <v>521</v>
      </c>
      <c r="H23" s="31">
        <v>773</v>
      </c>
      <c r="I23" s="46">
        <v>750</v>
      </c>
      <c r="J23" s="32">
        <v>750</v>
      </c>
      <c r="K23" s="33">
        <f t="shared" si="0"/>
        <v>41.68</v>
      </c>
      <c r="L23" s="47">
        <f t="shared" si="0"/>
        <v>61.84</v>
      </c>
      <c r="M23" s="31">
        <v>1964</v>
      </c>
      <c r="N23" s="31">
        <v>2485</v>
      </c>
      <c r="O23" s="31">
        <v>2485</v>
      </c>
      <c r="P23" s="31">
        <v>758</v>
      </c>
      <c r="Q23" s="35"/>
      <c r="R23" s="48"/>
      <c r="S23" s="36"/>
      <c r="T23" s="36"/>
      <c r="U23" s="37"/>
      <c r="V23" s="38"/>
      <c r="W23" s="39"/>
      <c r="X23" s="39"/>
      <c r="Y23" s="40"/>
      <c r="Z23" s="40"/>
      <c r="AA23" s="41"/>
      <c r="AB23" s="42"/>
      <c r="AC23" s="43"/>
      <c r="AD23" s="43"/>
    </row>
    <row r="24" spans="1:35" ht="24" customHeight="1" x14ac:dyDescent="0.4">
      <c r="A24" s="44" t="s">
        <v>72</v>
      </c>
      <c r="B24" s="246" t="s">
        <v>42</v>
      </c>
      <c r="C24" s="253" t="s">
        <v>41</v>
      </c>
      <c r="D24" s="49" t="s">
        <v>36</v>
      </c>
      <c r="E24" s="28">
        <v>69010312</v>
      </c>
      <c r="F24" s="29">
        <v>690126</v>
      </c>
      <c r="G24" s="45">
        <v>193</v>
      </c>
      <c r="H24" s="31">
        <v>0</v>
      </c>
      <c r="I24" s="46">
        <v>750</v>
      </c>
      <c r="J24" s="32">
        <v>750</v>
      </c>
      <c r="K24" s="33">
        <f t="shared" si="0"/>
        <v>15.44</v>
      </c>
      <c r="L24" s="47">
        <f t="shared" si="0"/>
        <v>0</v>
      </c>
      <c r="M24" s="31">
        <v>185</v>
      </c>
      <c r="N24" s="31">
        <v>378</v>
      </c>
      <c r="O24" s="31">
        <v>378</v>
      </c>
      <c r="P24" s="31">
        <v>378</v>
      </c>
      <c r="Q24" s="35">
        <v>860</v>
      </c>
      <c r="R24" s="48"/>
      <c r="S24" s="36">
        <v>82.4</v>
      </c>
      <c r="T24" s="36"/>
      <c r="U24" s="37"/>
      <c r="V24" s="38"/>
      <c r="W24" s="39">
        <f>S24*1000/39.37/Q24*44.5</f>
        <v>108.29872822536342</v>
      </c>
      <c r="X24" s="39"/>
      <c r="Y24" s="40">
        <f>(AC24+W24)/2</f>
        <v>110.86436411268171</v>
      </c>
      <c r="Z24" s="40"/>
      <c r="AA24" s="41"/>
      <c r="AB24" s="42"/>
      <c r="AC24" s="43">
        <v>113.43</v>
      </c>
      <c r="AD24" s="43"/>
    </row>
    <row r="25" spans="1:35" ht="24" customHeight="1" thickBot="1" x14ac:dyDescent="0.45">
      <c r="A25" s="44" t="s">
        <v>73</v>
      </c>
      <c r="B25" s="246" t="s">
        <v>42</v>
      </c>
      <c r="C25" s="253" t="s">
        <v>41</v>
      </c>
      <c r="D25" s="49" t="s">
        <v>36</v>
      </c>
      <c r="E25" s="28"/>
      <c r="F25" s="29">
        <v>690126</v>
      </c>
      <c r="G25" s="45">
        <v>357</v>
      </c>
      <c r="H25" s="31">
        <v>634</v>
      </c>
      <c r="I25" s="46">
        <v>750</v>
      </c>
      <c r="J25" s="32">
        <v>750</v>
      </c>
      <c r="K25" s="33">
        <f t="shared" si="0"/>
        <v>28.56</v>
      </c>
      <c r="L25" s="47">
        <f t="shared" si="0"/>
        <v>50.72</v>
      </c>
      <c r="M25" s="31">
        <v>1180</v>
      </c>
      <c r="N25" s="31">
        <v>1537</v>
      </c>
      <c r="O25" s="31">
        <v>1537</v>
      </c>
      <c r="P25" s="241">
        <v>610</v>
      </c>
      <c r="Q25" s="35"/>
      <c r="R25" s="48"/>
      <c r="S25" s="36"/>
      <c r="T25" s="36"/>
      <c r="U25" s="37"/>
      <c r="V25" s="38"/>
      <c r="W25" s="39"/>
      <c r="X25" s="39"/>
      <c r="Y25" s="40"/>
      <c r="Z25" s="40"/>
      <c r="AA25" s="41"/>
      <c r="AB25" s="42"/>
      <c r="AC25" s="43"/>
      <c r="AD25" s="43"/>
      <c r="AF25" s="54"/>
    </row>
    <row r="26" spans="1:35" ht="22.5" customHeight="1" x14ac:dyDescent="0.4">
      <c r="A26" s="44" t="s">
        <v>74</v>
      </c>
      <c r="B26" s="246" t="s">
        <v>76</v>
      </c>
      <c r="C26" s="253" t="s">
        <v>75</v>
      </c>
      <c r="D26" s="49" t="s">
        <v>47</v>
      </c>
      <c r="E26" s="28"/>
      <c r="F26" s="29">
        <v>690119</v>
      </c>
      <c r="G26" s="55">
        <v>301</v>
      </c>
      <c r="H26" s="31">
        <v>336</v>
      </c>
      <c r="I26" s="46">
        <v>800</v>
      </c>
      <c r="J26" s="32">
        <v>800</v>
      </c>
      <c r="K26" s="33">
        <f t="shared" si="0"/>
        <v>24.08</v>
      </c>
      <c r="L26" s="47">
        <f t="shared" si="0"/>
        <v>26.88</v>
      </c>
      <c r="M26" s="31">
        <v>1612</v>
      </c>
      <c r="N26" s="31">
        <v>301</v>
      </c>
      <c r="O26" s="31">
        <v>301</v>
      </c>
      <c r="P26" s="242">
        <v>637</v>
      </c>
      <c r="Q26" s="35"/>
      <c r="R26" s="35"/>
      <c r="S26" s="36"/>
      <c r="T26" s="36"/>
      <c r="U26" s="37"/>
      <c r="V26" s="38"/>
      <c r="W26" s="39"/>
      <c r="X26" s="39"/>
      <c r="Y26" s="40"/>
      <c r="Z26" s="40"/>
      <c r="AA26" s="41"/>
      <c r="AB26" s="42"/>
      <c r="AC26" s="43"/>
      <c r="AD26" s="43"/>
    </row>
    <row r="27" spans="1:35" ht="22.5" customHeight="1" x14ac:dyDescent="0.4">
      <c r="A27" s="44" t="s">
        <v>77</v>
      </c>
      <c r="B27" s="246" t="s">
        <v>76</v>
      </c>
      <c r="C27" s="253" t="s">
        <v>75</v>
      </c>
      <c r="D27" s="49" t="s">
        <v>61</v>
      </c>
      <c r="E27" s="28"/>
      <c r="F27" s="29">
        <v>690112</v>
      </c>
      <c r="G27" s="55">
        <v>272</v>
      </c>
      <c r="H27" s="31">
        <v>341</v>
      </c>
      <c r="I27" s="46">
        <v>800</v>
      </c>
      <c r="J27" s="32">
        <v>800</v>
      </c>
      <c r="K27" s="33">
        <f t="shared" si="0"/>
        <v>21.76</v>
      </c>
      <c r="L27" s="47">
        <f t="shared" si="0"/>
        <v>27.28</v>
      </c>
      <c r="M27" s="31">
        <v>1389</v>
      </c>
      <c r="N27" s="31">
        <v>1661</v>
      </c>
      <c r="O27" s="31">
        <v>1661</v>
      </c>
      <c r="P27" s="31">
        <v>2</v>
      </c>
      <c r="Q27" s="35"/>
      <c r="R27" s="56"/>
      <c r="S27" s="57"/>
      <c r="T27" s="57"/>
      <c r="U27" s="58"/>
      <c r="V27" s="59"/>
      <c r="W27" s="39"/>
      <c r="X27" s="39"/>
      <c r="Y27" s="40"/>
      <c r="Z27" s="40"/>
      <c r="AA27" s="41"/>
      <c r="AB27" s="42"/>
      <c r="AC27" s="43"/>
      <c r="AD27" s="43"/>
    </row>
    <row r="28" spans="1:35" ht="24" customHeight="1" x14ac:dyDescent="0.4">
      <c r="A28" s="44" t="s">
        <v>78</v>
      </c>
      <c r="B28" s="246" t="s">
        <v>76</v>
      </c>
      <c r="C28" s="253" t="s">
        <v>75</v>
      </c>
      <c r="D28" s="49" t="s">
        <v>61</v>
      </c>
      <c r="E28" s="28"/>
      <c r="F28" s="29">
        <v>690112</v>
      </c>
      <c r="G28" s="45">
        <v>323</v>
      </c>
      <c r="H28" s="31">
        <v>400</v>
      </c>
      <c r="I28" s="46">
        <v>800</v>
      </c>
      <c r="J28" s="32">
        <v>800</v>
      </c>
      <c r="K28" s="33">
        <f t="shared" si="0"/>
        <v>25.84</v>
      </c>
      <c r="L28" s="47">
        <f t="shared" si="0"/>
        <v>32</v>
      </c>
      <c r="M28" s="31">
        <v>60</v>
      </c>
      <c r="N28" s="31">
        <v>383</v>
      </c>
      <c r="O28" s="31">
        <v>383</v>
      </c>
      <c r="P28" s="31">
        <v>783</v>
      </c>
      <c r="Q28" s="35"/>
      <c r="R28" s="48"/>
      <c r="S28" s="36"/>
      <c r="T28" s="36"/>
      <c r="U28" s="37"/>
      <c r="V28" s="38"/>
      <c r="W28" s="39"/>
      <c r="X28" s="39"/>
      <c r="Y28" s="40"/>
      <c r="Z28" s="40"/>
      <c r="AA28" s="41"/>
      <c r="AB28" s="42"/>
      <c r="AC28" s="43"/>
      <c r="AD28" s="43"/>
      <c r="AF28" s="54"/>
    </row>
    <row r="29" spans="1:35" ht="23.25" customHeight="1" x14ac:dyDescent="0.4">
      <c r="A29" s="44" t="s">
        <v>79</v>
      </c>
      <c r="B29" s="246" t="s">
        <v>76</v>
      </c>
      <c r="C29" s="253" t="s">
        <v>75</v>
      </c>
      <c r="D29" s="49" t="s">
        <v>47</v>
      </c>
      <c r="E29" s="28"/>
      <c r="F29" s="29">
        <v>690119</v>
      </c>
      <c r="G29" s="45">
        <v>262</v>
      </c>
      <c r="H29" s="31">
        <v>302</v>
      </c>
      <c r="I29" s="46">
        <v>800</v>
      </c>
      <c r="J29" s="32">
        <v>800</v>
      </c>
      <c r="K29" s="33">
        <f t="shared" si="0"/>
        <v>20.96</v>
      </c>
      <c r="L29" s="47">
        <f t="shared" si="0"/>
        <v>24.16</v>
      </c>
      <c r="M29" s="31">
        <v>791</v>
      </c>
      <c r="N29" s="31">
        <v>1053</v>
      </c>
      <c r="O29" s="31">
        <v>1053</v>
      </c>
      <c r="P29" s="31">
        <v>1355</v>
      </c>
      <c r="Q29" s="35"/>
      <c r="R29" s="48"/>
      <c r="S29" s="36"/>
      <c r="T29" s="36"/>
      <c r="U29" s="37"/>
      <c r="V29" s="38"/>
      <c r="W29" s="39"/>
      <c r="X29" s="39"/>
      <c r="Y29" s="40"/>
      <c r="Z29" s="40"/>
      <c r="AA29" s="41"/>
      <c r="AB29" s="42"/>
      <c r="AC29" s="43"/>
      <c r="AD29" s="43"/>
    </row>
    <row r="30" spans="1:35" ht="24" customHeight="1" x14ac:dyDescent="0.4">
      <c r="A30" s="44" t="s">
        <v>80</v>
      </c>
      <c r="B30" s="246"/>
      <c r="C30" s="253" t="s">
        <v>75</v>
      </c>
      <c r="D30" s="49" t="s">
        <v>43</v>
      </c>
      <c r="E30" s="28"/>
      <c r="F30" s="29">
        <v>690108</v>
      </c>
      <c r="G30" s="45">
        <v>231</v>
      </c>
      <c r="H30" s="31">
        <v>375</v>
      </c>
      <c r="I30" s="46">
        <v>800</v>
      </c>
      <c r="J30" s="32">
        <v>800</v>
      </c>
      <c r="K30" s="33">
        <f t="shared" si="0"/>
        <v>18.48</v>
      </c>
      <c r="L30" s="47">
        <f t="shared" si="0"/>
        <v>30</v>
      </c>
      <c r="M30" s="31">
        <v>262</v>
      </c>
      <c r="N30" s="31">
        <v>493</v>
      </c>
      <c r="O30" s="31">
        <v>493</v>
      </c>
      <c r="P30" s="31">
        <v>868</v>
      </c>
      <c r="Q30" s="35"/>
      <c r="R30" s="35"/>
      <c r="S30" s="36"/>
      <c r="T30" s="36"/>
      <c r="U30" s="37"/>
      <c r="V30" s="38"/>
      <c r="W30" s="39"/>
      <c r="X30" s="39"/>
      <c r="Y30" s="40"/>
      <c r="Z30" s="40"/>
      <c r="AA30" s="41"/>
      <c r="AB30" s="42"/>
      <c r="AC30" s="43"/>
      <c r="AD30" s="43"/>
    </row>
    <row r="31" spans="1:35" ht="24" customHeight="1" x14ac:dyDescent="0.4">
      <c r="A31" s="50" t="s">
        <v>81</v>
      </c>
      <c r="B31" s="247"/>
      <c r="C31" s="253"/>
      <c r="D31" s="49" t="s">
        <v>47</v>
      </c>
      <c r="E31" s="28"/>
      <c r="F31" s="29">
        <v>690119</v>
      </c>
      <c r="G31" s="60">
        <v>0</v>
      </c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1">
        <v>0</v>
      </c>
      <c r="N31" s="31">
        <v>0</v>
      </c>
      <c r="O31" s="31">
        <v>0</v>
      </c>
      <c r="P31" s="31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50" t="s">
        <v>82</v>
      </c>
      <c r="B32" s="247"/>
      <c r="C32" s="253"/>
      <c r="D32" s="49" t="s">
        <v>47</v>
      </c>
      <c r="E32" s="28"/>
      <c r="F32" s="29">
        <v>690119</v>
      </c>
      <c r="G32" s="60">
        <v>0</v>
      </c>
      <c r="H32" s="31">
        <v>0</v>
      </c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1">
        <v>570</v>
      </c>
      <c r="N32" s="31">
        <v>570</v>
      </c>
      <c r="O32" s="31">
        <v>570</v>
      </c>
      <c r="P32" s="31">
        <v>570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50" t="s">
        <v>83</v>
      </c>
      <c r="B33" s="247" t="s">
        <v>85</v>
      </c>
      <c r="C33" s="253" t="s">
        <v>234</v>
      </c>
      <c r="D33" s="49" t="s">
        <v>47</v>
      </c>
      <c r="E33" s="28"/>
      <c r="F33" s="29">
        <v>690119</v>
      </c>
      <c r="G33" s="60">
        <v>0</v>
      </c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1">
        <v>700</v>
      </c>
      <c r="N33" s="31">
        <v>700</v>
      </c>
      <c r="O33" s="31">
        <v>700</v>
      </c>
      <c r="P33" s="31">
        <v>700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50" t="s">
        <v>84</v>
      </c>
      <c r="B34" s="246" t="s">
        <v>85</v>
      </c>
      <c r="C34" s="253" t="s">
        <v>234</v>
      </c>
      <c r="D34" s="49" t="s">
        <v>47</v>
      </c>
      <c r="E34" s="28"/>
      <c r="F34" s="29">
        <v>690119</v>
      </c>
      <c r="G34" s="60">
        <v>385</v>
      </c>
      <c r="H34" s="31">
        <v>553</v>
      </c>
      <c r="I34" s="46">
        <v>110</v>
      </c>
      <c r="J34" s="32">
        <v>110</v>
      </c>
      <c r="K34" s="33">
        <f t="shared" si="0"/>
        <v>30.8</v>
      </c>
      <c r="L34" s="47">
        <f t="shared" si="0"/>
        <v>44.24</v>
      </c>
      <c r="M34" s="31">
        <v>131</v>
      </c>
      <c r="N34" s="31">
        <v>516</v>
      </c>
      <c r="O34" s="31">
        <v>516</v>
      </c>
      <c r="P34" s="31">
        <v>1069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50" t="s">
        <v>86</v>
      </c>
      <c r="B35" s="246" t="s">
        <v>85</v>
      </c>
      <c r="C35" s="253" t="s">
        <v>234</v>
      </c>
      <c r="D35" s="214" t="s">
        <v>211</v>
      </c>
      <c r="E35" s="28"/>
      <c r="F35" s="29"/>
      <c r="G35" s="45">
        <v>0</v>
      </c>
      <c r="H35" s="31">
        <v>0</v>
      </c>
      <c r="I35" s="46">
        <v>110</v>
      </c>
      <c r="J35" s="32">
        <v>110</v>
      </c>
      <c r="K35" s="33">
        <f t="shared" si="0"/>
        <v>0</v>
      </c>
      <c r="L35" s="47">
        <f t="shared" si="0"/>
        <v>0</v>
      </c>
      <c r="M35" s="31">
        <v>0</v>
      </c>
      <c r="N35" s="31">
        <v>0</v>
      </c>
      <c r="O35" s="31">
        <v>0</v>
      </c>
      <c r="P35" s="31">
        <v>0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50" t="s">
        <v>88</v>
      </c>
      <c r="B36" s="246" t="s">
        <v>90</v>
      </c>
      <c r="C36" s="253" t="s">
        <v>69</v>
      </c>
      <c r="D36" s="49" t="s">
        <v>57</v>
      </c>
      <c r="E36" s="28"/>
      <c r="F36" s="29">
        <v>690106</v>
      </c>
      <c r="G36" s="45">
        <v>0</v>
      </c>
      <c r="H36" s="31">
        <v>0</v>
      </c>
      <c r="I36" s="46">
        <v>115</v>
      </c>
      <c r="J36" s="32">
        <v>115</v>
      </c>
      <c r="K36" s="33">
        <f t="shared" si="0"/>
        <v>0</v>
      </c>
      <c r="L36" s="47">
        <f t="shared" si="0"/>
        <v>0</v>
      </c>
      <c r="M36" s="31">
        <v>1548</v>
      </c>
      <c r="N36" s="31">
        <v>1548</v>
      </c>
      <c r="O36" s="31">
        <v>1548</v>
      </c>
      <c r="P36" s="31">
        <v>1548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50" t="s">
        <v>91</v>
      </c>
      <c r="B37" s="246" t="s">
        <v>90</v>
      </c>
      <c r="C37" s="253" t="s">
        <v>69</v>
      </c>
      <c r="D37" s="49" t="s">
        <v>57</v>
      </c>
      <c r="E37" s="28"/>
      <c r="F37" s="29">
        <v>690106</v>
      </c>
      <c r="G37" s="45">
        <v>0</v>
      </c>
      <c r="H37" s="31">
        <v>0</v>
      </c>
      <c r="I37" s="46">
        <v>115</v>
      </c>
      <c r="J37" s="32">
        <v>115</v>
      </c>
      <c r="K37" s="33">
        <f t="shared" si="0"/>
        <v>0</v>
      </c>
      <c r="L37" s="47">
        <f t="shared" si="0"/>
        <v>0</v>
      </c>
      <c r="M37" s="31">
        <v>174</v>
      </c>
      <c r="N37" s="31">
        <v>174</v>
      </c>
      <c r="O37" s="31">
        <v>174</v>
      </c>
      <c r="P37" s="31">
        <v>174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50" t="s">
        <v>92</v>
      </c>
      <c r="B38" s="246" t="s">
        <v>97</v>
      </c>
      <c r="C38" s="253" t="s">
        <v>69</v>
      </c>
      <c r="D38" s="49" t="s">
        <v>57</v>
      </c>
      <c r="E38" s="28"/>
      <c r="F38" s="29">
        <v>690106</v>
      </c>
      <c r="G38" s="45">
        <v>703</v>
      </c>
      <c r="H38" s="31">
        <v>0</v>
      </c>
      <c r="I38" s="46">
        <v>115</v>
      </c>
      <c r="J38" s="32">
        <v>115</v>
      </c>
      <c r="K38" s="33">
        <f t="shared" si="0"/>
        <v>56.24</v>
      </c>
      <c r="L38" s="47">
        <f t="shared" si="0"/>
        <v>0</v>
      </c>
      <c r="M38" s="31">
        <v>460</v>
      </c>
      <c r="N38" s="31">
        <v>1163</v>
      </c>
      <c r="O38" s="31">
        <v>1163</v>
      </c>
      <c r="P38" s="31">
        <v>1163</v>
      </c>
      <c r="Q38" s="35"/>
      <c r="R38" s="67"/>
      <c r="S38" s="3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50" t="s">
        <v>93</v>
      </c>
      <c r="B39" s="246" t="s">
        <v>97</v>
      </c>
      <c r="C39" s="253" t="s">
        <v>69</v>
      </c>
      <c r="D39" s="49" t="s">
        <v>94</v>
      </c>
      <c r="E39" s="28"/>
      <c r="F39" s="29">
        <v>690107</v>
      </c>
      <c r="G39" s="45">
        <v>526</v>
      </c>
      <c r="H39" s="31">
        <v>0</v>
      </c>
      <c r="I39" s="63">
        <v>115</v>
      </c>
      <c r="J39" s="64">
        <v>115</v>
      </c>
      <c r="K39" s="65">
        <f t="shared" ref="K39:L55" si="1">G39*8/100</f>
        <v>42.08</v>
      </c>
      <c r="L39" s="68">
        <f t="shared" si="1"/>
        <v>0</v>
      </c>
      <c r="M39" s="31">
        <v>607</v>
      </c>
      <c r="N39" s="31">
        <v>1133</v>
      </c>
      <c r="O39" s="31">
        <v>1133</v>
      </c>
      <c r="P39" s="31">
        <v>1133</v>
      </c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customHeight="1" x14ac:dyDescent="0.4">
      <c r="A40" s="50" t="s">
        <v>95</v>
      </c>
      <c r="B40" s="246" t="s">
        <v>97</v>
      </c>
      <c r="C40" s="253" t="s">
        <v>69</v>
      </c>
      <c r="D40" s="49" t="s">
        <v>57</v>
      </c>
      <c r="E40" s="28">
        <v>69010305</v>
      </c>
      <c r="F40" s="29">
        <v>690106</v>
      </c>
      <c r="G40" s="45">
        <v>600</v>
      </c>
      <c r="H40" s="31">
        <v>0</v>
      </c>
      <c r="I40" s="63">
        <v>115</v>
      </c>
      <c r="J40" s="64">
        <v>115</v>
      </c>
      <c r="K40" s="65">
        <f t="shared" si="1"/>
        <v>48</v>
      </c>
      <c r="L40" s="68">
        <f t="shared" si="1"/>
        <v>0</v>
      </c>
      <c r="M40" s="31">
        <v>314</v>
      </c>
      <c r="N40" s="31">
        <v>914</v>
      </c>
      <c r="O40" s="31">
        <v>914</v>
      </c>
      <c r="P40" s="31">
        <v>914</v>
      </c>
      <c r="Q40" s="35">
        <v>728</v>
      </c>
      <c r="R40" s="67"/>
      <c r="S40" s="36">
        <v>58.5</v>
      </c>
      <c r="T40" s="36"/>
      <c r="U40" s="37">
        <v>10</v>
      </c>
      <c r="V40" s="37"/>
      <c r="W40" s="39">
        <f>S40*1000/39.37/Q40*31.5</f>
        <v>64.293878587757177</v>
      </c>
      <c r="X40" s="39"/>
      <c r="Y40" s="40">
        <f>(AC40+W40)/2</f>
        <v>65.321939293878586</v>
      </c>
      <c r="Z40" s="40"/>
      <c r="AA40" s="41"/>
      <c r="AB40" s="42"/>
      <c r="AC40" s="43">
        <v>66.349999999999994</v>
      </c>
      <c r="AD40" s="43"/>
      <c r="AL40" s="1">
        <v>32</v>
      </c>
    </row>
    <row r="41" spans="1:38" ht="24" customHeight="1" x14ac:dyDescent="0.4">
      <c r="A41" s="50" t="s">
        <v>96</v>
      </c>
      <c r="B41" s="246" t="s">
        <v>97</v>
      </c>
      <c r="C41" s="253" t="s">
        <v>69</v>
      </c>
      <c r="D41" s="49" t="s">
        <v>47</v>
      </c>
      <c r="E41" s="28"/>
      <c r="F41" s="29">
        <v>690119</v>
      </c>
      <c r="G41" s="45">
        <v>0</v>
      </c>
      <c r="H41" s="31">
        <v>0</v>
      </c>
      <c r="I41" s="46">
        <v>120</v>
      </c>
      <c r="J41" s="32">
        <v>120</v>
      </c>
      <c r="K41" s="33">
        <f t="shared" si="1"/>
        <v>0</v>
      </c>
      <c r="L41" s="47">
        <f t="shared" si="1"/>
        <v>0</v>
      </c>
      <c r="M41" s="31">
        <v>725</v>
      </c>
      <c r="N41" s="31">
        <v>725</v>
      </c>
      <c r="O41" s="31">
        <v>725</v>
      </c>
      <c r="P41" s="31">
        <v>725</v>
      </c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customHeight="1" x14ac:dyDescent="0.4">
      <c r="A42" s="50" t="s">
        <v>98</v>
      </c>
      <c r="B42" s="246" t="s">
        <v>97</v>
      </c>
      <c r="C42" s="253" t="s">
        <v>69</v>
      </c>
      <c r="D42" s="49" t="s">
        <v>47</v>
      </c>
      <c r="E42" s="28"/>
      <c r="F42" s="29">
        <v>690119</v>
      </c>
      <c r="G42" s="45">
        <v>0</v>
      </c>
      <c r="H42" s="31">
        <v>0</v>
      </c>
      <c r="I42" s="46">
        <v>120</v>
      </c>
      <c r="J42" s="32">
        <v>120</v>
      </c>
      <c r="K42" s="33">
        <f t="shared" si="1"/>
        <v>0</v>
      </c>
      <c r="L42" s="47">
        <f t="shared" si="1"/>
        <v>0</v>
      </c>
      <c r="M42" s="31">
        <v>530</v>
      </c>
      <c r="N42" s="31">
        <v>530</v>
      </c>
      <c r="O42" s="31">
        <v>530</v>
      </c>
      <c r="P42" s="31">
        <v>530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50" t="s">
        <v>99</v>
      </c>
      <c r="B43" s="246" t="s">
        <v>97</v>
      </c>
      <c r="C43" s="253" t="s">
        <v>69</v>
      </c>
      <c r="D43" s="49" t="s">
        <v>47</v>
      </c>
      <c r="E43" s="28">
        <v>69010310</v>
      </c>
      <c r="F43" s="29">
        <v>690119</v>
      </c>
      <c r="G43" s="45">
        <v>0</v>
      </c>
      <c r="H43" s="31">
        <v>310</v>
      </c>
      <c r="I43" s="46">
        <v>120</v>
      </c>
      <c r="J43" s="32">
        <v>120</v>
      </c>
      <c r="K43" s="33">
        <f t="shared" si="1"/>
        <v>0</v>
      </c>
      <c r="L43" s="47">
        <f t="shared" si="1"/>
        <v>24.8</v>
      </c>
      <c r="M43" s="31">
        <v>1132</v>
      </c>
      <c r="N43" s="31">
        <v>1132</v>
      </c>
      <c r="O43" s="31">
        <v>1132</v>
      </c>
      <c r="P43" s="31">
        <v>310</v>
      </c>
      <c r="Q43" s="35">
        <v>1132</v>
      </c>
      <c r="R43" s="48"/>
      <c r="S43" s="36">
        <v>93.6</v>
      </c>
      <c r="T43" s="36"/>
      <c r="U43" s="37">
        <v>10</v>
      </c>
      <c r="V43" s="38"/>
      <c r="W43" s="39">
        <f>S43*1000/39.37/Q43*38.5</f>
        <v>80.858324260818137</v>
      </c>
      <c r="X43" s="39"/>
      <c r="Y43" s="40">
        <f>(AC43+W43)/2</f>
        <v>82.759162130409067</v>
      </c>
      <c r="Z43" s="40"/>
      <c r="AA43" s="41"/>
      <c r="AB43" s="42"/>
      <c r="AC43" s="43">
        <v>84.66</v>
      </c>
      <c r="AD43" s="43"/>
    </row>
    <row r="44" spans="1:38" ht="24" customHeight="1" x14ac:dyDescent="0.4">
      <c r="A44" s="50" t="s">
        <v>100</v>
      </c>
      <c r="B44" s="246" t="s">
        <v>97</v>
      </c>
      <c r="C44" s="253" t="s">
        <v>69</v>
      </c>
      <c r="D44" s="49" t="s">
        <v>104</v>
      </c>
      <c r="E44" s="28"/>
      <c r="F44" s="29">
        <v>690128</v>
      </c>
      <c r="G44" s="69">
        <v>520</v>
      </c>
      <c r="H44" s="31">
        <v>378</v>
      </c>
      <c r="I44" s="46">
        <v>120</v>
      </c>
      <c r="J44" s="32">
        <v>120</v>
      </c>
      <c r="K44" s="33">
        <f t="shared" si="1"/>
        <v>41.6</v>
      </c>
      <c r="L44" s="47">
        <f t="shared" si="1"/>
        <v>30.24</v>
      </c>
      <c r="M44" s="31">
        <v>189</v>
      </c>
      <c r="N44" s="31">
        <v>709</v>
      </c>
      <c r="O44" s="31">
        <v>709</v>
      </c>
      <c r="P44" s="31">
        <v>1087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customHeight="1" thickBot="1" x14ac:dyDescent="0.45">
      <c r="A45" s="50" t="s">
        <v>102</v>
      </c>
      <c r="B45" s="246" t="s">
        <v>97</v>
      </c>
      <c r="C45" s="253" t="s">
        <v>69</v>
      </c>
      <c r="D45" s="49" t="s">
        <v>47</v>
      </c>
      <c r="E45" s="28"/>
      <c r="F45" s="29">
        <v>690119</v>
      </c>
      <c r="G45" s="45">
        <v>0</v>
      </c>
      <c r="H45" s="31">
        <v>420</v>
      </c>
      <c r="I45" s="63">
        <v>120</v>
      </c>
      <c r="J45" s="64">
        <v>120</v>
      </c>
      <c r="K45" s="65">
        <f t="shared" si="1"/>
        <v>0</v>
      </c>
      <c r="L45" s="68">
        <f t="shared" si="1"/>
        <v>33.6</v>
      </c>
      <c r="M45" s="31">
        <v>521</v>
      </c>
      <c r="N45" s="31">
        <v>521</v>
      </c>
      <c r="O45" s="31">
        <v>521</v>
      </c>
      <c r="P45" s="82">
        <v>941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71" t="s">
        <v>103</v>
      </c>
      <c r="B46" s="246" t="s">
        <v>90</v>
      </c>
      <c r="C46" s="253" t="s">
        <v>89</v>
      </c>
      <c r="D46" s="49" t="s">
        <v>104</v>
      </c>
      <c r="E46" s="28"/>
      <c r="F46" s="29">
        <v>690128</v>
      </c>
      <c r="G46" s="45">
        <v>577</v>
      </c>
      <c r="H46" s="31">
        <v>586</v>
      </c>
      <c r="I46" s="46">
        <v>650</v>
      </c>
      <c r="J46" s="32">
        <v>650</v>
      </c>
      <c r="K46" s="33">
        <f t="shared" si="1"/>
        <v>46.16</v>
      </c>
      <c r="L46" s="47">
        <f t="shared" si="1"/>
        <v>46.88</v>
      </c>
      <c r="M46" s="31">
        <v>444</v>
      </c>
      <c r="N46" s="31">
        <v>1021</v>
      </c>
      <c r="O46" s="31">
        <v>1021</v>
      </c>
      <c r="P46" s="240">
        <v>107</v>
      </c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43"/>
      <c r="AD46" s="43"/>
      <c r="AE46" s="72"/>
    </row>
    <row r="47" spans="1:38" ht="20.25" customHeight="1" x14ac:dyDescent="0.4">
      <c r="A47" s="71" t="s">
        <v>105</v>
      </c>
      <c r="B47" s="246" t="s">
        <v>90</v>
      </c>
      <c r="C47" s="253" t="s">
        <v>89</v>
      </c>
      <c r="D47" s="49" t="s">
        <v>104</v>
      </c>
      <c r="E47" s="28"/>
      <c r="F47" s="29">
        <v>690128</v>
      </c>
      <c r="G47" s="45">
        <v>495</v>
      </c>
      <c r="H47" s="31">
        <v>606</v>
      </c>
      <c r="I47" s="63">
        <v>650</v>
      </c>
      <c r="J47" s="64">
        <v>650</v>
      </c>
      <c r="K47" s="65">
        <f t="shared" si="1"/>
        <v>39.6</v>
      </c>
      <c r="L47" s="68">
        <f t="shared" si="1"/>
        <v>48.48</v>
      </c>
      <c r="M47" s="31">
        <v>369</v>
      </c>
      <c r="N47" s="31">
        <v>864</v>
      </c>
      <c r="O47" s="31">
        <v>864</v>
      </c>
      <c r="P47" s="31">
        <v>0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43"/>
      <c r="AD47" s="43"/>
    </row>
    <row r="48" spans="1:38" ht="24" customHeight="1" x14ac:dyDescent="0.4">
      <c r="A48" s="71" t="s">
        <v>106</v>
      </c>
      <c r="B48" s="246" t="s">
        <v>90</v>
      </c>
      <c r="C48" s="253" t="s">
        <v>89</v>
      </c>
      <c r="D48" s="49" t="s">
        <v>104</v>
      </c>
      <c r="E48" s="28"/>
      <c r="F48" s="29">
        <v>690128</v>
      </c>
      <c r="G48" s="69">
        <v>513</v>
      </c>
      <c r="H48" s="31">
        <v>529</v>
      </c>
      <c r="I48" s="63">
        <v>650</v>
      </c>
      <c r="J48" s="64">
        <v>650</v>
      </c>
      <c r="K48" s="65">
        <f t="shared" si="1"/>
        <v>41.04</v>
      </c>
      <c r="L48" s="68">
        <f t="shared" si="1"/>
        <v>42.32</v>
      </c>
      <c r="M48" s="31">
        <v>432</v>
      </c>
      <c r="N48" s="31">
        <v>945</v>
      </c>
      <c r="O48" s="31">
        <v>945</v>
      </c>
      <c r="P48" s="31">
        <v>0</v>
      </c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43"/>
      <c r="AD48" s="43"/>
    </row>
    <row r="49" spans="1:35" ht="24" customHeight="1" x14ac:dyDescent="0.4">
      <c r="A49" s="71" t="s">
        <v>107</v>
      </c>
      <c r="B49" s="246" t="s">
        <v>90</v>
      </c>
      <c r="C49" s="253" t="s">
        <v>89</v>
      </c>
      <c r="D49" s="49" t="s">
        <v>47</v>
      </c>
      <c r="E49" s="28">
        <v>69010311</v>
      </c>
      <c r="F49" s="29">
        <v>690119</v>
      </c>
      <c r="G49" s="73">
        <v>600</v>
      </c>
      <c r="H49" s="31">
        <v>676</v>
      </c>
      <c r="I49" s="46">
        <v>650</v>
      </c>
      <c r="J49" s="32">
        <v>650</v>
      </c>
      <c r="K49" s="33">
        <f t="shared" si="1"/>
        <v>48</v>
      </c>
      <c r="L49" s="47">
        <f t="shared" si="1"/>
        <v>54.08</v>
      </c>
      <c r="M49" s="31">
        <v>1580</v>
      </c>
      <c r="N49" s="31">
        <v>215</v>
      </c>
      <c r="O49" s="31">
        <v>215</v>
      </c>
      <c r="P49" s="31">
        <v>221</v>
      </c>
      <c r="Q49" s="35">
        <v>1965</v>
      </c>
      <c r="R49" s="48"/>
      <c r="S49" s="36">
        <v>161.1</v>
      </c>
      <c r="T49" s="36"/>
      <c r="U49" s="37">
        <v>15</v>
      </c>
      <c r="V49" s="38"/>
      <c r="W49" s="39">
        <f>S49*1000/39.37/Q49*38.5</f>
        <v>80.173030575068793</v>
      </c>
      <c r="X49" s="39"/>
      <c r="Y49" s="40">
        <f>(AC49+W49)/2</f>
        <v>81.961515287534397</v>
      </c>
      <c r="Z49" s="40"/>
      <c r="AA49" s="41"/>
      <c r="AB49" s="42"/>
      <c r="AC49" s="43">
        <v>83.75</v>
      </c>
      <c r="AD49" s="43"/>
    </row>
    <row r="50" spans="1:35" ht="24" customHeight="1" thickBot="1" x14ac:dyDescent="0.45">
      <c r="A50" s="71" t="s">
        <v>108</v>
      </c>
      <c r="B50" s="246" t="s">
        <v>90</v>
      </c>
      <c r="C50" s="253" t="s">
        <v>89</v>
      </c>
      <c r="D50" s="49" t="s">
        <v>47</v>
      </c>
      <c r="E50" s="28"/>
      <c r="F50" s="29">
        <v>690119</v>
      </c>
      <c r="G50" s="74">
        <v>634</v>
      </c>
      <c r="H50" s="31">
        <v>737</v>
      </c>
      <c r="I50" s="46">
        <v>650</v>
      </c>
      <c r="J50" s="32">
        <v>650</v>
      </c>
      <c r="K50" s="33">
        <f t="shared" si="1"/>
        <v>50.72</v>
      </c>
      <c r="L50" s="47">
        <f t="shared" si="1"/>
        <v>58.96</v>
      </c>
      <c r="M50" s="31">
        <v>93</v>
      </c>
      <c r="N50" s="31">
        <v>727</v>
      </c>
      <c r="O50" s="31">
        <v>727</v>
      </c>
      <c r="P50" s="243">
        <v>1464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71" t="s">
        <v>109</v>
      </c>
      <c r="B51" s="246" t="s">
        <v>46</v>
      </c>
      <c r="C51" s="253" t="s">
        <v>89</v>
      </c>
      <c r="D51" s="49" t="s">
        <v>52</v>
      </c>
      <c r="E51" s="28"/>
      <c r="F51" s="29">
        <v>690113</v>
      </c>
      <c r="G51" s="45">
        <v>670</v>
      </c>
      <c r="H51" s="31">
        <v>571</v>
      </c>
      <c r="I51" s="46">
        <v>650</v>
      </c>
      <c r="J51" s="32">
        <v>650</v>
      </c>
      <c r="K51" s="33">
        <f t="shared" si="1"/>
        <v>53.6</v>
      </c>
      <c r="L51" s="47">
        <f t="shared" si="1"/>
        <v>45.68</v>
      </c>
      <c r="M51" s="31">
        <v>959</v>
      </c>
      <c r="N51" s="31">
        <v>1629</v>
      </c>
      <c r="O51" s="31">
        <v>1629</v>
      </c>
      <c r="P51" s="244">
        <v>2200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.75" customHeight="1" x14ac:dyDescent="0.4">
      <c r="A52" s="71" t="s">
        <v>110</v>
      </c>
      <c r="B52" s="246" t="s">
        <v>46</v>
      </c>
      <c r="C52" s="253" t="s">
        <v>45</v>
      </c>
      <c r="D52" s="49" t="s">
        <v>47</v>
      </c>
      <c r="E52" s="28">
        <v>69010302</v>
      </c>
      <c r="F52" s="29">
        <v>690119</v>
      </c>
      <c r="G52" s="45">
        <v>645</v>
      </c>
      <c r="H52" s="31">
        <v>365</v>
      </c>
      <c r="I52" s="46">
        <v>125</v>
      </c>
      <c r="J52" s="32">
        <v>125</v>
      </c>
      <c r="K52" s="33">
        <f t="shared" si="1"/>
        <v>51.6</v>
      </c>
      <c r="L52" s="47">
        <f t="shared" si="1"/>
        <v>29.2</v>
      </c>
      <c r="M52" s="31">
        <v>2150</v>
      </c>
      <c r="N52" s="31">
        <v>620</v>
      </c>
      <c r="O52" s="31">
        <v>620</v>
      </c>
      <c r="P52" s="242">
        <v>85</v>
      </c>
      <c r="Q52" s="35">
        <v>2175</v>
      </c>
      <c r="R52" s="48"/>
      <c r="S52" s="36">
        <v>180.5</v>
      </c>
      <c r="T52" s="36"/>
      <c r="U52" s="37">
        <v>20</v>
      </c>
      <c r="V52" s="38"/>
      <c r="W52" s="39">
        <f>S52*1000/39.37/Q52*38.5</f>
        <v>81.154622079359115</v>
      </c>
      <c r="X52" s="39"/>
      <c r="Y52" s="40">
        <f>(AC52+W52)/2</f>
        <v>81.232311039679558</v>
      </c>
      <c r="Z52" s="40"/>
      <c r="AA52" s="41"/>
      <c r="AB52" s="42"/>
      <c r="AC52" s="43">
        <v>81.31</v>
      </c>
      <c r="AD52" s="43"/>
    </row>
    <row r="53" spans="1:35" ht="23.25" customHeight="1" x14ac:dyDescent="0.4">
      <c r="A53" s="71" t="s">
        <v>111</v>
      </c>
      <c r="B53" s="246" t="s">
        <v>46</v>
      </c>
      <c r="C53" s="253" t="s">
        <v>45</v>
      </c>
      <c r="D53" s="49" t="s">
        <v>52</v>
      </c>
      <c r="E53" s="28"/>
      <c r="F53" s="29">
        <v>690113</v>
      </c>
      <c r="G53" s="69">
        <v>765</v>
      </c>
      <c r="H53" s="31">
        <v>645</v>
      </c>
      <c r="I53" s="46">
        <v>125</v>
      </c>
      <c r="J53" s="32">
        <v>125</v>
      </c>
      <c r="K53" s="33">
        <f t="shared" si="1"/>
        <v>61.2</v>
      </c>
      <c r="L53" s="47">
        <f t="shared" si="1"/>
        <v>51.6</v>
      </c>
      <c r="M53" s="31">
        <v>1035</v>
      </c>
      <c r="N53" s="31">
        <v>1800</v>
      </c>
      <c r="O53" s="31">
        <v>1800</v>
      </c>
      <c r="P53" s="31">
        <v>2445</v>
      </c>
      <c r="Q53" s="35"/>
      <c r="R53" s="48"/>
      <c r="S53" s="36"/>
      <c r="T53" s="36"/>
      <c r="U53" s="37"/>
      <c r="V53" s="38"/>
      <c r="W53" s="39"/>
      <c r="X53" s="39"/>
      <c r="Y53" s="40"/>
      <c r="Z53" s="40"/>
      <c r="AA53" s="41"/>
      <c r="AB53" s="42"/>
      <c r="AC53" s="43"/>
      <c r="AD53" s="43"/>
    </row>
    <row r="54" spans="1:35" ht="24" customHeight="1" x14ac:dyDescent="0.4">
      <c r="A54" s="71" t="s">
        <v>112</v>
      </c>
      <c r="B54" s="246" t="s">
        <v>46</v>
      </c>
      <c r="C54" s="253" t="s">
        <v>45</v>
      </c>
      <c r="D54" s="49" t="s">
        <v>57</v>
      </c>
      <c r="E54" s="28"/>
      <c r="F54" s="29">
        <v>690106</v>
      </c>
      <c r="G54" s="69">
        <v>705</v>
      </c>
      <c r="H54" s="31">
        <v>580</v>
      </c>
      <c r="I54" s="63">
        <v>125</v>
      </c>
      <c r="J54" s="64">
        <v>125</v>
      </c>
      <c r="K54" s="65">
        <f t="shared" si="1"/>
        <v>56.4</v>
      </c>
      <c r="L54" s="68">
        <f t="shared" si="1"/>
        <v>46.4</v>
      </c>
      <c r="M54" s="31">
        <v>1055</v>
      </c>
      <c r="N54" s="31">
        <v>1760</v>
      </c>
      <c r="O54" s="31">
        <v>1760</v>
      </c>
      <c r="P54" s="31">
        <v>2340</v>
      </c>
      <c r="Q54" s="35"/>
      <c r="R54" s="48"/>
      <c r="S54" s="36"/>
      <c r="T54" s="36"/>
      <c r="U54" s="37"/>
      <c r="V54" s="38"/>
      <c r="W54" s="39"/>
      <c r="X54" s="39"/>
      <c r="Y54" s="40"/>
      <c r="Z54" s="40"/>
      <c r="AA54" s="41"/>
      <c r="AB54" s="42"/>
      <c r="AC54" s="43"/>
      <c r="AD54" s="43"/>
    </row>
    <row r="55" spans="1:35" ht="24.75" customHeight="1" x14ac:dyDescent="0.4">
      <c r="A55" s="71" t="s">
        <v>113</v>
      </c>
      <c r="B55" s="246" t="s">
        <v>46</v>
      </c>
      <c r="C55" s="253" t="s">
        <v>45</v>
      </c>
      <c r="D55" s="49" t="s">
        <v>57</v>
      </c>
      <c r="E55" s="28"/>
      <c r="F55" s="29">
        <v>690106</v>
      </c>
      <c r="G55" s="45">
        <v>0</v>
      </c>
      <c r="H55" s="31">
        <v>370</v>
      </c>
      <c r="I55" s="46">
        <v>125</v>
      </c>
      <c r="J55" s="32">
        <v>125</v>
      </c>
      <c r="K55" s="33">
        <f t="shared" si="1"/>
        <v>0</v>
      </c>
      <c r="L55" s="47">
        <f t="shared" si="1"/>
        <v>29.6</v>
      </c>
      <c r="M55" s="31">
        <v>1920</v>
      </c>
      <c r="N55" s="31">
        <v>1920</v>
      </c>
      <c r="O55" s="31">
        <v>1920</v>
      </c>
      <c r="P55" s="31">
        <v>130</v>
      </c>
      <c r="Q55" s="35"/>
      <c r="R55" s="48"/>
      <c r="S55" s="36"/>
      <c r="T55" s="36"/>
      <c r="U55" s="37"/>
      <c r="V55" s="38"/>
      <c r="W55" s="39"/>
      <c r="X55" s="39"/>
      <c r="Y55" s="40"/>
      <c r="Z55" s="40"/>
      <c r="AA55" s="41"/>
      <c r="AB55" s="42"/>
      <c r="AC55" s="43"/>
      <c r="AD55" s="43"/>
    </row>
    <row r="56" spans="1:35" ht="24" customHeight="1" x14ac:dyDescent="0.4">
      <c r="A56" s="71" t="s">
        <v>114</v>
      </c>
      <c r="B56" s="246" t="s">
        <v>116</v>
      </c>
      <c r="C56" s="253" t="s">
        <v>63</v>
      </c>
      <c r="D56" s="49" t="s">
        <v>57</v>
      </c>
      <c r="E56" s="28">
        <v>69010304</v>
      </c>
      <c r="F56" s="29">
        <v>690106</v>
      </c>
      <c r="G56" s="45">
        <v>554</v>
      </c>
      <c r="H56" s="31">
        <v>448</v>
      </c>
      <c r="I56" s="63">
        <v>115</v>
      </c>
      <c r="J56" s="64">
        <v>115</v>
      </c>
      <c r="K56" s="65">
        <v>0</v>
      </c>
      <c r="L56" s="68">
        <v>0</v>
      </c>
      <c r="M56" s="31">
        <v>342</v>
      </c>
      <c r="N56" s="31">
        <v>896</v>
      </c>
      <c r="O56" s="31">
        <v>896</v>
      </c>
      <c r="P56" s="31">
        <v>1344</v>
      </c>
      <c r="Q56" s="35">
        <v>1416</v>
      </c>
      <c r="R56" s="48"/>
      <c r="S56" s="36">
        <v>112.9</v>
      </c>
      <c r="T56" s="36"/>
      <c r="U56" s="37">
        <v>10</v>
      </c>
      <c r="V56" s="38"/>
      <c r="W56" s="39">
        <f>S56*1000/39.37/Q56*31.5</f>
        <v>63.793411485128061</v>
      </c>
      <c r="X56" s="39"/>
      <c r="Y56" s="40">
        <f>(AC56+W56)/2</f>
        <v>64.876705742564027</v>
      </c>
      <c r="Z56" s="40"/>
      <c r="AA56" s="41"/>
      <c r="AB56" s="41"/>
      <c r="AC56" s="43">
        <v>65.959999999999994</v>
      </c>
      <c r="AD56" s="43"/>
    </row>
    <row r="57" spans="1:35" ht="24" customHeight="1" thickBot="1" x14ac:dyDescent="0.55000000000000004">
      <c r="A57" s="71" t="s">
        <v>117</v>
      </c>
      <c r="B57" s="246" t="s">
        <v>115</v>
      </c>
      <c r="C57" s="253" t="s">
        <v>63</v>
      </c>
      <c r="D57" s="214" t="s">
        <v>211</v>
      </c>
      <c r="E57" s="28"/>
      <c r="F57" s="29"/>
      <c r="G57" s="69">
        <v>0</v>
      </c>
      <c r="H57" s="31">
        <v>0</v>
      </c>
      <c r="I57" s="46">
        <v>115</v>
      </c>
      <c r="J57" s="32">
        <v>115</v>
      </c>
      <c r="K57" s="33">
        <f t="shared" ref="K57:L82" si="2">G57*8/100</f>
        <v>0</v>
      </c>
      <c r="L57" s="47">
        <f t="shared" si="2"/>
        <v>0</v>
      </c>
      <c r="M57" s="31">
        <v>0</v>
      </c>
      <c r="N57" s="31">
        <v>0</v>
      </c>
      <c r="O57" s="31">
        <v>0</v>
      </c>
      <c r="P57" s="82">
        <v>0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71" t="s">
        <v>119</v>
      </c>
      <c r="B58" s="246" t="s">
        <v>121</v>
      </c>
      <c r="C58" s="253" t="s">
        <v>120</v>
      </c>
      <c r="D58" s="49" t="s">
        <v>94</v>
      </c>
      <c r="E58" s="28"/>
      <c r="F58" s="29">
        <v>690107</v>
      </c>
      <c r="G58" s="45">
        <v>630</v>
      </c>
      <c r="H58" s="31">
        <v>777</v>
      </c>
      <c r="I58" s="46">
        <v>135</v>
      </c>
      <c r="J58" s="32">
        <v>135</v>
      </c>
      <c r="K58" s="33">
        <f t="shared" si="2"/>
        <v>50.4</v>
      </c>
      <c r="L58" s="47">
        <f t="shared" si="2"/>
        <v>62.16</v>
      </c>
      <c r="M58" s="31">
        <v>1003</v>
      </c>
      <c r="N58" s="31">
        <v>1633</v>
      </c>
      <c r="O58" s="31">
        <v>1633</v>
      </c>
      <c r="P58" s="240">
        <v>2410</v>
      </c>
      <c r="Q58" s="35"/>
      <c r="R58" s="48"/>
      <c r="S58" s="36"/>
      <c r="T58" s="36"/>
      <c r="U58" s="37"/>
      <c r="V58" s="38"/>
      <c r="W58" s="39"/>
      <c r="X58" s="39"/>
      <c r="Y58" s="40"/>
      <c r="Z58" s="40"/>
      <c r="AA58" s="41"/>
      <c r="AB58" s="41"/>
      <c r="AC58" s="43"/>
      <c r="AD58" s="43"/>
    </row>
    <row r="59" spans="1:35" ht="24" customHeight="1" x14ac:dyDescent="0.45">
      <c r="A59" s="71" t="s">
        <v>122</v>
      </c>
      <c r="B59" s="246" t="s">
        <v>121</v>
      </c>
      <c r="C59" s="253" t="s">
        <v>120</v>
      </c>
      <c r="D59" s="49" t="s">
        <v>57</v>
      </c>
      <c r="E59" s="28">
        <v>69010307</v>
      </c>
      <c r="F59" s="29">
        <v>690106</v>
      </c>
      <c r="G59" s="45">
        <v>765</v>
      </c>
      <c r="H59" s="31">
        <v>750</v>
      </c>
      <c r="I59" s="46">
        <v>135</v>
      </c>
      <c r="J59" s="32">
        <v>135</v>
      </c>
      <c r="K59" s="33">
        <f t="shared" si="2"/>
        <v>61.2</v>
      </c>
      <c r="L59" s="47">
        <f t="shared" si="2"/>
        <v>60</v>
      </c>
      <c r="M59" s="31">
        <v>575</v>
      </c>
      <c r="N59" s="31">
        <v>1340</v>
      </c>
      <c r="O59" s="31">
        <v>1340</v>
      </c>
      <c r="P59" s="31">
        <v>2090</v>
      </c>
      <c r="Q59" s="35">
        <v>1340</v>
      </c>
      <c r="R59" s="48"/>
      <c r="S59" s="36">
        <v>105.8</v>
      </c>
      <c r="T59" s="36"/>
      <c r="U59" s="37">
        <v>10</v>
      </c>
      <c r="V59" s="38"/>
      <c r="W59" s="39">
        <f>S59*1000/39.37/Q59*31.5</f>
        <v>63.172200971267614</v>
      </c>
      <c r="X59" s="39"/>
      <c r="Y59" s="40">
        <f t="shared" ref="Y59:Y62" si="3">(AC59+W59)/2</f>
        <v>64.486100485633813</v>
      </c>
      <c r="Z59" s="40"/>
      <c r="AA59" s="41"/>
      <c r="AB59" s="42"/>
      <c r="AC59" s="43">
        <v>65.8</v>
      </c>
      <c r="AD59" s="43"/>
      <c r="AI59" s="75"/>
    </row>
    <row r="60" spans="1:35" ht="26.25" customHeight="1" x14ac:dyDescent="0.4">
      <c r="A60" s="71" t="s">
        <v>123</v>
      </c>
      <c r="B60" s="246" t="s">
        <v>121</v>
      </c>
      <c r="C60" s="253" t="s">
        <v>120</v>
      </c>
      <c r="D60" s="49" t="s">
        <v>57</v>
      </c>
      <c r="E60" s="28">
        <v>69010308</v>
      </c>
      <c r="F60" s="29">
        <v>690106</v>
      </c>
      <c r="G60" s="45">
        <v>584</v>
      </c>
      <c r="H60" s="31">
        <v>776</v>
      </c>
      <c r="I60" s="46">
        <v>135</v>
      </c>
      <c r="J60" s="64">
        <v>135</v>
      </c>
      <c r="K60" s="65">
        <f t="shared" si="2"/>
        <v>46.72</v>
      </c>
      <c r="L60" s="68">
        <f t="shared" si="2"/>
        <v>62.08</v>
      </c>
      <c r="M60" s="31">
        <v>630</v>
      </c>
      <c r="N60" s="31">
        <v>1214</v>
      </c>
      <c r="O60" s="31">
        <v>1214</v>
      </c>
      <c r="P60" s="31">
        <v>1990</v>
      </c>
      <c r="Q60" s="35">
        <v>800</v>
      </c>
      <c r="R60" s="48"/>
      <c r="S60" s="36">
        <v>63.4</v>
      </c>
      <c r="T60" s="36"/>
      <c r="U60" s="37">
        <v>10</v>
      </c>
      <c r="V60" s="38"/>
      <c r="W60" s="39">
        <f>S60*1000/39.37/Q60*31.5</f>
        <v>63.40805181610363</v>
      </c>
      <c r="X60" s="39"/>
      <c r="Y60" s="40">
        <f t="shared" si="3"/>
        <v>64.009025908051811</v>
      </c>
      <c r="Z60" s="40"/>
      <c r="AA60" s="41"/>
      <c r="AB60" s="42"/>
      <c r="AC60" s="43">
        <v>64.61</v>
      </c>
      <c r="AD60" s="43"/>
    </row>
    <row r="61" spans="1:35" ht="24.75" customHeight="1" x14ac:dyDescent="0.4">
      <c r="A61" s="71" t="s">
        <v>124</v>
      </c>
      <c r="B61" s="246" t="s">
        <v>121</v>
      </c>
      <c r="C61" s="253" t="s">
        <v>120</v>
      </c>
      <c r="D61" s="49" t="s">
        <v>57</v>
      </c>
      <c r="E61" s="28">
        <v>69010309</v>
      </c>
      <c r="F61" s="29">
        <v>690106</v>
      </c>
      <c r="G61" s="45">
        <v>705</v>
      </c>
      <c r="H61" s="31">
        <v>706</v>
      </c>
      <c r="I61" s="46">
        <v>135</v>
      </c>
      <c r="J61" s="64">
        <v>135</v>
      </c>
      <c r="K61" s="65">
        <f t="shared" si="2"/>
        <v>56.4</v>
      </c>
      <c r="L61" s="68">
        <f t="shared" si="2"/>
        <v>56.48</v>
      </c>
      <c r="M61" s="31">
        <v>610</v>
      </c>
      <c r="N61" s="31">
        <v>1315</v>
      </c>
      <c r="O61" s="31">
        <v>1315</v>
      </c>
      <c r="P61" s="31">
        <v>2021</v>
      </c>
      <c r="Q61" s="35">
        <v>757</v>
      </c>
      <c r="R61" s="48"/>
      <c r="S61" s="36">
        <v>59.9</v>
      </c>
      <c r="T61" s="36"/>
      <c r="U61" s="37">
        <v>10</v>
      </c>
      <c r="V61" s="38"/>
      <c r="W61" s="39">
        <f>S61*1000/39.37/Q61*31.5</f>
        <v>63.310549342366862</v>
      </c>
      <c r="X61" s="39"/>
      <c r="Y61" s="40">
        <f t="shared" si="3"/>
        <v>63.91027467118343</v>
      </c>
      <c r="Z61" s="40"/>
      <c r="AA61" s="41"/>
      <c r="AB61" s="42"/>
      <c r="AC61" s="43">
        <v>64.510000000000005</v>
      </c>
      <c r="AD61" s="43"/>
    </row>
    <row r="62" spans="1:35" ht="24" customHeight="1" thickBot="1" x14ac:dyDescent="0.45">
      <c r="A62" s="71" t="s">
        <v>125</v>
      </c>
      <c r="B62" s="246" t="s">
        <v>121</v>
      </c>
      <c r="C62" s="253" t="s">
        <v>120</v>
      </c>
      <c r="D62" s="49" t="s">
        <v>43</v>
      </c>
      <c r="E62" s="28">
        <v>69010303</v>
      </c>
      <c r="F62" s="29">
        <v>690108</v>
      </c>
      <c r="G62" s="45">
        <v>712</v>
      </c>
      <c r="H62" s="31">
        <v>740</v>
      </c>
      <c r="I62" s="46">
        <v>135</v>
      </c>
      <c r="J62" s="32">
        <v>135</v>
      </c>
      <c r="K62" s="33">
        <f t="shared" si="2"/>
        <v>56.96</v>
      </c>
      <c r="L62" s="47">
        <f t="shared" si="2"/>
        <v>59.2</v>
      </c>
      <c r="M62" s="31">
        <v>1455</v>
      </c>
      <c r="N62" s="31">
        <v>700</v>
      </c>
      <c r="O62" s="31">
        <v>700</v>
      </c>
      <c r="P62" s="241">
        <v>1440</v>
      </c>
      <c r="Q62" s="35">
        <v>1467</v>
      </c>
      <c r="R62" s="48"/>
      <c r="S62" s="36">
        <v>119.4</v>
      </c>
      <c r="T62" s="36"/>
      <c r="U62" s="37">
        <v>10</v>
      </c>
      <c r="V62" s="38"/>
      <c r="W62" s="39">
        <f>S62*1000/39.37/Q62*38.5</f>
        <v>79.592020124735555</v>
      </c>
      <c r="X62" s="39"/>
      <c r="Y62" s="40">
        <f t="shared" si="3"/>
        <v>77.841010062367786</v>
      </c>
      <c r="Z62" s="40"/>
      <c r="AA62" s="41"/>
      <c r="AB62" s="42"/>
      <c r="AC62" s="43">
        <v>76.09</v>
      </c>
      <c r="AD62" s="43"/>
    </row>
    <row r="63" spans="1:35" ht="24.75" customHeight="1" x14ac:dyDescent="0.4">
      <c r="A63" s="71" t="s">
        <v>126</v>
      </c>
      <c r="B63" s="246" t="s">
        <v>232</v>
      </c>
      <c r="C63" s="253" t="s">
        <v>127</v>
      </c>
      <c r="D63" s="49" t="s">
        <v>57</v>
      </c>
      <c r="E63" s="28"/>
      <c r="F63" s="29">
        <v>690106</v>
      </c>
      <c r="G63" s="45">
        <v>0</v>
      </c>
      <c r="H63" s="31">
        <v>620</v>
      </c>
      <c r="I63" s="46">
        <v>135</v>
      </c>
      <c r="J63" s="64">
        <v>135</v>
      </c>
      <c r="K63" s="65">
        <f t="shared" si="2"/>
        <v>0</v>
      </c>
      <c r="L63" s="68">
        <f t="shared" si="2"/>
        <v>49.6</v>
      </c>
      <c r="M63" s="31">
        <v>200</v>
      </c>
      <c r="N63" s="31">
        <v>200</v>
      </c>
      <c r="O63" s="31">
        <v>200</v>
      </c>
      <c r="P63" s="242">
        <v>820</v>
      </c>
      <c r="Q63" s="35"/>
      <c r="R63" s="48"/>
      <c r="S63" s="36"/>
      <c r="T63" s="36"/>
      <c r="U63" s="37"/>
      <c r="V63" s="38"/>
      <c r="W63" s="39"/>
      <c r="X63" s="39"/>
      <c r="Y63" s="40"/>
      <c r="Z63" s="40"/>
      <c r="AA63" s="41"/>
      <c r="AB63" s="42"/>
      <c r="AC63" s="43"/>
      <c r="AD63" s="43"/>
    </row>
    <row r="64" spans="1:35" ht="24" customHeight="1" x14ac:dyDescent="0.4">
      <c r="A64" s="71" t="s">
        <v>128</v>
      </c>
      <c r="B64" s="246" t="s">
        <v>232</v>
      </c>
      <c r="C64" s="253" t="s">
        <v>127</v>
      </c>
      <c r="D64" s="49" t="s">
        <v>57</v>
      </c>
      <c r="E64" s="28"/>
      <c r="F64" s="29">
        <v>690106</v>
      </c>
      <c r="G64" s="45">
        <v>820</v>
      </c>
      <c r="H64" s="31">
        <v>930</v>
      </c>
      <c r="I64" s="46">
        <v>135</v>
      </c>
      <c r="J64" s="64">
        <v>135</v>
      </c>
      <c r="K64" s="65">
        <f t="shared" si="2"/>
        <v>65.599999999999994</v>
      </c>
      <c r="L64" s="76">
        <f t="shared" si="2"/>
        <v>74.400000000000006</v>
      </c>
      <c r="M64" s="31">
        <v>530</v>
      </c>
      <c r="N64" s="31">
        <v>1350</v>
      </c>
      <c r="O64" s="31">
        <v>1350</v>
      </c>
      <c r="P64" s="31">
        <v>2280</v>
      </c>
      <c r="Q64" s="35"/>
      <c r="R64" s="48"/>
      <c r="S64" s="36"/>
      <c r="T64" s="36"/>
      <c r="U64" s="37"/>
      <c r="V64" s="38"/>
      <c r="W64" s="39"/>
      <c r="X64" s="39"/>
      <c r="Y64" s="40"/>
      <c r="Z64" s="40"/>
      <c r="AA64" s="41"/>
      <c r="AB64" s="42"/>
      <c r="AC64" s="43"/>
      <c r="AD64" s="43"/>
    </row>
    <row r="65" spans="1:30" ht="24" customHeight="1" x14ac:dyDescent="0.4">
      <c r="A65" s="71" t="s">
        <v>129</v>
      </c>
      <c r="B65" s="246" t="s">
        <v>232</v>
      </c>
      <c r="C65" s="253" t="s">
        <v>127</v>
      </c>
      <c r="D65" s="49" t="s">
        <v>57</v>
      </c>
      <c r="E65" s="28">
        <v>69010306</v>
      </c>
      <c r="F65" s="29">
        <v>690106</v>
      </c>
      <c r="G65" s="69">
        <v>770</v>
      </c>
      <c r="H65" s="31">
        <v>650</v>
      </c>
      <c r="I65" s="46">
        <v>135</v>
      </c>
      <c r="J65" s="32">
        <v>135</v>
      </c>
      <c r="K65" s="33">
        <f t="shared" si="2"/>
        <v>61.6</v>
      </c>
      <c r="L65" s="47">
        <f t="shared" si="2"/>
        <v>52</v>
      </c>
      <c r="M65" s="31">
        <v>430</v>
      </c>
      <c r="N65" s="31">
        <v>1200</v>
      </c>
      <c r="O65" s="31">
        <v>1200</v>
      </c>
      <c r="P65" s="31">
        <v>1850</v>
      </c>
      <c r="Q65" s="35">
        <v>1370</v>
      </c>
      <c r="R65" s="48"/>
      <c r="S65" s="36">
        <v>109.8</v>
      </c>
      <c r="T65" s="36"/>
      <c r="U65" s="37">
        <v>10</v>
      </c>
      <c r="V65" s="38"/>
      <c r="W65" s="39">
        <f>S65*1000/39.37/Q65*31.5</f>
        <v>64.124931169570374</v>
      </c>
      <c r="X65" s="39"/>
      <c r="Y65" s="40">
        <f>(AC65+W65)/2</f>
        <v>65.532465584785186</v>
      </c>
      <c r="Z65" s="40"/>
      <c r="AA65" s="41"/>
      <c r="AB65" s="42"/>
      <c r="AC65" s="43">
        <v>66.94</v>
      </c>
      <c r="AD65" s="43"/>
    </row>
    <row r="66" spans="1:30" ht="24" customHeight="1" x14ac:dyDescent="0.5">
      <c r="A66" s="71" t="s">
        <v>130</v>
      </c>
      <c r="B66" s="246" t="s">
        <v>232</v>
      </c>
      <c r="C66" s="253" t="s">
        <v>127</v>
      </c>
      <c r="D66" s="214" t="s">
        <v>211</v>
      </c>
      <c r="E66" s="28"/>
      <c r="F66" s="29"/>
      <c r="G66" s="45">
        <v>0</v>
      </c>
      <c r="H66" s="31">
        <v>0</v>
      </c>
      <c r="I66" s="46">
        <v>135</v>
      </c>
      <c r="J66" s="32">
        <v>135</v>
      </c>
      <c r="K66" s="33">
        <f t="shared" si="2"/>
        <v>0</v>
      </c>
      <c r="L66" s="47">
        <f t="shared" si="2"/>
        <v>0</v>
      </c>
      <c r="M66" s="31">
        <v>0</v>
      </c>
      <c r="N66" s="31">
        <v>0</v>
      </c>
      <c r="O66" s="31">
        <v>0</v>
      </c>
      <c r="P66" s="31">
        <v>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71" t="s">
        <v>131</v>
      </c>
      <c r="B67" s="246" t="s">
        <v>232</v>
      </c>
      <c r="C67" s="253" t="s">
        <v>127</v>
      </c>
      <c r="D67" s="49" t="s">
        <v>104</v>
      </c>
      <c r="E67" s="28"/>
      <c r="F67" s="29">
        <v>690128</v>
      </c>
      <c r="G67" s="45">
        <v>580</v>
      </c>
      <c r="H67" s="31">
        <v>550</v>
      </c>
      <c r="I67" s="46">
        <v>135</v>
      </c>
      <c r="J67" s="32">
        <v>135</v>
      </c>
      <c r="K67" s="33">
        <f t="shared" si="2"/>
        <v>46.4</v>
      </c>
      <c r="L67" s="47">
        <f t="shared" si="2"/>
        <v>44</v>
      </c>
      <c r="M67" s="31">
        <v>370</v>
      </c>
      <c r="N67" s="31">
        <v>950</v>
      </c>
      <c r="O67" s="31">
        <v>950</v>
      </c>
      <c r="P67" s="31">
        <v>1500</v>
      </c>
      <c r="Q67" s="35"/>
      <c r="R67" s="48"/>
      <c r="S67" s="36"/>
      <c r="T67" s="36"/>
      <c r="U67" s="37"/>
      <c r="V67" s="38"/>
      <c r="W67" s="39"/>
      <c r="X67" s="39"/>
      <c r="Y67" s="40"/>
      <c r="Z67" s="40"/>
      <c r="AA67" s="41"/>
      <c r="AB67" s="42"/>
      <c r="AC67" s="43"/>
      <c r="AD67" s="43"/>
    </row>
    <row r="68" spans="1:30" ht="24" customHeight="1" x14ac:dyDescent="0.4">
      <c r="A68" s="71" t="s">
        <v>132</v>
      </c>
      <c r="B68" s="246" t="s">
        <v>51</v>
      </c>
      <c r="C68" s="253" t="s">
        <v>233</v>
      </c>
      <c r="D68" s="49" t="s">
        <v>47</v>
      </c>
      <c r="E68" s="28"/>
      <c r="F68" s="29">
        <v>690119</v>
      </c>
      <c r="G68" s="69">
        <v>281</v>
      </c>
      <c r="H68" s="31">
        <v>514</v>
      </c>
      <c r="I68" s="46">
        <v>130</v>
      </c>
      <c r="J68" s="32">
        <v>130</v>
      </c>
      <c r="K68" s="33">
        <f t="shared" si="2"/>
        <v>22.48</v>
      </c>
      <c r="L68" s="47">
        <f t="shared" si="2"/>
        <v>41.12</v>
      </c>
      <c r="M68" s="31">
        <v>0</v>
      </c>
      <c r="N68" s="31">
        <v>281</v>
      </c>
      <c r="O68" s="31">
        <v>281</v>
      </c>
      <c r="P68" s="31">
        <v>795</v>
      </c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customHeight="1" x14ac:dyDescent="0.4">
      <c r="A69" s="44" t="s">
        <v>133</v>
      </c>
      <c r="B69" s="246" t="s">
        <v>64</v>
      </c>
      <c r="C69" s="253"/>
      <c r="D69" s="49" t="s">
        <v>47</v>
      </c>
      <c r="E69" s="28"/>
      <c r="F69" s="29">
        <v>690119</v>
      </c>
      <c r="G69" s="69">
        <v>416</v>
      </c>
      <c r="H69" s="31">
        <v>0</v>
      </c>
      <c r="I69" s="46">
        <v>780</v>
      </c>
      <c r="J69" s="32">
        <v>780</v>
      </c>
      <c r="K69" s="33">
        <f t="shared" si="2"/>
        <v>33.28</v>
      </c>
      <c r="L69" s="47">
        <f t="shared" si="2"/>
        <v>0</v>
      </c>
      <c r="M69" s="31">
        <v>181</v>
      </c>
      <c r="N69" s="31">
        <v>597</v>
      </c>
      <c r="O69" s="31">
        <v>597</v>
      </c>
      <c r="P69" s="31">
        <v>597</v>
      </c>
      <c r="Q69" s="35"/>
      <c r="R69" s="48"/>
      <c r="S69" s="36"/>
      <c r="T69" s="36"/>
      <c r="U69" s="37"/>
      <c r="V69" s="38"/>
      <c r="W69" s="39"/>
      <c r="X69" s="39"/>
      <c r="Y69" s="40"/>
      <c r="Z69" s="40"/>
      <c r="AA69" s="41"/>
      <c r="AB69" s="42"/>
      <c r="AC69" s="43"/>
      <c r="AD69" s="43"/>
    </row>
    <row r="70" spans="1:30" ht="24" customHeight="1" thickBot="1" x14ac:dyDescent="0.45">
      <c r="A70" s="44" t="s">
        <v>134</v>
      </c>
      <c r="B70" s="246" t="s">
        <v>64</v>
      </c>
      <c r="C70" s="253"/>
      <c r="D70" s="49" t="s">
        <v>47</v>
      </c>
      <c r="E70" s="28"/>
      <c r="F70" s="29">
        <v>690119</v>
      </c>
      <c r="G70" s="45">
        <v>0</v>
      </c>
      <c r="H70" s="31">
        <v>0</v>
      </c>
      <c r="I70" s="46">
        <v>780</v>
      </c>
      <c r="J70" s="32">
        <v>780</v>
      </c>
      <c r="K70" s="33">
        <f t="shared" si="2"/>
        <v>0</v>
      </c>
      <c r="L70" s="47">
        <f t="shared" si="2"/>
        <v>0</v>
      </c>
      <c r="M70" s="31">
        <v>190</v>
      </c>
      <c r="N70" s="31">
        <v>190</v>
      </c>
      <c r="O70" s="31">
        <v>190</v>
      </c>
      <c r="P70" s="82">
        <v>190</v>
      </c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44" t="s">
        <v>135</v>
      </c>
      <c r="B71" s="246" t="s">
        <v>64</v>
      </c>
      <c r="C71" s="253" t="s">
        <v>34</v>
      </c>
      <c r="D71" s="49" t="s">
        <v>57</v>
      </c>
      <c r="E71" s="28"/>
      <c r="F71" s="29">
        <v>690106</v>
      </c>
      <c r="G71" s="45">
        <v>0</v>
      </c>
      <c r="H71" s="31">
        <v>0</v>
      </c>
      <c r="I71" s="46">
        <v>780</v>
      </c>
      <c r="J71" s="32">
        <v>780</v>
      </c>
      <c r="K71" s="33">
        <f t="shared" si="2"/>
        <v>0</v>
      </c>
      <c r="L71" s="47">
        <f t="shared" si="2"/>
        <v>0</v>
      </c>
      <c r="M71" s="31">
        <v>1373</v>
      </c>
      <c r="N71" s="31">
        <v>1373</v>
      </c>
      <c r="O71" s="31">
        <v>1373</v>
      </c>
      <c r="P71" s="240">
        <v>1373</v>
      </c>
      <c r="Q71" s="35"/>
      <c r="R71" s="48"/>
      <c r="S71" s="36"/>
      <c r="T71" s="36"/>
      <c r="U71" s="37"/>
      <c r="V71" s="38"/>
      <c r="W71" s="39"/>
      <c r="X71" s="39"/>
      <c r="Y71" s="40"/>
      <c r="Z71" s="40"/>
      <c r="AA71" s="41"/>
      <c r="AB71" s="42"/>
      <c r="AC71" s="43"/>
      <c r="AD71" s="43"/>
    </row>
    <row r="72" spans="1:30" ht="24" customHeight="1" x14ac:dyDescent="0.4">
      <c r="A72" s="44" t="s">
        <v>136</v>
      </c>
      <c r="B72" s="246" t="s">
        <v>64</v>
      </c>
      <c r="C72" s="253" t="s">
        <v>34</v>
      </c>
      <c r="D72" s="49" t="s">
        <v>71</v>
      </c>
      <c r="E72" s="28"/>
      <c r="F72" s="29">
        <v>690104</v>
      </c>
      <c r="G72" s="77">
        <v>576</v>
      </c>
      <c r="H72" s="31">
        <v>721</v>
      </c>
      <c r="I72" s="63">
        <v>780</v>
      </c>
      <c r="J72" s="64">
        <v>780</v>
      </c>
      <c r="K72" s="65">
        <f t="shared" si="2"/>
        <v>46.08</v>
      </c>
      <c r="L72" s="47">
        <f t="shared" si="2"/>
        <v>57.68</v>
      </c>
      <c r="M72" s="31">
        <v>1154</v>
      </c>
      <c r="N72" s="31">
        <v>1730</v>
      </c>
      <c r="O72" s="31">
        <v>1730</v>
      </c>
      <c r="P72" s="31">
        <v>2451</v>
      </c>
      <c r="Q72" s="35"/>
      <c r="R72" s="48"/>
      <c r="S72" s="36"/>
      <c r="T72" s="36"/>
      <c r="U72" s="37"/>
      <c r="V72" s="38"/>
      <c r="W72" s="39"/>
      <c r="X72" s="39"/>
      <c r="Y72" s="40"/>
      <c r="Z72" s="40"/>
      <c r="AA72" s="41"/>
      <c r="AB72" s="42"/>
      <c r="AC72" s="43"/>
      <c r="AD72" s="43"/>
    </row>
    <row r="73" spans="1:30" ht="24" customHeight="1" x14ac:dyDescent="0.4">
      <c r="A73" s="44" t="s">
        <v>137</v>
      </c>
      <c r="B73" s="246" t="s">
        <v>76</v>
      </c>
      <c r="C73" s="253" t="s">
        <v>34</v>
      </c>
      <c r="D73" s="49" t="s">
        <v>94</v>
      </c>
      <c r="E73" s="28"/>
      <c r="F73" s="29">
        <v>690107</v>
      </c>
      <c r="G73" s="78">
        <v>506</v>
      </c>
      <c r="H73" s="31">
        <v>688</v>
      </c>
      <c r="I73" s="63">
        <v>780</v>
      </c>
      <c r="J73" s="64">
        <v>780</v>
      </c>
      <c r="K73" s="65">
        <f t="shared" si="2"/>
        <v>40.479999999999997</v>
      </c>
      <c r="L73" s="47">
        <f t="shared" si="2"/>
        <v>55.04</v>
      </c>
      <c r="M73" s="31">
        <v>497</v>
      </c>
      <c r="N73" s="31">
        <v>1003</v>
      </c>
      <c r="O73" s="31">
        <v>1003</v>
      </c>
      <c r="P73" s="31">
        <v>1691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thickBot="1" x14ac:dyDescent="0.45">
      <c r="A74" s="44" t="s">
        <v>138</v>
      </c>
      <c r="B74" s="246" t="s">
        <v>76</v>
      </c>
      <c r="C74" s="253" t="s">
        <v>34</v>
      </c>
      <c r="D74" s="49" t="s">
        <v>94</v>
      </c>
      <c r="E74" s="28"/>
      <c r="F74" s="29">
        <v>690107</v>
      </c>
      <c r="G74" s="79">
        <v>621</v>
      </c>
      <c r="H74" s="31">
        <v>664</v>
      </c>
      <c r="I74" s="63">
        <v>780</v>
      </c>
      <c r="J74" s="64">
        <v>780</v>
      </c>
      <c r="K74" s="65">
        <f t="shared" si="2"/>
        <v>49.68</v>
      </c>
      <c r="L74" s="68">
        <f t="shared" si="2"/>
        <v>53.12</v>
      </c>
      <c r="M74" s="31">
        <v>567</v>
      </c>
      <c r="N74" s="31">
        <v>1188</v>
      </c>
      <c r="O74" s="31">
        <v>1188</v>
      </c>
      <c r="P74" s="241">
        <v>1852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44" t="s">
        <v>139</v>
      </c>
      <c r="B75" s="246" t="s">
        <v>85</v>
      </c>
      <c r="C75" s="253" t="s">
        <v>234</v>
      </c>
      <c r="D75" s="49" t="s">
        <v>140</v>
      </c>
      <c r="E75" s="28"/>
      <c r="F75" s="29">
        <v>690109</v>
      </c>
      <c r="G75" s="80">
        <v>540</v>
      </c>
      <c r="H75" s="31">
        <v>917</v>
      </c>
      <c r="I75" s="46">
        <v>800</v>
      </c>
      <c r="J75" s="32">
        <v>800</v>
      </c>
      <c r="K75" s="33">
        <f t="shared" si="2"/>
        <v>43.2</v>
      </c>
      <c r="L75" s="47">
        <f t="shared" si="2"/>
        <v>73.36</v>
      </c>
      <c r="M75" s="31">
        <v>498</v>
      </c>
      <c r="N75" s="31">
        <v>1038</v>
      </c>
      <c r="O75" s="31">
        <v>1038</v>
      </c>
      <c r="P75" s="242">
        <v>1955</v>
      </c>
      <c r="Q75" s="35"/>
      <c r="R75" s="48"/>
      <c r="S75" s="36"/>
      <c r="T75" s="36"/>
      <c r="U75" s="37"/>
      <c r="V75" s="38"/>
      <c r="W75" s="39"/>
      <c r="X75" s="39"/>
      <c r="Y75" s="40"/>
      <c r="Z75" s="40"/>
      <c r="AA75" s="41"/>
      <c r="AB75" s="42"/>
      <c r="AC75" s="43"/>
      <c r="AD75" s="43"/>
    </row>
    <row r="76" spans="1:30" ht="24" customHeight="1" x14ac:dyDescent="0.4">
      <c r="A76" s="44" t="s">
        <v>141</v>
      </c>
      <c r="B76" s="246" t="s">
        <v>85</v>
      </c>
      <c r="C76" s="253" t="s">
        <v>234</v>
      </c>
      <c r="D76" s="49" t="s">
        <v>140</v>
      </c>
      <c r="E76" s="28"/>
      <c r="F76" s="29">
        <v>690109</v>
      </c>
      <c r="G76" s="45">
        <v>860</v>
      </c>
      <c r="H76" s="31">
        <v>918</v>
      </c>
      <c r="I76" s="46">
        <v>800</v>
      </c>
      <c r="J76" s="32">
        <v>800</v>
      </c>
      <c r="K76" s="33">
        <f t="shared" si="2"/>
        <v>68.8</v>
      </c>
      <c r="L76" s="47">
        <f t="shared" si="2"/>
        <v>73.44</v>
      </c>
      <c r="M76" s="31">
        <v>306</v>
      </c>
      <c r="N76" s="31">
        <v>1166</v>
      </c>
      <c r="O76" s="31">
        <v>1166</v>
      </c>
      <c r="P76" s="31">
        <v>84</v>
      </c>
      <c r="Q76" s="35"/>
      <c r="R76" s="48"/>
      <c r="S76" s="36"/>
      <c r="T76" s="36"/>
      <c r="U76" s="37"/>
      <c r="V76" s="38"/>
      <c r="W76" s="39"/>
      <c r="X76" s="39"/>
      <c r="Y76" s="40"/>
      <c r="Z76" s="40"/>
      <c r="AA76" s="41"/>
      <c r="AB76" s="42"/>
      <c r="AC76" s="43"/>
      <c r="AD76" s="43"/>
    </row>
    <row r="77" spans="1:30" ht="24" customHeight="1" x14ac:dyDescent="0.4">
      <c r="A77" s="44" t="s">
        <v>142</v>
      </c>
      <c r="B77" s="246" t="s">
        <v>85</v>
      </c>
      <c r="C77" s="253" t="s">
        <v>234</v>
      </c>
      <c r="D77" s="49" t="s">
        <v>140</v>
      </c>
      <c r="E77" s="28"/>
      <c r="F77" s="29">
        <v>690109</v>
      </c>
      <c r="G77" s="45">
        <v>800</v>
      </c>
      <c r="H77" s="31">
        <v>820</v>
      </c>
      <c r="I77" s="46">
        <v>800</v>
      </c>
      <c r="J77" s="32">
        <v>800</v>
      </c>
      <c r="K77" s="33">
        <f t="shared" si="2"/>
        <v>64</v>
      </c>
      <c r="L77" s="47">
        <f t="shared" si="2"/>
        <v>65.599999999999994</v>
      </c>
      <c r="M77" s="31">
        <v>469</v>
      </c>
      <c r="N77" s="31">
        <v>1269</v>
      </c>
      <c r="O77" s="31">
        <v>1269</v>
      </c>
      <c r="P77" s="31">
        <v>89</v>
      </c>
      <c r="Q77" s="35"/>
      <c r="R77" s="48"/>
      <c r="S77" s="36"/>
      <c r="T77" s="36"/>
      <c r="U77" s="37"/>
      <c r="V77" s="38"/>
      <c r="W77" s="39"/>
      <c r="X77" s="39"/>
      <c r="Y77" s="40"/>
      <c r="Z77" s="40"/>
      <c r="AA77" s="41"/>
      <c r="AB77" s="42"/>
      <c r="AC77" s="43"/>
      <c r="AD77" s="43"/>
    </row>
    <row r="78" spans="1:30" ht="24" customHeight="1" x14ac:dyDescent="0.4">
      <c r="A78" s="44" t="s">
        <v>143</v>
      </c>
      <c r="B78" s="246" t="s">
        <v>85</v>
      </c>
      <c r="C78" s="253" t="s">
        <v>234</v>
      </c>
      <c r="D78" s="49" t="s">
        <v>57</v>
      </c>
      <c r="E78" s="28"/>
      <c r="F78" s="29">
        <v>690106</v>
      </c>
      <c r="G78" s="45">
        <v>801</v>
      </c>
      <c r="H78" s="31">
        <v>844</v>
      </c>
      <c r="I78" s="46">
        <v>800</v>
      </c>
      <c r="J78" s="32">
        <v>800</v>
      </c>
      <c r="K78" s="33">
        <f t="shared" si="2"/>
        <v>64.08</v>
      </c>
      <c r="L78" s="47">
        <f t="shared" si="2"/>
        <v>67.52</v>
      </c>
      <c r="M78" s="31">
        <v>372</v>
      </c>
      <c r="N78" s="31">
        <v>1173</v>
      </c>
      <c r="O78" s="31">
        <v>1173</v>
      </c>
      <c r="P78" s="31">
        <v>2017</v>
      </c>
      <c r="Q78" s="35"/>
      <c r="R78" s="48"/>
      <c r="S78" s="36"/>
      <c r="T78" s="36"/>
      <c r="U78" s="37"/>
      <c r="V78" s="38"/>
      <c r="W78" s="39"/>
      <c r="X78" s="39"/>
      <c r="Y78" s="40"/>
      <c r="Z78" s="40"/>
      <c r="AA78" s="41"/>
      <c r="AB78" s="42"/>
      <c r="AC78" s="43"/>
      <c r="AD78" s="43"/>
    </row>
    <row r="79" spans="1:30" ht="24" customHeight="1" x14ac:dyDescent="0.4">
      <c r="A79" s="44" t="s">
        <v>144</v>
      </c>
      <c r="B79" s="246" t="s">
        <v>116</v>
      </c>
      <c r="C79" s="253" t="s">
        <v>63</v>
      </c>
      <c r="D79" s="49" t="s">
        <v>140</v>
      </c>
      <c r="E79" s="28"/>
      <c r="F79" s="29">
        <v>690109</v>
      </c>
      <c r="G79" s="45">
        <v>670</v>
      </c>
      <c r="H79" s="31">
        <v>502</v>
      </c>
      <c r="I79" s="46">
        <v>800</v>
      </c>
      <c r="J79" s="32">
        <v>800</v>
      </c>
      <c r="K79" s="33">
        <f t="shared" si="2"/>
        <v>53.6</v>
      </c>
      <c r="L79" s="47">
        <f t="shared" si="2"/>
        <v>40.159999999999997</v>
      </c>
      <c r="M79" s="31">
        <v>307</v>
      </c>
      <c r="N79" s="31">
        <v>877</v>
      </c>
      <c r="O79" s="31">
        <v>877</v>
      </c>
      <c r="P79" s="31">
        <v>1379</v>
      </c>
      <c r="Q79" s="35"/>
      <c r="R79" s="48"/>
      <c r="S79" s="36"/>
      <c r="T79" s="36"/>
      <c r="U79" s="37"/>
      <c r="V79" s="38"/>
      <c r="W79" s="39"/>
      <c r="X79" s="39"/>
      <c r="Y79" s="40"/>
      <c r="Z79" s="40"/>
      <c r="AA79" s="41"/>
      <c r="AB79" s="42"/>
      <c r="AC79" s="43"/>
      <c r="AD79" s="43"/>
    </row>
    <row r="80" spans="1:30" ht="24" customHeight="1" x14ac:dyDescent="0.4">
      <c r="A80" s="44" t="s">
        <v>145</v>
      </c>
      <c r="B80" s="246" t="s">
        <v>116</v>
      </c>
      <c r="C80" s="253" t="s">
        <v>63</v>
      </c>
      <c r="D80" s="49" t="s">
        <v>140</v>
      </c>
      <c r="E80" s="28"/>
      <c r="F80" s="29">
        <v>690109</v>
      </c>
      <c r="G80" s="45">
        <v>618</v>
      </c>
      <c r="H80" s="31">
        <v>472</v>
      </c>
      <c r="I80" s="46">
        <v>800</v>
      </c>
      <c r="J80" s="32">
        <v>800</v>
      </c>
      <c r="K80" s="33">
        <f t="shared" si="2"/>
        <v>49.44</v>
      </c>
      <c r="L80" s="47">
        <f t="shared" si="2"/>
        <v>37.76</v>
      </c>
      <c r="M80" s="31">
        <v>1020</v>
      </c>
      <c r="N80" s="31">
        <v>18</v>
      </c>
      <c r="O80" s="31">
        <v>18</v>
      </c>
      <c r="P80" s="31">
        <v>490</v>
      </c>
      <c r="Q80" s="35"/>
      <c r="R80" s="48"/>
      <c r="S80" s="36"/>
      <c r="T80" s="36"/>
      <c r="U80" s="37"/>
      <c r="V80" s="38"/>
      <c r="W80" s="39"/>
      <c r="X80" s="39"/>
      <c r="Y80" s="40"/>
      <c r="Z80" s="40"/>
      <c r="AA80" s="41"/>
      <c r="AB80" s="42"/>
      <c r="AC80" s="43"/>
      <c r="AD80" s="43"/>
    </row>
    <row r="81" spans="1:34" ht="23.25" customHeight="1" x14ac:dyDescent="0.4">
      <c r="A81" s="44" t="s">
        <v>147</v>
      </c>
      <c r="B81" s="246" t="s">
        <v>116</v>
      </c>
      <c r="C81" s="253" t="s">
        <v>63</v>
      </c>
      <c r="D81" s="49" t="s">
        <v>47</v>
      </c>
      <c r="E81" s="28"/>
      <c r="F81" s="29">
        <v>690119</v>
      </c>
      <c r="G81" s="45">
        <v>620</v>
      </c>
      <c r="H81" s="31">
        <v>409</v>
      </c>
      <c r="I81" s="46">
        <v>800</v>
      </c>
      <c r="J81" s="32">
        <v>800</v>
      </c>
      <c r="K81" s="33">
        <f t="shared" si="2"/>
        <v>49.6</v>
      </c>
      <c r="L81" s="47">
        <f t="shared" si="2"/>
        <v>32.72</v>
      </c>
      <c r="M81" s="31">
        <v>509</v>
      </c>
      <c r="N81" s="31">
        <v>1129</v>
      </c>
      <c r="O81" s="31">
        <v>1129</v>
      </c>
      <c r="P81" s="31">
        <v>1538</v>
      </c>
      <c r="Q81" s="35"/>
      <c r="R81" s="48"/>
      <c r="S81" s="36"/>
      <c r="T81" s="36"/>
      <c r="U81" s="37"/>
      <c r="V81" s="38"/>
      <c r="W81" s="39"/>
      <c r="X81" s="39"/>
      <c r="Y81" s="40"/>
      <c r="Z81" s="40"/>
      <c r="AA81" s="41"/>
      <c r="AB81" s="42"/>
      <c r="AC81" s="43"/>
      <c r="AD81" s="43"/>
    </row>
    <row r="82" spans="1:34" ht="24" customHeight="1" x14ac:dyDescent="0.4">
      <c r="A82" s="44" t="s">
        <v>148</v>
      </c>
      <c r="B82" s="246" t="s">
        <v>116</v>
      </c>
      <c r="C82" s="253" t="s">
        <v>63</v>
      </c>
      <c r="D82" s="49" t="s">
        <v>47</v>
      </c>
      <c r="E82" s="28"/>
      <c r="F82" s="29">
        <v>690119</v>
      </c>
      <c r="G82" s="45">
        <v>682</v>
      </c>
      <c r="H82" s="31">
        <v>432</v>
      </c>
      <c r="I82" s="46">
        <v>800</v>
      </c>
      <c r="J82" s="32">
        <v>800</v>
      </c>
      <c r="K82" s="33">
        <f t="shared" si="2"/>
        <v>54.56</v>
      </c>
      <c r="L82" s="47">
        <f t="shared" si="2"/>
        <v>34.56</v>
      </c>
      <c r="M82" s="31">
        <v>627</v>
      </c>
      <c r="N82" s="31">
        <v>1309</v>
      </c>
      <c r="O82" s="31">
        <v>1309</v>
      </c>
      <c r="P82" s="31">
        <v>1741</v>
      </c>
      <c r="Q82" s="35"/>
      <c r="R82" s="48"/>
      <c r="S82" s="36"/>
      <c r="T82" s="36"/>
      <c r="U82" s="37"/>
      <c r="V82" s="38"/>
      <c r="W82" s="39"/>
      <c r="X82" s="39"/>
      <c r="Y82" s="40"/>
      <c r="Z82" s="40"/>
      <c r="AA82" s="41"/>
      <c r="AB82" s="42"/>
      <c r="AC82" s="43"/>
      <c r="AD82" s="43"/>
    </row>
    <row r="83" spans="1:34" ht="24" customHeight="1" x14ac:dyDescent="0.4">
      <c r="A83" s="71" t="s">
        <v>214</v>
      </c>
      <c r="B83" s="26"/>
      <c r="C83" s="254"/>
      <c r="D83" s="49" t="s">
        <v>104</v>
      </c>
      <c r="E83" s="28"/>
      <c r="F83" s="29">
        <v>690128</v>
      </c>
      <c r="G83" s="45">
        <v>0</v>
      </c>
      <c r="H83" s="31">
        <v>0</v>
      </c>
      <c r="I83" s="46">
        <v>750</v>
      </c>
      <c r="J83" s="32">
        <v>750</v>
      </c>
      <c r="K83" s="33">
        <f t="shared" ref="K83:L83" si="4">G83*8/100</f>
        <v>0</v>
      </c>
      <c r="L83" s="47">
        <f t="shared" si="4"/>
        <v>0</v>
      </c>
      <c r="M83" s="31">
        <v>230</v>
      </c>
      <c r="N83" s="31">
        <v>230</v>
      </c>
      <c r="O83" s="31">
        <v>230</v>
      </c>
      <c r="P83" s="31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71" t="s">
        <v>215</v>
      </c>
      <c r="B84" s="26"/>
      <c r="C84" s="26"/>
      <c r="D84" s="49" t="s">
        <v>104</v>
      </c>
      <c r="E84" s="28"/>
      <c r="F84" s="29">
        <v>690128</v>
      </c>
      <c r="G84" s="45">
        <v>0</v>
      </c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1">
        <v>34</v>
      </c>
      <c r="N84" s="31">
        <v>34</v>
      </c>
      <c r="O84" s="31">
        <v>34</v>
      </c>
      <c r="P84" s="31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/>
      <c r="C85" s="26"/>
      <c r="D85" s="49" t="s">
        <v>104</v>
      </c>
      <c r="E85" s="28"/>
      <c r="F85" s="29">
        <v>690128</v>
      </c>
      <c r="G85" s="45">
        <v>0</v>
      </c>
      <c r="H85" s="31">
        <v>0</v>
      </c>
      <c r="I85" s="46">
        <v>800</v>
      </c>
      <c r="J85" s="32">
        <v>800</v>
      </c>
      <c r="K85" s="33">
        <f t="shared" ref="K85:L86" si="5">G85*8/100</f>
        <v>0</v>
      </c>
      <c r="L85" s="47">
        <f t="shared" si="5"/>
        <v>0</v>
      </c>
      <c r="M85" s="81">
        <v>62</v>
      </c>
      <c r="N85" s="81">
        <v>62</v>
      </c>
      <c r="O85" s="81">
        <v>62</v>
      </c>
      <c r="P85" s="8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/>
      <c r="C86" s="26"/>
      <c r="D86" s="49"/>
      <c r="E86" s="28"/>
      <c r="F86" s="29"/>
      <c r="G86" s="45">
        <v>0</v>
      </c>
      <c r="H86" s="82">
        <v>0</v>
      </c>
      <c r="I86" s="46">
        <v>300</v>
      </c>
      <c r="J86" s="32">
        <v>300</v>
      </c>
      <c r="K86" s="33">
        <f t="shared" si="5"/>
        <v>0</v>
      </c>
      <c r="L86" s="47">
        <f t="shared" si="5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29662</v>
      </c>
      <c r="H87" s="86">
        <f>SUM(H6:H82)</f>
        <v>30966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16773</v>
      </c>
      <c r="R87" s="89">
        <f>SUM(R6:R86)</f>
        <v>0</v>
      </c>
      <c r="S87" s="90">
        <f>SUM(S6:S86)</f>
        <v>1359.6000000000001</v>
      </c>
      <c r="T87" s="91">
        <f>SUM(T6:T86)</f>
        <v>0</v>
      </c>
      <c r="U87" s="89">
        <f>SUM(U6:U86)</f>
        <v>125</v>
      </c>
      <c r="V87" s="89">
        <f>SUM(V6:V84)</f>
        <v>0</v>
      </c>
      <c r="W87" s="92">
        <f>SUM(W6:W86)</f>
        <v>962.6889869997284</v>
      </c>
      <c r="X87" s="93">
        <f>SUM(X6:X86)</f>
        <v>0</v>
      </c>
      <c r="Y87" s="94">
        <f>SUM(Y6:Y86)</f>
        <v>976.22449349986437</v>
      </c>
      <c r="Z87" s="95">
        <f>SUM(Z6:Z86)</f>
        <v>0</v>
      </c>
      <c r="AA87" s="96">
        <f>SUM(AA6:AA82)</f>
        <v>0</v>
      </c>
      <c r="AB87" s="97">
        <f>SUM(AB6:AB82)</f>
        <v>0</v>
      </c>
      <c r="AC87" s="98">
        <f>SUM(AC6:AC86)</f>
        <v>989.76</v>
      </c>
      <c r="AD87" s="98">
        <f>SUM(AD6:AD86)</f>
        <v>0</v>
      </c>
    </row>
    <row r="88" spans="1:34" ht="24" customHeight="1" thickBot="1" x14ac:dyDescent="0.45">
      <c r="A88" s="334"/>
      <c r="B88" s="83">
        <v>57</v>
      </c>
      <c r="C88" s="83">
        <v>51</v>
      </c>
      <c r="D88" s="84"/>
      <c r="E88" s="84"/>
      <c r="F88" s="84"/>
      <c r="G88" s="341">
        <f>G87+H87</f>
        <v>60628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</f>
        <v>16773</v>
      </c>
      <c r="R88" s="342"/>
      <c r="S88" s="375">
        <f>S87+T87+S133</f>
        <v>1359.6000000000001</v>
      </c>
      <c r="T88" s="376"/>
      <c r="U88" s="341">
        <f>U87+V87+U133</f>
        <v>125</v>
      </c>
      <c r="V88" s="342"/>
      <c r="W88" s="375">
        <f>W87+X87+W133</f>
        <v>962.6889869997284</v>
      </c>
      <c r="X88" s="376"/>
      <c r="Y88" s="375">
        <f>Y87+Z87+Y133</f>
        <v>976.22449349986437</v>
      </c>
      <c r="Z88" s="376"/>
      <c r="AA88" s="375">
        <f>AA87+AB87+AA133</f>
        <v>0</v>
      </c>
      <c r="AB88" s="376"/>
      <c r="AC88" s="375">
        <f>AC87+AD87+AC133</f>
        <v>989.76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213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16773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125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29662</v>
      </c>
      <c r="O91" s="108" t="s">
        <v>158</v>
      </c>
      <c r="P91" s="108"/>
      <c r="Q91" s="108" t="s">
        <v>159</v>
      </c>
      <c r="R91" s="109"/>
      <c r="S91" s="120">
        <f>H87</f>
        <v>30966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125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1.18258</v>
      </c>
      <c r="F92" s="124"/>
      <c r="G92" s="108" t="s">
        <v>162</v>
      </c>
      <c r="H92" s="125"/>
      <c r="I92" s="125"/>
      <c r="J92" s="117" t="s">
        <v>154</v>
      </c>
      <c r="K92" s="108"/>
      <c r="L92" s="108" t="s">
        <v>163</v>
      </c>
      <c r="M92" s="108"/>
      <c r="N92" s="126">
        <f>G87/B88</f>
        <v>520.38596491228066</v>
      </c>
      <c r="O92" s="108" t="s">
        <v>158</v>
      </c>
      <c r="P92" s="108"/>
      <c r="Q92" s="108" t="s">
        <v>164</v>
      </c>
      <c r="S92" s="126">
        <f>H87/C88</f>
        <v>607.17647058823525</v>
      </c>
      <c r="T92" s="108"/>
      <c r="U92" s="108" t="s">
        <v>158</v>
      </c>
      <c r="W92" s="110"/>
      <c r="X92" s="108"/>
      <c r="Y92" s="127" t="s">
        <v>165</v>
      </c>
      <c r="AA92" s="122">
        <f>V87</f>
        <v>0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167</v>
      </c>
      <c r="F93" s="129"/>
      <c r="G93" s="108" t="s">
        <v>162</v>
      </c>
      <c r="H93" s="125"/>
      <c r="I93" s="125"/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>
        <v>6411</v>
      </c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169</v>
      </c>
      <c r="F95" s="116"/>
      <c r="G95" s="108" t="s">
        <v>162</v>
      </c>
      <c r="H95" s="125"/>
      <c r="I95" s="125">
        <v>1467</v>
      </c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/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174</v>
      </c>
      <c r="F97" s="129"/>
      <c r="G97" s="108" t="s">
        <v>162</v>
      </c>
      <c r="H97" s="125"/>
      <c r="I97" s="125">
        <v>1413</v>
      </c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57</v>
      </c>
      <c r="P97" s="108" t="s">
        <v>25</v>
      </c>
      <c r="Q97" s="108"/>
      <c r="R97" s="108"/>
      <c r="S97" s="130" t="s">
        <v>177</v>
      </c>
      <c r="T97" s="138">
        <f>C88</f>
        <v>51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>
        <v>6622</v>
      </c>
      <c r="J98" s="117" t="s">
        <v>154</v>
      </c>
      <c r="K98" s="114"/>
      <c r="L98" s="114"/>
      <c r="M98" s="114"/>
      <c r="N98" s="104" t="s">
        <v>179</v>
      </c>
      <c r="O98" s="104"/>
      <c r="P98" s="140">
        <v>2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16</v>
      </c>
      <c r="Y98" s="127" t="s">
        <v>180</v>
      </c>
      <c r="Z98" s="103" t="s">
        <v>183</v>
      </c>
      <c r="AA98" s="141">
        <v>1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>
        <v>860</v>
      </c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187</v>
      </c>
      <c r="F100" s="148"/>
      <c r="G100" s="108" t="s">
        <v>162</v>
      </c>
      <c r="H100" s="125"/>
      <c r="I100" s="125"/>
      <c r="J100" s="117" t="s">
        <v>154</v>
      </c>
      <c r="K100" s="8"/>
      <c r="L100" s="149" t="s">
        <v>188</v>
      </c>
      <c r="M100" s="150"/>
      <c r="N100" s="151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189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190</v>
      </c>
      <c r="F101" s="155"/>
      <c r="G101" s="108" t="s">
        <v>162</v>
      </c>
      <c r="H101" s="125"/>
      <c r="I101" s="125"/>
      <c r="J101" s="117" t="s">
        <v>154</v>
      </c>
      <c r="K101" s="108"/>
      <c r="L101" s="149"/>
      <c r="M101" s="150"/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189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156" t="s">
        <v>191</v>
      </c>
      <c r="F102" s="157"/>
      <c r="G102" s="108" t="s">
        <v>162</v>
      </c>
      <c r="H102" s="125"/>
      <c r="I102" s="125"/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/>
      <c r="J103" s="117" t="s">
        <v>154</v>
      </c>
      <c r="K103" s="8"/>
      <c r="L103" s="149" t="s">
        <v>193</v>
      </c>
      <c r="M103" s="150" t="s">
        <v>194</v>
      </c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236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 t="s">
        <v>197</v>
      </c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198</v>
      </c>
      <c r="F105" s="155"/>
      <c r="G105" s="108" t="s">
        <v>162</v>
      </c>
      <c r="H105" s="125"/>
      <c r="I105" s="125"/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/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202</v>
      </c>
      <c r="F107" s="155"/>
      <c r="G107" s="108" t="s">
        <v>162</v>
      </c>
      <c r="H107" s="125"/>
      <c r="I107" s="125"/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 t="s">
        <v>203</v>
      </c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/>
      <c r="AB108" s="149"/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/>
      <c r="AB109" s="149"/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690134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86</v>
      </c>
      <c r="B123" s="213" t="s">
        <v>209</v>
      </c>
      <c r="C123" s="213" t="s">
        <v>210</v>
      </c>
      <c r="D123" s="214" t="s">
        <v>211</v>
      </c>
      <c r="E123" s="215"/>
      <c r="F123" s="73">
        <v>690134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690134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53</v>
      </c>
      <c r="B125" s="213" t="s">
        <v>209</v>
      </c>
      <c r="C125" s="213" t="s">
        <v>210</v>
      </c>
      <c r="D125" s="214" t="s">
        <v>211</v>
      </c>
      <c r="E125" s="215"/>
      <c r="F125" s="73">
        <v>690134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690134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690134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690134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690134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690134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690134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6">SUM(Q122:Q131)</f>
        <v>0</v>
      </c>
      <c r="R132" s="237">
        <f t="shared" si="6"/>
        <v>0</v>
      </c>
      <c r="S132" s="238">
        <f t="shared" si="6"/>
        <v>0</v>
      </c>
      <c r="T132" s="238">
        <f t="shared" si="6"/>
        <v>0</v>
      </c>
      <c r="U132" s="237">
        <f t="shared" si="6"/>
        <v>0</v>
      </c>
      <c r="V132" s="237">
        <f t="shared" si="6"/>
        <v>0</v>
      </c>
      <c r="W132" s="238">
        <f t="shared" si="6"/>
        <v>0</v>
      </c>
      <c r="X132" s="238">
        <f t="shared" si="6"/>
        <v>0</v>
      </c>
      <c r="Y132" s="95">
        <f t="shared" si="6"/>
        <v>0</v>
      </c>
      <c r="Z132" s="95">
        <f t="shared" si="6"/>
        <v>0</v>
      </c>
      <c r="AA132" s="238">
        <f t="shared" si="6"/>
        <v>0</v>
      </c>
      <c r="AB132" s="238">
        <f t="shared" si="6"/>
        <v>0</v>
      </c>
      <c r="AC132" s="98"/>
      <c r="AD132" s="98">
        <f t="shared" si="6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</sheetData>
  <autoFilter ref="A5:AD112" xr:uid="{3D257094-AFCF-44D4-9CB6-CF8FC9C29795}"/>
  <mergeCells count="73"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U4:V4"/>
    <mergeCell ref="S3:T3"/>
    <mergeCell ref="U3:V3"/>
    <mergeCell ref="W3:X3"/>
    <mergeCell ref="Y3:Z4"/>
    <mergeCell ref="E4:E5"/>
    <mergeCell ref="M4:N4"/>
    <mergeCell ref="O4:P4"/>
    <mergeCell ref="Q4:R4"/>
    <mergeCell ref="S4:T4"/>
    <mergeCell ref="A87:A88"/>
    <mergeCell ref="M87:P88"/>
    <mergeCell ref="G88:H88"/>
    <mergeCell ref="I88:J88"/>
    <mergeCell ref="K88:L88"/>
    <mergeCell ref="F114:G114"/>
    <mergeCell ref="S88:T88"/>
    <mergeCell ref="U88:V88"/>
    <mergeCell ref="W88:X88"/>
    <mergeCell ref="Y88:Z88"/>
    <mergeCell ref="E90:J90"/>
    <mergeCell ref="M112:Q112"/>
    <mergeCell ref="X112:AD112"/>
    <mergeCell ref="M113:Q113"/>
    <mergeCell ref="X113:AD113"/>
    <mergeCell ref="AA88:AB88"/>
    <mergeCell ref="AC88:AD88"/>
    <mergeCell ref="Q88:R88"/>
    <mergeCell ref="A119:A120"/>
    <mergeCell ref="B119:C120"/>
    <mergeCell ref="G119:H120"/>
    <mergeCell ref="I119:J120"/>
    <mergeCell ref="K119:L120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U119:V119"/>
    <mergeCell ref="W119:X119"/>
    <mergeCell ref="Y119:Z120"/>
    <mergeCell ref="M119:N119"/>
    <mergeCell ref="W133:X133"/>
    <mergeCell ref="Y133:Z133"/>
    <mergeCell ref="AA133:AB133"/>
    <mergeCell ref="AC133:AD133"/>
    <mergeCell ref="A132:A133"/>
    <mergeCell ref="M132:P133"/>
    <mergeCell ref="K133:L133"/>
    <mergeCell ref="Q133:R133"/>
    <mergeCell ref="S133:T133"/>
    <mergeCell ref="U133:V133"/>
  </mergeCells>
  <phoneticPr fontId="58" type="noConversion"/>
  <dataValidations count="1">
    <dataValidation type="list" allowBlank="1" showInputMessage="1" showErrorMessage="1" sqref="B10:C10 B54:C54" xr:uid="{0DE39A2F-97F8-4383-9983-E7D32E7C0FB9}">
      <formula1>#REF!</formula1>
    </dataValidation>
  </dataValidations>
  <pageMargins left="0" right="0" top="0.74803149606299213" bottom="0.74803149606299213" header="0.31496062992125984" footer="0.31496062992125984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868B-FD20-48EE-B54F-45D5B96E4130}">
  <dimension ref="A1:AL133"/>
  <sheetViews>
    <sheetView zoomScale="78" zoomScaleNormal="78" zoomScaleSheetLayoutView="70" workbookViewId="0">
      <pane xSplit="4" ySplit="5" topLeftCell="E83" activePane="bottomRight" state="frozen"/>
      <selection activeCell="M107" sqref="M107"/>
      <selection pane="topRight" activeCell="M107" sqref="M107"/>
      <selection pane="bottomLeft" activeCell="M107" sqref="M107"/>
      <selection pane="bottomRight" activeCell="E89" sqref="E89:AD115"/>
    </sheetView>
  </sheetViews>
  <sheetFormatPr defaultRowHeight="18" x14ac:dyDescent="0.4"/>
  <cols>
    <col min="1" max="1" width="6.7109375" style="1" customWidth="1"/>
    <col min="2" max="2" width="9.42578125" style="1" customWidth="1"/>
    <col min="3" max="3" width="9.28515625" style="1" customWidth="1"/>
    <col min="4" max="4" width="19.85546875" style="1" customWidth="1"/>
    <col min="5" max="5" width="17.140625" style="1" customWidth="1"/>
    <col min="6" max="6" width="9.140625" style="1" customWidth="1"/>
    <col min="7" max="8" width="9.28515625" style="1" customWidth="1"/>
    <col min="9" max="9" width="8.42578125" style="1" customWidth="1"/>
    <col min="10" max="10" width="7.7109375" style="1" customWidth="1"/>
    <col min="11" max="12" width="5.28515625" style="1" customWidth="1"/>
    <col min="13" max="13" width="9.85546875" style="1" customWidth="1"/>
    <col min="14" max="17" width="9.140625" style="1" customWidth="1"/>
    <col min="18" max="18" width="8.7109375" style="1" customWidth="1"/>
    <col min="19" max="19" width="8.85546875" style="203" customWidth="1"/>
    <col min="20" max="20" width="8.140625" style="1" customWidth="1"/>
    <col min="21" max="22" width="5.28515625" style="1" customWidth="1"/>
    <col min="23" max="23" width="9.42578125" style="204" customWidth="1"/>
    <col min="24" max="24" width="8.85546875" style="1" customWidth="1"/>
    <col min="25" max="25" width="8.85546875" style="3" customWidth="1"/>
    <col min="26" max="26" width="8.85546875" style="1" customWidth="1"/>
    <col min="27" max="27" width="9.7109375" style="1" customWidth="1"/>
    <col min="28" max="28" width="8.85546875" style="1" customWidth="1"/>
    <col min="29" max="29" width="8.42578125" style="1" customWidth="1"/>
    <col min="30" max="30" width="8.85546875" style="4" customWidth="1"/>
    <col min="31" max="31" width="10.42578125" style="1" bestFit="1" customWidth="1"/>
    <col min="32" max="16384" width="9.140625" style="1"/>
  </cols>
  <sheetData>
    <row r="1" spans="1:31" ht="45.75" customHeight="1" x14ac:dyDescent="0.4">
      <c r="A1" s="379" t="s">
        <v>212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</row>
    <row r="2" spans="1:31" ht="19.5" customHeight="1" thickBot="1" x14ac:dyDescent="0.45">
      <c r="A2" s="380" t="s">
        <v>0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"/>
    </row>
    <row r="3" spans="1:31" x14ac:dyDescent="0.4">
      <c r="A3" s="368" t="s">
        <v>1</v>
      </c>
      <c r="B3" s="349" t="s">
        <v>2</v>
      </c>
      <c r="C3" s="350"/>
      <c r="D3" s="5" t="s">
        <v>3</v>
      </c>
      <c r="E3" s="6"/>
      <c r="F3" s="7"/>
      <c r="G3" s="349" t="s">
        <v>4</v>
      </c>
      <c r="H3" s="350"/>
      <c r="I3" s="349" t="s">
        <v>5</v>
      </c>
      <c r="J3" s="350"/>
      <c r="K3" s="349" t="s">
        <v>6</v>
      </c>
      <c r="L3" s="350"/>
      <c r="M3" s="370" t="s">
        <v>7</v>
      </c>
      <c r="N3" s="371"/>
      <c r="O3" s="362" t="s">
        <v>7</v>
      </c>
      <c r="P3" s="381"/>
      <c r="Q3" s="382" t="s">
        <v>8</v>
      </c>
      <c r="R3" s="365"/>
      <c r="S3" s="349" t="s">
        <v>9</v>
      </c>
      <c r="T3" s="350"/>
      <c r="U3" s="366" t="s">
        <v>10</v>
      </c>
      <c r="V3" s="367"/>
      <c r="W3" s="349" t="s">
        <v>11</v>
      </c>
      <c r="X3" s="350"/>
      <c r="Y3" s="349" t="s">
        <v>12</v>
      </c>
      <c r="Z3" s="350"/>
      <c r="AA3" s="349" t="s">
        <v>13</v>
      </c>
      <c r="AB3" s="350"/>
      <c r="AC3" s="349" t="s">
        <v>14</v>
      </c>
      <c r="AD3" s="353"/>
    </row>
    <row r="4" spans="1:31" ht="21" x14ac:dyDescent="0.4">
      <c r="A4" s="369"/>
      <c r="B4" s="351"/>
      <c r="C4" s="352"/>
      <c r="D4" s="8" t="s">
        <v>15</v>
      </c>
      <c r="E4" s="377" t="s">
        <v>16</v>
      </c>
      <c r="F4" s="9" t="s">
        <v>17</v>
      </c>
      <c r="G4" s="351"/>
      <c r="H4" s="352"/>
      <c r="I4" s="351"/>
      <c r="J4" s="352"/>
      <c r="K4" s="351"/>
      <c r="L4" s="352"/>
      <c r="M4" s="354" t="s">
        <v>18</v>
      </c>
      <c r="N4" s="355"/>
      <c r="O4" s="356" t="s">
        <v>19</v>
      </c>
      <c r="P4" s="378"/>
      <c r="Q4" s="360" t="s">
        <v>20</v>
      </c>
      <c r="R4" s="359"/>
      <c r="S4" s="351" t="s">
        <v>21</v>
      </c>
      <c r="T4" s="352"/>
      <c r="U4" s="360" t="s">
        <v>22</v>
      </c>
      <c r="V4" s="359"/>
      <c r="W4" s="351" t="s">
        <v>23</v>
      </c>
      <c r="X4" s="352"/>
      <c r="Y4" s="351"/>
      <c r="Z4" s="352"/>
      <c r="AA4" s="351"/>
      <c r="AB4" s="352"/>
      <c r="AC4" s="351" t="s">
        <v>24</v>
      </c>
      <c r="AD4" s="361"/>
    </row>
    <row r="5" spans="1:31" ht="27" customHeight="1" thickBot="1" x14ac:dyDescent="0.45">
      <c r="A5" s="10" t="s">
        <v>25</v>
      </c>
      <c r="B5" s="11" t="s">
        <v>26</v>
      </c>
      <c r="C5" s="12" t="s">
        <v>27</v>
      </c>
      <c r="D5" s="13" t="s">
        <v>28</v>
      </c>
      <c r="E5" s="351"/>
      <c r="F5" s="12"/>
      <c r="G5" s="12" t="s">
        <v>26</v>
      </c>
      <c r="H5" s="12" t="s">
        <v>27</v>
      </c>
      <c r="I5" s="11" t="s">
        <v>26</v>
      </c>
      <c r="J5" s="12" t="s">
        <v>27</v>
      </c>
      <c r="K5" s="11" t="s">
        <v>29</v>
      </c>
      <c r="L5" s="14" t="s">
        <v>30</v>
      </c>
      <c r="M5" s="15" t="s">
        <v>31</v>
      </c>
      <c r="N5" s="16" t="s">
        <v>32</v>
      </c>
      <c r="O5" s="17" t="s">
        <v>31</v>
      </c>
      <c r="P5" s="18" t="s">
        <v>32</v>
      </c>
      <c r="Q5" s="19" t="s">
        <v>26</v>
      </c>
      <c r="R5" s="12" t="s">
        <v>27</v>
      </c>
      <c r="S5" s="20" t="s">
        <v>26</v>
      </c>
      <c r="T5" s="12" t="s">
        <v>27</v>
      </c>
      <c r="U5" s="19" t="s">
        <v>26</v>
      </c>
      <c r="V5" s="12" t="s">
        <v>27</v>
      </c>
      <c r="W5" s="21" t="s">
        <v>26</v>
      </c>
      <c r="X5" s="12" t="s">
        <v>27</v>
      </c>
      <c r="Y5" s="22" t="s">
        <v>26</v>
      </c>
      <c r="Z5" s="23" t="s">
        <v>27</v>
      </c>
      <c r="AA5" s="19" t="s">
        <v>26</v>
      </c>
      <c r="AB5" s="12" t="s">
        <v>27</v>
      </c>
      <c r="AC5" s="11" t="s">
        <v>26</v>
      </c>
      <c r="AD5" s="24" t="s">
        <v>27</v>
      </c>
    </row>
    <row r="6" spans="1:31" ht="24" customHeight="1" x14ac:dyDescent="0.5">
      <c r="A6" s="25" t="s">
        <v>33</v>
      </c>
      <c r="B6" s="246" t="s">
        <v>35</v>
      </c>
      <c r="C6" s="253"/>
      <c r="D6" s="27" t="s">
        <v>36</v>
      </c>
      <c r="E6" s="28"/>
      <c r="F6" s="29">
        <v>690126</v>
      </c>
      <c r="G6" s="30"/>
      <c r="H6" s="31">
        <v>0</v>
      </c>
      <c r="I6" s="32">
        <v>750</v>
      </c>
      <c r="J6" s="32">
        <v>750</v>
      </c>
      <c r="K6" s="33">
        <f>G6*8/100</f>
        <v>0</v>
      </c>
      <c r="L6" s="34">
        <f>H6*8/100</f>
        <v>0</v>
      </c>
      <c r="M6" s="31">
        <v>1860</v>
      </c>
      <c r="N6" s="31">
        <v>110</v>
      </c>
      <c r="O6" s="31">
        <v>110</v>
      </c>
      <c r="P6" s="31">
        <v>110</v>
      </c>
      <c r="Q6" s="35"/>
      <c r="R6" s="35"/>
      <c r="S6" s="36"/>
      <c r="T6" s="36"/>
      <c r="U6" s="37"/>
      <c r="V6" s="38"/>
      <c r="W6" s="39"/>
      <c r="X6" s="39"/>
      <c r="Y6" s="40"/>
      <c r="Z6" s="40"/>
      <c r="AA6" s="41"/>
      <c r="AB6" s="42"/>
      <c r="AC6" s="43"/>
      <c r="AD6" s="43"/>
    </row>
    <row r="7" spans="1:31" ht="24" customHeight="1" x14ac:dyDescent="0.5">
      <c r="A7" s="44" t="s">
        <v>37</v>
      </c>
      <c r="B7" s="246" t="s">
        <v>35</v>
      </c>
      <c r="C7" s="253"/>
      <c r="D7" s="27" t="s">
        <v>36</v>
      </c>
      <c r="E7" s="28"/>
      <c r="F7" s="29">
        <v>690126</v>
      </c>
      <c r="G7" s="45"/>
      <c r="H7" s="31">
        <v>0</v>
      </c>
      <c r="I7" s="46">
        <v>750</v>
      </c>
      <c r="J7" s="32">
        <v>750</v>
      </c>
      <c r="K7" s="33">
        <f t="shared" ref="K7:L38" si="0">G7*8/100</f>
        <v>0</v>
      </c>
      <c r="L7" s="47">
        <f t="shared" si="0"/>
        <v>0</v>
      </c>
      <c r="M7" s="31">
        <v>39</v>
      </c>
      <c r="N7" s="31">
        <v>309</v>
      </c>
      <c r="O7" s="31">
        <v>309</v>
      </c>
      <c r="P7" s="31">
        <v>309</v>
      </c>
      <c r="Q7" s="35"/>
      <c r="R7" s="48"/>
      <c r="S7" s="36"/>
      <c r="T7" s="36"/>
      <c r="U7" s="37"/>
      <c r="V7" s="38"/>
      <c r="W7" s="39"/>
      <c r="X7" s="39"/>
      <c r="Y7" s="40"/>
      <c r="Z7" s="40"/>
      <c r="AA7" s="41"/>
      <c r="AB7" s="42"/>
      <c r="AC7" s="43"/>
      <c r="AD7" s="43"/>
    </row>
    <row r="8" spans="1:31" ht="24" customHeight="1" x14ac:dyDescent="0.4">
      <c r="A8" s="44" t="s">
        <v>38</v>
      </c>
      <c r="B8" s="246" t="s">
        <v>35</v>
      </c>
      <c r="C8" s="253" t="s">
        <v>34</v>
      </c>
      <c r="D8" s="49" t="s">
        <v>39</v>
      </c>
      <c r="E8" s="28"/>
      <c r="F8" s="29">
        <v>690111</v>
      </c>
      <c r="G8" s="45"/>
      <c r="H8" s="31">
        <v>0</v>
      </c>
      <c r="I8" s="46">
        <v>750</v>
      </c>
      <c r="J8" s="32">
        <v>750</v>
      </c>
      <c r="K8" s="33">
        <f t="shared" si="0"/>
        <v>0</v>
      </c>
      <c r="L8" s="47">
        <f t="shared" si="0"/>
        <v>0</v>
      </c>
      <c r="M8" s="31">
        <v>2198</v>
      </c>
      <c r="N8" s="31">
        <v>223</v>
      </c>
      <c r="O8" s="31">
        <v>223</v>
      </c>
      <c r="P8" s="31">
        <v>223</v>
      </c>
      <c r="Q8" s="35"/>
      <c r="R8" s="48"/>
      <c r="S8" s="36"/>
      <c r="T8" s="36"/>
      <c r="U8" s="37"/>
      <c r="V8" s="38"/>
      <c r="W8" s="39"/>
      <c r="X8" s="39"/>
      <c r="Y8" s="40"/>
      <c r="Z8" s="40"/>
      <c r="AA8" s="41"/>
      <c r="AB8" s="42"/>
      <c r="AC8" s="43"/>
      <c r="AD8" s="43"/>
    </row>
    <row r="9" spans="1:31" ht="24" customHeight="1" x14ac:dyDescent="0.4">
      <c r="A9" s="50" t="s">
        <v>40</v>
      </c>
      <c r="B9" s="246" t="s">
        <v>42</v>
      </c>
      <c r="C9" s="253" t="s">
        <v>41</v>
      </c>
      <c r="D9" s="49" t="s">
        <v>43</v>
      </c>
      <c r="E9" s="28"/>
      <c r="F9" s="29">
        <v>690109</v>
      </c>
      <c r="G9" s="45"/>
      <c r="H9" s="31">
        <v>232</v>
      </c>
      <c r="I9" s="46">
        <v>110</v>
      </c>
      <c r="J9" s="32">
        <v>110</v>
      </c>
      <c r="K9" s="33">
        <f t="shared" si="0"/>
        <v>0</v>
      </c>
      <c r="L9" s="47">
        <f t="shared" si="0"/>
        <v>18.559999999999999</v>
      </c>
      <c r="M9" s="31">
        <v>0</v>
      </c>
      <c r="N9" s="31">
        <v>1073</v>
      </c>
      <c r="O9" s="31">
        <v>1073</v>
      </c>
      <c r="P9" s="31">
        <v>1305</v>
      </c>
      <c r="Q9" s="35"/>
      <c r="R9" s="48"/>
      <c r="S9" s="36"/>
      <c r="T9" s="36"/>
      <c r="U9" s="37"/>
      <c r="V9" s="38"/>
      <c r="W9" s="39"/>
      <c r="X9" s="39"/>
      <c r="Y9" s="40"/>
      <c r="Z9" s="40"/>
      <c r="AA9" s="41"/>
      <c r="AB9" s="42"/>
      <c r="AC9" s="43"/>
      <c r="AD9" s="43"/>
    </row>
    <row r="10" spans="1:31" ht="24" customHeight="1" x14ac:dyDescent="0.4">
      <c r="A10" s="50" t="s">
        <v>44</v>
      </c>
      <c r="B10" s="246" t="s">
        <v>46</v>
      </c>
      <c r="C10" s="253" t="s">
        <v>45</v>
      </c>
      <c r="D10" s="49" t="s">
        <v>47</v>
      </c>
      <c r="E10" s="28"/>
      <c r="F10" s="29">
        <v>690119</v>
      </c>
      <c r="G10" s="51"/>
      <c r="H10" s="31">
        <v>355</v>
      </c>
      <c r="I10" s="46">
        <v>110</v>
      </c>
      <c r="J10" s="32">
        <v>110</v>
      </c>
      <c r="K10" s="33">
        <f t="shared" si="0"/>
        <v>0</v>
      </c>
      <c r="L10" s="47">
        <f t="shared" si="0"/>
        <v>28.4</v>
      </c>
      <c r="M10" s="31">
        <v>1005</v>
      </c>
      <c r="N10" s="31">
        <v>1005</v>
      </c>
      <c r="O10" s="31">
        <v>1005</v>
      </c>
      <c r="P10" s="31">
        <v>1360</v>
      </c>
      <c r="Q10" s="35"/>
      <c r="R10" s="48"/>
      <c r="S10" s="36"/>
      <c r="T10" s="36"/>
      <c r="U10" s="37"/>
      <c r="V10" s="38"/>
      <c r="W10" s="39"/>
      <c r="X10" s="39"/>
      <c r="Y10" s="40"/>
      <c r="Z10" s="52"/>
      <c r="AA10" s="41"/>
      <c r="AB10" s="42"/>
      <c r="AC10" s="43"/>
      <c r="AD10" s="43"/>
    </row>
    <row r="11" spans="1:31" ht="23.25" customHeight="1" x14ac:dyDescent="0.4">
      <c r="A11" s="44" t="s">
        <v>48</v>
      </c>
      <c r="B11" s="246" t="s">
        <v>49</v>
      </c>
      <c r="C11" s="253" t="s">
        <v>233</v>
      </c>
      <c r="D11" s="49" t="s">
        <v>36</v>
      </c>
      <c r="E11" s="28"/>
      <c r="F11" s="29">
        <v>690126</v>
      </c>
      <c r="G11" s="45"/>
      <c r="H11" s="31">
        <v>0</v>
      </c>
      <c r="I11" s="46">
        <v>800</v>
      </c>
      <c r="J11" s="32">
        <v>800</v>
      </c>
      <c r="K11" s="33">
        <f t="shared" si="0"/>
        <v>0</v>
      </c>
      <c r="L11" s="47">
        <f>H11*8/100</f>
        <v>0</v>
      </c>
      <c r="M11" s="53">
        <v>387</v>
      </c>
      <c r="N11" s="31">
        <v>635</v>
      </c>
      <c r="O11" s="53">
        <v>635</v>
      </c>
      <c r="P11" s="53">
        <v>635</v>
      </c>
      <c r="Q11" s="35"/>
      <c r="R11" s="48"/>
      <c r="S11" s="36"/>
      <c r="T11" s="36"/>
      <c r="U11" s="37"/>
      <c r="V11" s="38"/>
      <c r="W11" s="39"/>
      <c r="X11" s="39"/>
      <c r="Y11" s="40"/>
      <c r="Z11" s="52"/>
      <c r="AA11" s="41"/>
      <c r="AB11" s="42"/>
      <c r="AC11" s="43"/>
      <c r="AD11" s="43"/>
      <c r="AE11" s="54"/>
    </row>
    <row r="12" spans="1:31" ht="27" customHeight="1" x14ac:dyDescent="0.4">
      <c r="A12" s="44" t="s">
        <v>50</v>
      </c>
      <c r="B12" s="246" t="s">
        <v>51</v>
      </c>
      <c r="C12" s="253" t="s">
        <v>233</v>
      </c>
      <c r="D12" s="49" t="s">
        <v>52</v>
      </c>
      <c r="E12" s="28"/>
      <c r="F12" s="29">
        <v>690113</v>
      </c>
      <c r="G12" s="45"/>
      <c r="H12" s="31">
        <v>0</v>
      </c>
      <c r="I12" s="46">
        <v>800</v>
      </c>
      <c r="J12" s="32">
        <v>800</v>
      </c>
      <c r="K12" s="33">
        <f t="shared" si="0"/>
        <v>0</v>
      </c>
      <c r="L12" s="47">
        <f t="shared" si="0"/>
        <v>0</v>
      </c>
      <c r="M12" s="31">
        <v>714</v>
      </c>
      <c r="N12" s="31">
        <v>934</v>
      </c>
      <c r="O12" s="31">
        <v>934</v>
      </c>
      <c r="P12" s="31">
        <v>934</v>
      </c>
      <c r="Q12" s="35"/>
      <c r="R12" s="48"/>
      <c r="S12" s="36"/>
      <c r="T12" s="36"/>
      <c r="U12" s="37"/>
      <c r="V12" s="38"/>
      <c r="W12" s="39"/>
      <c r="X12" s="39"/>
      <c r="Y12" s="40"/>
      <c r="Z12" s="40"/>
      <c r="AA12" s="41"/>
      <c r="AB12" s="42"/>
      <c r="AC12" s="43"/>
      <c r="AD12" s="43"/>
    </row>
    <row r="13" spans="1:31" ht="24" customHeight="1" x14ac:dyDescent="0.4">
      <c r="A13" s="44" t="s">
        <v>53</v>
      </c>
      <c r="B13" s="246" t="s">
        <v>51</v>
      </c>
      <c r="C13" s="253" t="s">
        <v>233</v>
      </c>
      <c r="D13" s="49" t="s">
        <v>52</v>
      </c>
      <c r="E13" s="28"/>
      <c r="F13" s="29">
        <v>690113</v>
      </c>
      <c r="G13" s="45"/>
      <c r="H13" s="31">
        <v>0</v>
      </c>
      <c r="I13" s="46">
        <v>800</v>
      </c>
      <c r="J13" s="32">
        <v>800</v>
      </c>
      <c r="K13" s="33">
        <f t="shared" si="0"/>
        <v>0</v>
      </c>
      <c r="L13" s="47">
        <f t="shared" si="0"/>
        <v>0</v>
      </c>
      <c r="M13" s="31">
        <v>1347</v>
      </c>
      <c r="N13" s="31">
        <v>171</v>
      </c>
      <c r="O13" s="31">
        <v>171</v>
      </c>
      <c r="P13" s="31">
        <v>171</v>
      </c>
      <c r="Q13" s="35"/>
      <c r="R13" s="48"/>
      <c r="S13" s="36"/>
      <c r="T13" s="36"/>
      <c r="U13" s="37"/>
      <c r="V13" s="38"/>
      <c r="W13" s="39"/>
      <c r="X13" s="39"/>
      <c r="Y13" s="40"/>
      <c r="Z13" s="40"/>
      <c r="AA13" s="41"/>
      <c r="AB13" s="42"/>
      <c r="AC13" s="43"/>
      <c r="AD13" s="43"/>
    </row>
    <row r="14" spans="1:31" ht="24" customHeight="1" x14ac:dyDescent="0.4">
      <c r="A14" s="44" t="s">
        <v>54</v>
      </c>
      <c r="B14" s="246" t="s">
        <v>51</v>
      </c>
      <c r="C14" s="253" t="s">
        <v>233</v>
      </c>
      <c r="D14" s="49" t="s">
        <v>36</v>
      </c>
      <c r="E14" s="28"/>
      <c r="F14" s="29">
        <v>690134</v>
      </c>
      <c r="G14" s="45"/>
      <c r="H14" s="31">
        <v>0</v>
      </c>
      <c r="I14" s="46">
        <v>800</v>
      </c>
      <c r="J14" s="32">
        <v>800</v>
      </c>
      <c r="K14" s="33">
        <f t="shared" si="0"/>
        <v>0</v>
      </c>
      <c r="L14" s="47">
        <f t="shared" si="0"/>
        <v>0</v>
      </c>
      <c r="M14" s="31">
        <v>1968</v>
      </c>
      <c r="N14" s="31">
        <v>142</v>
      </c>
      <c r="O14" s="31">
        <v>142</v>
      </c>
      <c r="P14" s="31">
        <v>142</v>
      </c>
      <c r="Q14" s="35"/>
      <c r="R14" s="48"/>
      <c r="S14" s="36"/>
      <c r="T14" s="36"/>
      <c r="U14" s="37"/>
      <c r="V14" s="38"/>
      <c r="W14" s="39"/>
      <c r="X14" s="39"/>
      <c r="Y14" s="40"/>
      <c r="Z14" s="40"/>
      <c r="AA14" s="41"/>
      <c r="AB14" s="42"/>
      <c r="AC14" s="43"/>
      <c r="AD14" s="43"/>
    </row>
    <row r="15" spans="1:31" ht="24" customHeight="1" x14ac:dyDescent="0.4">
      <c r="A15" s="44" t="s">
        <v>55</v>
      </c>
      <c r="B15" s="246" t="s">
        <v>51</v>
      </c>
      <c r="C15" s="253" t="s">
        <v>233</v>
      </c>
      <c r="D15" s="49" t="s">
        <v>47</v>
      </c>
      <c r="E15" s="28"/>
      <c r="F15" s="29">
        <v>690119</v>
      </c>
      <c r="G15" s="55"/>
      <c r="H15" s="31">
        <v>0</v>
      </c>
      <c r="I15" s="46">
        <v>800</v>
      </c>
      <c r="J15" s="32">
        <v>800</v>
      </c>
      <c r="K15" s="33">
        <f t="shared" si="0"/>
        <v>0</v>
      </c>
      <c r="L15" s="47">
        <f t="shared" si="0"/>
        <v>0</v>
      </c>
      <c r="M15" s="31">
        <v>0</v>
      </c>
      <c r="N15" s="31">
        <v>0</v>
      </c>
      <c r="O15" s="31">
        <v>0</v>
      </c>
      <c r="P15" s="31">
        <v>0</v>
      </c>
      <c r="Q15" s="35"/>
      <c r="R15" s="48"/>
      <c r="S15" s="36"/>
      <c r="T15" s="36"/>
      <c r="U15" s="37"/>
      <c r="V15" s="38"/>
      <c r="W15" s="39"/>
      <c r="X15" s="39"/>
      <c r="Y15" s="40"/>
      <c r="Z15" s="40"/>
      <c r="AA15" s="41"/>
      <c r="AB15" s="42"/>
      <c r="AC15" s="43"/>
      <c r="AD15" s="43"/>
    </row>
    <row r="16" spans="1:31" ht="24" customHeight="1" x14ac:dyDescent="0.4">
      <c r="A16" s="44" t="s">
        <v>56</v>
      </c>
      <c r="B16" s="246" t="s">
        <v>51</v>
      </c>
      <c r="C16" s="253" t="s">
        <v>233</v>
      </c>
      <c r="D16" s="49" t="s">
        <v>57</v>
      </c>
      <c r="E16" s="28"/>
      <c r="F16" s="29">
        <v>690106</v>
      </c>
      <c r="G16" s="55"/>
      <c r="H16" s="31">
        <v>0</v>
      </c>
      <c r="I16" s="46">
        <v>800</v>
      </c>
      <c r="J16" s="32">
        <v>800</v>
      </c>
      <c r="K16" s="33">
        <f t="shared" si="0"/>
        <v>0</v>
      </c>
      <c r="L16" s="47">
        <f t="shared" si="0"/>
        <v>0</v>
      </c>
      <c r="M16" s="31">
        <v>89</v>
      </c>
      <c r="N16" s="31">
        <v>139</v>
      </c>
      <c r="O16" s="31">
        <v>139</v>
      </c>
      <c r="P16" s="31">
        <v>139</v>
      </c>
      <c r="Q16" s="35"/>
      <c r="R16" s="48"/>
      <c r="S16" s="36"/>
      <c r="T16" s="36"/>
      <c r="U16" s="37"/>
      <c r="V16" s="38"/>
      <c r="W16" s="39"/>
      <c r="X16" s="39"/>
      <c r="Y16" s="40"/>
      <c r="Z16" s="52"/>
      <c r="AA16" s="41"/>
      <c r="AB16" s="42"/>
      <c r="AC16" s="43"/>
      <c r="AD16" s="43"/>
    </row>
    <row r="17" spans="1:35" ht="24" customHeight="1" x14ac:dyDescent="0.4">
      <c r="A17" s="44" t="s">
        <v>58</v>
      </c>
      <c r="B17" s="246" t="s">
        <v>51</v>
      </c>
      <c r="C17" s="253" t="s">
        <v>233</v>
      </c>
      <c r="D17" s="49" t="s">
        <v>59</v>
      </c>
      <c r="E17" s="28"/>
      <c r="F17" s="29">
        <v>690106</v>
      </c>
      <c r="G17" s="55"/>
      <c r="H17" s="31">
        <v>0</v>
      </c>
      <c r="I17" s="46">
        <v>800</v>
      </c>
      <c r="J17" s="32">
        <v>800</v>
      </c>
      <c r="K17" s="33">
        <f t="shared" si="0"/>
        <v>0</v>
      </c>
      <c r="L17" s="47">
        <f t="shared" si="0"/>
        <v>0</v>
      </c>
      <c r="M17" s="31">
        <v>1100</v>
      </c>
      <c r="N17" s="31">
        <v>1325</v>
      </c>
      <c r="O17" s="31">
        <v>1325</v>
      </c>
      <c r="P17" s="31">
        <v>1325</v>
      </c>
      <c r="Q17" s="35"/>
      <c r="R17" s="48"/>
      <c r="S17" s="36"/>
      <c r="T17" s="36"/>
      <c r="U17" s="37"/>
      <c r="V17" s="38"/>
      <c r="W17" s="39"/>
      <c r="X17" s="39"/>
      <c r="Y17" s="40"/>
      <c r="Z17" s="40"/>
      <c r="AA17" s="41"/>
      <c r="AB17" s="42"/>
      <c r="AC17" s="43"/>
      <c r="AD17" s="43"/>
    </row>
    <row r="18" spans="1:35" ht="24" customHeight="1" x14ac:dyDescent="0.4">
      <c r="A18" s="44" t="s">
        <v>60</v>
      </c>
      <c r="B18" s="246" t="s">
        <v>51</v>
      </c>
      <c r="C18" s="253" t="s">
        <v>233</v>
      </c>
      <c r="D18" s="49" t="s">
        <v>61</v>
      </c>
      <c r="E18" s="28"/>
      <c r="F18" s="29">
        <v>690106</v>
      </c>
      <c r="G18" s="55"/>
      <c r="H18" s="31">
        <v>0</v>
      </c>
      <c r="I18" s="46">
        <v>800</v>
      </c>
      <c r="J18" s="32">
        <v>800</v>
      </c>
      <c r="K18" s="33">
        <f t="shared" si="0"/>
        <v>0</v>
      </c>
      <c r="L18" s="47">
        <f t="shared" si="0"/>
        <v>0</v>
      </c>
      <c r="M18" s="31">
        <v>707</v>
      </c>
      <c r="N18" s="31">
        <v>888</v>
      </c>
      <c r="O18" s="31">
        <v>888</v>
      </c>
      <c r="P18" s="31">
        <v>888</v>
      </c>
      <c r="Q18" s="35"/>
      <c r="R18" s="48"/>
      <c r="S18" s="36"/>
      <c r="T18" s="36"/>
      <c r="U18" s="37"/>
      <c r="V18" s="38"/>
      <c r="W18" s="39"/>
      <c r="X18" s="39"/>
      <c r="Y18" s="40"/>
      <c r="Z18" s="40"/>
      <c r="AA18" s="41"/>
      <c r="AB18" s="42"/>
      <c r="AC18" s="43"/>
      <c r="AD18" s="43"/>
    </row>
    <row r="19" spans="1:35" ht="24" customHeight="1" x14ac:dyDescent="0.4">
      <c r="A19" s="44" t="s">
        <v>62</v>
      </c>
      <c r="B19" s="246" t="s">
        <v>35</v>
      </c>
      <c r="C19" s="253" t="s">
        <v>34</v>
      </c>
      <c r="D19" s="49" t="s">
        <v>65</v>
      </c>
      <c r="E19" s="28"/>
      <c r="F19" s="29">
        <v>690112</v>
      </c>
      <c r="G19" s="45"/>
      <c r="H19" s="31">
        <v>0</v>
      </c>
      <c r="I19" s="46">
        <v>750</v>
      </c>
      <c r="J19" s="32">
        <v>750</v>
      </c>
      <c r="K19" s="33">
        <f t="shared" si="0"/>
        <v>0</v>
      </c>
      <c r="L19" s="47">
        <f t="shared" si="0"/>
        <v>0</v>
      </c>
      <c r="M19" s="31">
        <v>600</v>
      </c>
      <c r="N19" s="31">
        <v>1100</v>
      </c>
      <c r="O19" s="31">
        <v>1100</v>
      </c>
      <c r="P19" s="31">
        <v>1100</v>
      </c>
      <c r="Q19" s="35"/>
      <c r="R19" s="48"/>
      <c r="S19" s="36"/>
      <c r="T19" s="36"/>
      <c r="U19" s="37"/>
      <c r="V19" s="38"/>
      <c r="W19" s="39"/>
      <c r="X19" s="39"/>
      <c r="Y19" s="40"/>
      <c r="Z19" s="40"/>
      <c r="AA19" s="41"/>
      <c r="AB19" s="42"/>
      <c r="AC19" s="43"/>
      <c r="AD19" s="43"/>
      <c r="AF19" s="54"/>
    </row>
    <row r="20" spans="1:35" ht="24" customHeight="1" x14ac:dyDescent="0.4">
      <c r="A20" s="44" t="s">
        <v>66</v>
      </c>
      <c r="B20" s="246" t="s">
        <v>35</v>
      </c>
      <c r="C20" s="253" t="s">
        <v>34</v>
      </c>
      <c r="D20" s="49" t="s">
        <v>47</v>
      </c>
      <c r="E20" s="28"/>
      <c r="F20" s="29">
        <v>690119</v>
      </c>
      <c r="G20" s="45"/>
      <c r="H20" s="31">
        <v>0</v>
      </c>
      <c r="I20" s="46">
        <v>750</v>
      </c>
      <c r="J20" s="32">
        <v>750</v>
      </c>
      <c r="K20" s="33">
        <f t="shared" si="0"/>
        <v>0</v>
      </c>
      <c r="L20" s="47">
        <f t="shared" si="0"/>
        <v>0</v>
      </c>
      <c r="M20" s="31">
        <v>2110</v>
      </c>
      <c r="N20" s="31">
        <v>0</v>
      </c>
      <c r="O20" s="31">
        <v>0</v>
      </c>
      <c r="P20" s="31">
        <v>0</v>
      </c>
      <c r="Q20" s="35"/>
      <c r="R20" s="48"/>
      <c r="S20" s="36"/>
      <c r="T20" s="36"/>
      <c r="U20" s="37"/>
      <c r="V20" s="38"/>
      <c r="W20" s="39"/>
      <c r="X20" s="39"/>
      <c r="Y20" s="40"/>
      <c r="Z20" s="40"/>
      <c r="AA20" s="41"/>
      <c r="AB20" s="42"/>
      <c r="AC20" s="43"/>
      <c r="AD20" s="43"/>
    </row>
    <row r="21" spans="1:35" ht="24" customHeight="1" thickBot="1" x14ac:dyDescent="0.45">
      <c r="A21" s="44" t="s">
        <v>67</v>
      </c>
      <c r="B21" s="246" t="s">
        <v>35</v>
      </c>
      <c r="C21" s="253" t="s">
        <v>34</v>
      </c>
      <c r="D21" s="49" t="s">
        <v>47</v>
      </c>
      <c r="E21" s="28"/>
      <c r="F21" s="29">
        <v>690119</v>
      </c>
      <c r="G21" s="45"/>
      <c r="H21" s="31">
        <v>0</v>
      </c>
      <c r="I21" s="46">
        <v>750</v>
      </c>
      <c r="J21" s="32">
        <v>750</v>
      </c>
      <c r="K21" s="33">
        <f t="shared" si="0"/>
        <v>0</v>
      </c>
      <c r="L21" s="47">
        <f t="shared" si="0"/>
        <v>0</v>
      </c>
      <c r="M21" s="31">
        <v>2449</v>
      </c>
      <c r="N21" s="31">
        <v>509</v>
      </c>
      <c r="O21" s="82">
        <v>509</v>
      </c>
      <c r="P21" s="31">
        <v>509</v>
      </c>
      <c r="Q21" s="35"/>
      <c r="R21" s="48"/>
      <c r="S21" s="36"/>
      <c r="T21" s="36"/>
      <c r="U21" s="37"/>
      <c r="V21" s="38"/>
      <c r="W21" s="39"/>
      <c r="X21" s="39"/>
      <c r="Y21" s="40"/>
      <c r="Z21" s="40"/>
      <c r="AA21" s="41"/>
      <c r="AB21" s="42"/>
      <c r="AC21" s="43"/>
      <c r="AD21" s="43"/>
    </row>
    <row r="22" spans="1:35" ht="26.25" customHeight="1" x14ac:dyDescent="0.4">
      <c r="A22" s="44" t="s">
        <v>68</v>
      </c>
      <c r="B22" s="246" t="s">
        <v>42</v>
      </c>
      <c r="C22" s="253" t="s">
        <v>41</v>
      </c>
      <c r="D22" s="49" t="s">
        <v>59</v>
      </c>
      <c r="E22" s="28"/>
      <c r="F22" s="29">
        <v>690112</v>
      </c>
      <c r="G22" s="45"/>
      <c r="H22" s="31">
        <v>180</v>
      </c>
      <c r="I22" s="46">
        <v>750</v>
      </c>
      <c r="J22" s="32">
        <v>750</v>
      </c>
      <c r="K22" s="33">
        <f t="shared" si="0"/>
        <v>0</v>
      </c>
      <c r="L22" s="47">
        <f t="shared" si="0"/>
        <v>14.4</v>
      </c>
      <c r="M22" s="31">
        <v>1005</v>
      </c>
      <c r="N22" s="31">
        <v>1485</v>
      </c>
      <c r="O22" s="240">
        <v>1485</v>
      </c>
      <c r="P22" s="31">
        <v>1665</v>
      </c>
      <c r="Q22" s="35"/>
      <c r="R22" s="48"/>
      <c r="S22" s="36"/>
      <c r="T22" s="36"/>
      <c r="U22" s="37"/>
      <c r="V22" s="38"/>
      <c r="W22" s="39"/>
      <c r="X22" s="39"/>
      <c r="Y22" s="40"/>
      <c r="Z22" s="40"/>
      <c r="AA22" s="41"/>
      <c r="AB22" s="42"/>
      <c r="AC22" s="43"/>
      <c r="AD22" s="43"/>
    </row>
    <row r="23" spans="1:35" ht="24" customHeight="1" x14ac:dyDescent="0.4">
      <c r="A23" s="44" t="s">
        <v>70</v>
      </c>
      <c r="B23" s="246" t="s">
        <v>42</v>
      </c>
      <c r="C23" s="253" t="s">
        <v>41</v>
      </c>
      <c r="D23" s="49" t="s">
        <v>71</v>
      </c>
      <c r="E23" s="28"/>
      <c r="F23" s="29">
        <v>690104</v>
      </c>
      <c r="G23" s="45"/>
      <c r="H23" s="31">
        <v>615</v>
      </c>
      <c r="I23" s="46">
        <v>750</v>
      </c>
      <c r="J23" s="32">
        <v>750</v>
      </c>
      <c r="K23" s="33">
        <f t="shared" si="0"/>
        <v>0</v>
      </c>
      <c r="L23" s="47">
        <f t="shared" si="0"/>
        <v>49.2</v>
      </c>
      <c r="M23" s="31">
        <v>908</v>
      </c>
      <c r="N23" s="31">
        <v>1349</v>
      </c>
      <c r="O23" s="31">
        <v>1349</v>
      </c>
      <c r="P23" s="31">
        <v>1964</v>
      </c>
      <c r="Q23" s="35"/>
      <c r="R23" s="48"/>
      <c r="S23" s="36"/>
      <c r="T23" s="36"/>
      <c r="U23" s="37"/>
      <c r="V23" s="38"/>
      <c r="W23" s="39"/>
      <c r="X23" s="39"/>
      <c r="Y23" s="40"/>
      <c r="Z23" s="40"/>
      <c r="AA23" s="41"/>
      <c r="AB23" s="42"/>
      <c r="AC23" s="43"/>
      <c r="AD23" s="43"/>
    </row>
    <row r="24" spans="1:35" ht="24" customHeight="1" x14ac:dyDescent="0.5">
      <c r="A24" s="44" t="s">
        <v>72</v>
      </c>
      <c r="B24" s="246" t="s">
        <v>42</v>
      </c>
      <c r="C24" s="253" t="s">
        <v>41</v>
      </c>
      <c r="D24" s="27" t="s">
        <v>36</v>
      </c>
      <c r="E24" s="28"/>
      <c r="F24" s="29">
        <v>690126</v>
      </c>
      <c r="G24" s="45"/>
      <c r="H24" s="31">
        <v>185</v>
      </c>
      <c r="I24" s="46">
        <v>750</v>
      </c>
      <c r="J24" s="32">
        <v>750</v>
      </c>
      <c r="K24" s="33">
        <f t="shared" si="0"/>
        <v>0</v>
      </c>
      <c r="L24" s="47">
        <f t="shared" si="0"/>
        <v>14.8</v>
      </c>
      <c r="M24" s="31">
        <v>500</v>
      </c>
      <c r="N24" s="31">
        <v>866</v>
      </c>
      <c r="O24" s="31">
        <v>0</v>
      </c>
      <c r="P24" s="31">
        <v>185</v>
      </c>
      <c r="Q24" s="35"/>
      <c r="R24" s="48"/>
      <c r="S24" s="36"/>
      <c r="T24" s="36"/>
      <c r="U24" s="37"/>
      <c r="V24" s="38"/>
      <c r="W24" s="39"/>
      <c r="X24" s="39"/>
      <c r="Y24" s="40"/>
      <c r="Z24" s="40"/>
      <c r="AA24" s="41"/>
      <c r="AB24" s="42"/>
      <c r="AC24" s="43"/>
      <c r="AD24" s="43"/>
    </row>
    <row r="25" spans="1:35" ht="24" customHeight="1" thickBot="1" x14ac:dyDescent="0.55000000000000004">
      <c r="A25" s="44" t="s">
        <v>73</v>
      </c>
      <c r="B25" s="246" t="s">
        <v>42</v>
      </c>
      <c r="C25" s="253" t="s">
        <v>41</v>
      </c>
      <c r="D25" s="27" t="s">
        <v>36</v>
      </c>
      <c r="E25" s="28"/>
      <c r="F25" s="29">
        <v>690126</v>
      </c>
      <c r="G25" s="45"/>
      <c r="H25" s="31">
        <v>431</v>
      </c>
      <c r="I25" s="46">
        <v>750</v>
      </c>
      <c r="J25" s="32">
        <v>750</v>
      </c>
      <c r="K25" s="33">
        <f t="shared" si="0"/>
        <v>0</v>
      </c>
      <c r="L25" s="47">
        <f t="shared" si="0"/>
        <v>34.479999999999997</v>
      </c>
      <c r="M25" s="31">
        <v>318</v>
      </c>
      <c r="N25" s="31">
        <v>749</v>
      </c>
      <c r="O25" s="241">
        <v>749</v>
      </c>
      <c r="P25" s="31">
        <v>1180</v>
      </c>
      <c r="Q25" s="35"/>
      <c r="R25" s="48"/>
      <c r="S25" s="36"/>
      <c r="T25" s="36"/>
      <c r="U25" s="37"/>
      <c r="V25" s="38"/>
      <c r="W25" s="39"/>
      <c r="X25" s="39"/>
      <c r="Y25" s="40"/>
      <c r="Z25" s="40"/>
      <c r="AA25" s="41"/>
      <c r="AB25" s="42"/>
      <c r="AC25" s="43"/>
      <c r="AD25" s="43"/>
      <c r="AF25" s="54"/>
    </row>
    <row r="26" spans="1:35" ht="22.5" customHeight="1" x14ac:dyDescent="0.4">
      <c r="A26" s="44" t="s">
        <v>74</v>
      </c>
      <c r="B26" s="246" t="s">
        <v>76</v>
      </c>
      <c r="C26" s="253" t="s">
        <v>75</v>
      </c>
      <c r="D26" s="49" t="s">
        <v>47</v>
      </c>
      <c r="E26" s="28"/>
      <c r="F26" s="29">
        <v>690119</v>
      </c>
      <c r="G26" s="55"/>
      <c r="H26" s="31">
        <v>0</v>
      </c>
      <c r="I26" s="46">
        <v>800</v>
      </c>
      <c r="J26" s="32">
        <v>800</v>
      </c>
      <c r="K26" s="33">
        <f t="shared" si="0"/>
        <v>0</v>
      </c>
      <c r="L26" s="47">
        <f t="shared" si="0"/>
        <v>0</v>
      </c>
      <c r="M26" s="31">
        <v>1612</v>
      </c>
      <c r="N26" s="31">
        <v>1612</v>
      </c>
      <c r="O26" s="242">
        <v>1612</v>
      </c>
      <c r="P26" s="31">
        <v>1612</v>
      </c>
      <c r="Q26" s="35"/>
      <c r="R26" s="35"/>
      <c r="S26" s="36"/>
      <c r="T26" s="36"/>
      <c r="U26" s="37"/>
      <c r="V26" s="38"/>
      <c r="W26" s="39"/>
      <c r="X26" s="39"/>
      <c r="Y26" s="40"/>
      <c r="Z26" s="40"/>
      <c r="AA26" s="41"/>
      <c r="AB26" s="42"/>
      <c r="AC26" s="43"/>
      <c r="AD26" s="43"/>
    </row>
    <row r="27" spans="1:35" ht="22.5" customHeight="1" x14ac:dyDescent="0.4">
      <c r="A27" s="44" t="s">
        <v>77</v>
      </c>
      <c r="B27" s="246" t="s">
        <v>76</v>
      </c>
      <c r="C27" s="253" t="s">
        <v>75</v>
      </c>
      <c r="D27" s="49" t="s">
        <v>59</v>
      </c>
      <c r="E27" s="28"/>
      <c r="F27" s="29">
        <v>690112</v>
      </c>
      <c r="G27" s="55"/>
      <c r="H27" s="31">
        <v>0</v>
      </c>
      <c r="I27" s="46">
        <v>800</v>
      </c>
      <c r="J27" s="32">
        <v>800</v>
      </c>
      <c r="K27" s="33">
        <f t="shared" si="0"/>
        <v>0</v>
      </c>
      <c r="L27" s="47">
        <f t="shared" si="0"/>
        <v>0</v>
      </c>
      <c r="M27" s="31">
        <v>1389</v>
      </c>
      <c r="N27" s="31">
        <v>1389</v>
      </c>
      <c r="O27" s="31">
        <v>1389</v>
      </c>
      <c r="P27" s="31">
        <v>1389</v>
      </c>
      <c r="Q27" s="35"/>
      <c r="R27" s="56"/>
      <c r="S27" s="57"/>
      <c r="T27" s="57"/>
      <c r="U27" s="58"/>
      <c r="V27" s="59"/>
      <c r="W27" s="39"/>
      <c r="X27" s="39"/>
      <c r="Y27" s="40"/>
      <c r="Z27" s="40"/>
      <c r="AA27" s="41"/>
      <c r="AB27" s="42"/>
      <c r="AC27" s="43"/>
      <c r="AD27" s="43"/>
    </row>
    <row r="28" spans="1:35" ht="24" customHeight="1" x14ac:dyDescent="0.4">
      <c r="A28" s="44" t="s">
        <v>78</v>
      </c>
      <c r="B28" s="246" t="s">
        <v>76</v>
      </c>
      <c r="C28" s="253" t="s">
        <v>75</v>
      </c>
      <c r="D28" s="49" t="s">
        <v>65</v>
      </c>
      <c r="E28" s="28"/>
      <c r="F28" s="29">
        <v>690112</v>
      </c>
      <c r="G28" s="45"/>
      <c r="H28" s="31">
        <v>0</v>
      </c>
      <c r="I28" s="46">
        <v>800</v>
      </c>
      <c r="J28" s="32">
        <v>800</v>
      </c>
      <c r="K28" s="33">
        <f t="shared" si="0"/>
        <v>0</v>
      </c>
      <c r="L28" s="47">
        <f t="shared" si="0"/>
        <v>0</v>
      </c>
      <c r="M28" s="31">
        <v>60</v>
      </c>
      <c r="N28" s="31">
        <v>60</v>
      </c>
      <c r="O28" s="31">
        <v>60</v>
      </c>
      <c r="P28" s="31">
        <v>60</v>
      </c>
      <c r="Q28" s="35"/>
      <c r="R28" s="48"/>
      <c r="S28" s="36"/>
      <c r="T28" s="36"/>
      <c r="U28" s="37"/>
      <c r="V28" s="38"/>
      <c r="W28" s="39"/>
      <c r="X28" s="39"/>
      <c r="Y28" s="40"/>
      <c r="Z28" s="40"/>
      <c r="AA28" s="41"/>
      <c r="AB28" s="42"/>
      <c r="AC28" s="43"/>
      <c r="AD28" s="43"/>
      <c r="AF28" s="54"/>
    </row>
    <row r="29" spans="1:35" ht="23.25" customHeight="1" x14ac:dyDescent="0.4">
      <c r="A29" s="44" t="s">
        <v>79</v>
      </c>
      <c r="B29" s="246" t="s">
        <v>76</v>
      </c>
      <c r="C29" s="253" t="s">
        <v>75</v>
      </c>
      <c r="D29" s="49" t="s">
        <v>47</v>
      </c>
      <c r="E29" s="28"/>
      <c r="F29" s="29">
        <v>690119</v>
      </c>
      <c r="G29" s="45"/>
      <c r="H29" s="31">
        <v>0</v>
      </c>
      <c r="I29" s="46">
        <v>800</v>
      </c>
      <c r="J29" s="32">
        <v>800</v>
      </c>
      <c r="K29" s="33">
        <f t="shared" si="0"/>
        <v>0</v>
      </c>
      <c r="L29" s="47">
        <f t="shared" si="0"/>
        <v>0</v>
      </c>
      <c r="M29" s="31">
        <v>57</v>
      </c>
      <c r="N29" s="31">
        <v>791</v>
      </c>
      <c r="O29" s="31">
        <v>791</v>
      </c>
      <c r="P29" s="31">
        <v>791</v>
      </c>
      <c r="Q29" s="35"/>
      <c r="R29" s="48"/>
      <c r="S29" s="36"/>
      <c r="T29" s="36"/>
      <c r="U29" s="37"/>
      <c r="V29" s="38"/>
      <c r="W29" s="39"/>
      <c r="X29" s="39"/>
      <c r="Y29" s="40"/>
      <c r="Z29" s="40"/>
      <c r="AA29" s="41"/>
      <c r="AB29" s="42"/>
      <c r="AC29" s="43"/>
      <c r="AD29" s="43"/>
    </row>
    <row r="30" spans="1:35" ht="24" customHeight="1" x14ac:dyDescent="0.4">
      <c r="A30" s="44" t="s">
        <v>80</v>
      </c>
      <c r="B30" s="246"/>
      <c r="C30" s="253" t="s">
        <v>75</v>
      </c>
      <c r="D30" s="49" t="s">
        <v>43</v>
      </c>
      <c r="E30" s="28"/>
      <c r="F30" s="29">
        <v>690108</v>
      </c>
      <c r="G30" s="45"/>
      <c r="H30" s="31">
        <v>0</v>
      </c>
      <c r="I30" s="46">
        <v>800</v>
      </c>
      <c r="J30" s="32">
        <v>800</v>
      </c>
      <c r="K30" s="33">
        <f t="shared" si="0"/>
        <v>0</v>
      </c>
      <c r="L30" s="47">
        <f t="shared" si="0"/>
        <v>0</v>
      </c>
      <c r="M30" s="31">
        <v>1720</v>
      </c>
      <c r="N30" s="31">
        <v>262</v>
      </c>
      <c r="O30" s="31">
        <v>262</v>
      </c>
      <c r="P30" s="31">
        <v>262</v>
      </c>
      <c r="Q30" s="35"/>
      <c r="R30" s="35"/>
      <c r="S30" s="36"/>
      <c r="T30" s="36"/>
      <c r="U30" s="37"/>
      <c r="V30" s="38"/>
      <c r="W30" s="39"/>
      <c r="X30" s="39"/>
      <c r="Y30" s="40"/>
      <c r="Z30" s="40"/>
      <c r="AA30" s="41"/>
      <c r="AB30" s="42"/>
      <c r="AC30" s="43"/>
      <c r="AD30" s="43"/>
    </row>
    <row r="31" spans="1:35" ht="24" customHeight="1" x14ac:dyDescent="0.4">
      <c r="A31" s="50" t="s">
        <v>81</v>
      </c>
      <c r="B31" s="247"/>
      <c r="C31" s="253"/>
      <c r="D31" s="49" t="s">
        <v>47</v>
      </c>
      <c r="E31" s="28"/>
      <c r="F31" s="29">
        <v>690119</v>
      </c>
      <c r="G31" s="60"/>
      <c r="H31" s="31">
        <v>0</v>
      </c>
      <c r="I31" s="46">
        <v>100</v>
      </c>
      <c r="J31" s="32">
        <v>100</v>
      </c>
      <c r="K31" s="33">
        <f t="shared" si="0"/>
        <v>0</v>
      </c>
      <c r="L31" s="47">
        <f t="shared" si="0"/>
        <v>0</v>
      </c>
      <c r="M31" s="31">
        <v>0</v>
      </c>
      <c r="N31" s="31">
        <v>0</v>
      </c>
      <c r="O31" s="31">
        <v>0</v>
      </c>
      <c r="P31" s="31">
        <v>0</v>
      </c>
      <c r="Q31" s="61"/>
      <c r="R31" s="48"/>
      <c r="S31" s="36"/>
      <c r="T31" s="36"/>
      <c r="U31" s="37"/>
      <c r="V31" s="38"/>
      <c r="W31" s="62"/>
      <c r="X31" s="39"/>
      <c r="Y31" s="40"/>
      <c r="Z31" s="40"/>
      <c r="AA31" s="41"/>
      <c r="AB31" s="42"/>
      <c r="AC31" s="43"/>
      <c r="AD31" s="43"/>
      <c r="AI31" s="1" t="s">
        <v>0</v>
      </c>
    </row>
    <row r="32" spans="1:35" ht="24" customHeight="1" x14ac:dyDescent="0.4">
      <c r="A32" s="50" t="s">
        <v>82</v>
      </c>
      <c r="B32" s="247"/>
      <c r="C32" s="253"/>
      <c r="D32" s="49" t="s">
        <v>47</v>
      </c>
      <c r="E32" s="28"/>
      <c r="F32" s="29">
        <v>690119</v>
      </c>
      <c r="G32" s="60"/>
      <c r="H32" s="31">
        <v>0</v>
      </c>
      <c r="I32" s="46">
        <v>100</v>
      </c>
      <c r="J32" s="32">
        <v>100</v>
      </c>
      <c r="K32" s="33">
        <f t="shared" si="0"/>
        <v>0</v>
      </c>
      <c r="L32" s="47">
        <f t="shared" si="0"/>
        <v>0</v>
      </c>
      <c r="M32" s="31">
        <v>570</v>
      </c>
      <c r="N32" s="31">
        <v>570</v>
      </c>
      <c r="O32" s="31">
        <v>570</v>
      </c>
      <c r="P32" s="31">
        <v>570</v>
      </c>
      <c r="Q32" s="35"/>
      <c r="R32" s="48"/>
      <c r="S32" s="36"/>
      <c r="T32" s="36"/>
      <c r="U32" s="37"/>
      <c r="V32" s="38"/>
      <c r="W32" s="39"/>
      <c r="X32" s="39"/>
      <c r="Y32" s="40"/>
      <c r="Z32" s="40"/>
      <c r="AA32" s="41"/>
      <c r="AB32" s="42"/>
      <c r="AC32" s="43"/>
      <c r="AD32" s="43"/>
    </row>
    <row r="33" spans="1:38" ht="24" customHeight="1" x14ac:dyDescent="0.4">
      <c r="A33" s="50" t="s">
        <v>83</v>
      </c>
      <c r="B33" s="247" t="s">
        <v>85</v>
      </c>
      <c r="C33" s="253" t="s">
        <v>234</v>
      </c>
      <c r="D33" s="49" t="s">
        <v>47</v>
      </c>
      <c r="E33" s="28"/>
      <c r="F33" s="29">
        <v>690119</v>
      </c>
      <c r="G33" s="60"/>
      <c r="H33" s="31">
        <v>0</v>
      </c>
      <c r="I33" s="63">
        <v>100</v>
      </c>
      <c r="J33" s="64">
        <v>100</v>
      </c>
      <c r="K33" s="65">
        <f t="shared" si="0"/>
        <v>0</v>
      </c>
      <c r="L33" s="47">
        <f t="shared" si="0"/>
        <v>0</v>
      </c>
      <c r="M33" s="31">
        <v>700</v>
      </c>
      <c r="N33" s="31">
        <v>700</v>
      </c>
      <c r="O33" s="31">
        <v>700</v>
      </c>
      <c r="P33" s="31">
        <v>700</v>
      </c>
      <c r="Q33" s="35"/>
      <c r="R33" s="48"/>
      <c r="S33" s="36"/>
      <c r="T33" s="36"/>
      <c r="U33" s="37"/>
      <c r="V33" s="38"/>
      <c r="W33" s="39"/>
      <c r="X33" s="39"/>
      <c r="Y33" s="40"/>
      <c r="Z33" s="40"/>
      <c r="AA33" s="41"/>
      <c r="AB33" s="42"/>
      <c r="AC33" s="43"/>
      <c r="AD33" s="43"/>
    </row>
    <row r="34" spans="1:38" ht="24.75" customHeight="1" x14ac:dyDescent="0.4">
      <c r="A34" s="50" t="s">
        <v>84</v>
      </c>
      <c r="B34" s="246" t="s">
        <v>85</v>
      </c>
      <c r="C34" s="253" t="s">
        <v>234</v>
      </c>
      <c r="D34" s="49" t="s">
        <v>47</v>
      </c>
      <c r="E34" s="28"/>
      <c r="F34" s="29">
        <v>690119</v>
      </c>
      <c r="G34" s="60"/>
      <c r="H34" s="31">
        <v>0</v>
      </c>
      <c r="I34" s="46">
        <v>110</v>
      </c>
      <c r="J34" s="32">
        <v>110</v>
      </c>
      <c r="K34" s="33">
        <f t="shared" si="0"/>
        <v>0</v>
      </c>
      <c r="L34" s="47">
        <f t="shared" si="0"/>
        <v>0</v>
      </c>
      <c r="M34" s="31">
        <v>1735</v>
      </c>
      <c r="N34" s="31">
        <v>131</v>
      </c>
      <c r="O34" s="31">
        <v>131</v>
      </c>
      <c r="P34" s="31">
        <v>131</v>
      </c>
      <c r="Q34" s="35"/>
      <c r="R34" s="48"/>
      <c r="S34" s="36"/>
      <c r="T34" s="36"/>
      <c r="U34" s="37"/>
      <c r="V34" s="38"/>
      <c r="W34" s="39"/>
      <c r="X34" s="39"/>
      <c r="Y34" s="40"/>
      <c r="Z34" s="40"/>
      <c r="AA34" s="41"/>
      <c r="AB34" s="42"/>
      <c r="AC34" s="43"/>
      <c r="AD34" s="43"/>
    </row>
    <row r="35" spans="1:38" ht="24" customHeight="1" x14ac:dyDescent="0.5">
      <c r="A35" s="50" t="s">
        <v>86</v>
      </c>
      <c r="B35" s="246" t="s">
        <v>85</v>
      </c>
      <c r="C35" s="253" t="s">
        <v>234</v>
      </c>
      <c r="D35" s="66" t="s">
        <v>87</v>
      </c>
      <c r="E35" s="28"/>
      <c r="F35" s="29"/>
      <c r="G35" s="45"/>
      <c r="H35" s="31">
        <v>0</v>
      </c>
      <c r="I35" s="46">
        <v>110</v>
      </c>
      <c r="J35" s="32">
        <v>110</v>
      </c>
      <c r="K35" s="33">
        <f t="shared" si="0"/>
        <v>0</v>
      </c>
      <c r="L35" s="47">
        <f t="shared" si="0"/>
        <v>0</v>
      </c>
      <c r="M35" s="31">
        <v>0</v>
      </c>
      <c r="N35" s="31">
        <v>0</v>
      </c>
      <c r="O35" s="31">
        <v>0</v>
      </c>
      <c r="P35" s="31">
        <v>0</v>
      </c>
      <c r="Q35" s="35"/>
      <c r="R35" s="48"/>
      <c r="S35" s="36"/>
      <c r="T35" s="36"/>
      <c r="U35" s="37"/>
      <c r="V35" s="37"/>
      <c r="W35" s="39"/>
      <c r="X35" s="39"/>
      <c r="Y35" s="40"/>
      <c r="Z35" s="40"/>
      <c r="AA35" s="41"/>
      <c r="AB35" s="42"/>
      <c r="AC35" s="43"/>
      <c r="AD35" s="43"/>
    </row>
    <row r="36" spans="1:38" ht="24" customHeight="1" x14ac:dyDescent="0.4">
      <c r="A36" s="50" t="s">
        <v>88</v>
      </c>
      <c r="B36" s="246" t="s">
        <v>90</v>
      </c>
      <c r="C36" s="253" t="s">
        <v>69</v>
      </c>
      <c r="D36" s="49" t="s">
        <v>57</v>
      </c>
      <c r="E36" s="28"/>
      <c r="F36" s="29">
        <v>690106</v>
      </c>
      <c r="G36" s="45"/>
      <c r="H36" s="31">
        <v>0</v>
      </c>
      <c r="I36" s="46">
        <v>115</v>
      </c>
      <c r="J36" s="32">
        <v>115</v>
      </c>
      <c r="K36" s="33">
        <f t="shared" si="0"/>
        <v>0</v>
      </c>
      <c r="L36" s="47">
        <f t="shared" si="0"/>
        <v>0</v>
      </c>
      <c r="M36" s="31">
        <v>1050</v>
      </c>
      <c r="N36" s="31">
        <v>1548</v>
      </c>
      <c r="O36" s="31">
        <v>1548</v>
      </c>
      <c r="P36" s="31">
        <v>1548</v>
      </c>
      <c r="Q36" s="35"/>
      <c r="R36" s="48"/>
      <c r="S36" s="36"/>
      <c r="T36" s="36"/>
      <c r="U36" s="37"/>
      <c r="V36" s="38"/>
      <c r="W36" s="39"/>
      <c r="X36" s="39"/>
      <c r="Y36" s="40"/>
      <c r="Z36" s="40"/>
      <c r="AA36" s="41"/>
      <c r="AB36" s="42"/>
      <c r="AC36" s="43"/>
      <c r="AD36" s="43"/>
      <c r="AF36" s="54"/>
    </row>
    <row r="37" spans="1:38" ht="24" customHeight="1" x14ac:dyDescent="0.4">
      <c r="A37" s="50" t="s">
        <v>91</v>
      </c>
      <c r="B37" s="246" t="s">
        <v>90</v>
      </c>
      <c r="C37" s="253" t="s">
        <v>69</v>
      </c>
      <c r="D37" s="49" t="s">
        <v>57</v>
      </c>
      <c r="E37" s="28"/>
      <c r="F37" s="29">
        <v>690106</v>
      </c>
      <c r="G37" s="45"/>
      <c r="H37" s="31">
        <v>0</v>
      </c>
      <c r="I37" s="46">
        <v>115</v>
      </c>
      <c r="J37" s="32">
        <v>115</v>
      </c>
      <c r="K37" s="33">
        <f t="shared" si="0"/>
        <v>0</v>
      </c>
      <c r="L37" s="47">
        <f t="shared" si="0"/>
        <v>0</v>
      </c>
      <c r="M37" s="31">
        <v>1451</v>
      </c>
      <c r="N37" s="31">
        <v>174</v>
      </c>
      <c r="O37" s="31">
        <v>174</v>
      </c>
      <c r="P37" s="31">
        <v>174</v>
      </c>
      <c r="Q37" s="35"/>
      <c r="R37" s="67"/>
      <c r="S37" s="36"/>
      <c r="T37" s="36"/>
      <c r="U37" s="37"/>
      <c r="V37" s="37"/>
      <c r="W37" s="39"/>
      <c r="X37" s="39"/>
      <c r="Y37" s="40"/>
      <c r="Z37" s="40"/>
      <c r="AA37" s="41"/>
      <c r="AB37" s="42"/>
      <c r="AC37" s="43"/>
      <c r="AD37" s="43"/>
      <c r="AF37" s="54"/>
    </row>
    <row r="38" spans="1:38" ht="24" customHeight="1" x14ac:dyDescent="0.4">
      <c r="A38" s="50" t="s">
        <v>92</v>
      </c>
      <c r="B38" s="246" t="s">
        <v>97</v>
      </c>
      <c r="C38" s="253" t="s">
        <v>69</v>
      </c>
      <c r="D38" s="49" t="s">
        <v>57</v>
      </c>
      <c r="E38" s="28"/>
      <c r="F38" s="29">
        <v>690106</v>
      </c>
      <c r="G38" s="45"/>
      <c r="H38" s="31">
        <v>331</v>
      </c>
      <c r="I38" s="46">
        <v>115</v>
      </c>
      <c r="J38" s="32">
        <v>115</v>
      </c>
      <c r="K38" s="33">
        <f t="shared" si="0"/>
        <v>0</v>
      </c>
      <c r="L38" s="47">
        <f t="shared" si="0"/>
        <v>26.48</v>
      </c>
      <c r="M38" s="31">
        <v>1272</v>
      </c>
      <c r="N38" s="31">
        <v>129</v>
      </c>
      <c r="O38" s="31">
        <v>129</v>
      </c>
      <c r="P38" s="31">
        <v>460</v>
      </c>
      <c r="Q38" s="35"/>
      <c r="R38" s="67"/>
      <c r="S38" s="36"/>
      <c r="T38" s="36"/>
      <c r="U38" s="37"/>
      <c r="V38" s="37"/>
      <c r="W38" s="39"/>
      <c r="X38" s="39"/>
      <c r="Y38" s="40"/>
      <c r="Z38" s="40"/>
      <c r="AA38" s="41"/>
      <c r="AB38" s="42"/>
      <c r="AC38" s="43"/>
      <c r="AD38" s="43"/>
    </row>
    <row r="39" spans="1:38" ht="24" customHeight="1" x14ac:dyDescent="0.4">
      <c r="A39" s="50" t="s">
        <v>93</v>
      </c>
      <c r="B39" s="246" t="s">
        <v>97</v>
      </c>
      <c r="C39" s="253" t="s">
        <v>69</v>
      </c>
      <c r="D39" s="49" t="s">
        <v>94</v>
      </c>
      <c r="E39" s="28"/>
      <c r="F39" s="29">
        <v>690107</v>
      </c>
      <c r="G39" s="45"/>
      <c r="H39" s="31">
        <v>307</v>
      </c>
      <c r="I39" s="63">
        <v>115</v>
      </c>
      <c r="J39" s="64">
        <v>115</v>
      </c>
      <c r="K39" s="65">
        <f t="shared" ref="K39:L55" si="1">G39*8/100</f>
        <v>0</v>
      </c>
      <c r="L39" s="68">
        <f t="shared" si="1"/>
        <v>24.56</v>
      </c>
      <c r="M39" s="31">
        <v>2061</v>
      </c>
      <c r="N39" s="31">
        <v>300</v>
      </c>
      <c r="O39" s="31">
        <v>300</v>
      </c>
      <c r="P39" s="31">
        <v>607</v>
      </c>
      <c r="Q39" s="35"/>
      <c r="R39" s="67"/>
      <c r="S39" s="36"/>
      <c r="T39" s="36"/>
      <c r="U39" s="37"/>
      <c r="V39" s="37"/>
      <c r="W39" s="39"/>
      <c r="X39" s="39"/>
      <c r="Y39" s="40"/>
      <c r="Z39" s="40"/>
      <c r="AA39" s="41"/>
      <c r="AB39" s="42"/>
      <c r="AC39" s="43"/>
      <c r="AD39" s="43"/>
    </row>
    <row r="40" spans="1:38" ht="24" customHeight="1" x14ac:dyDescent="0.4">
      <c r="A40" s="50" t="s">
        <v>95</v>
      </c>
      <c r="B40" s="246" t="s">
        <v>97</v>
      </c>
      <c r="C40" s="253" t="s">
        <v>69</v>
      </c>
      <c r="D40" s="49" t="s">
        <v>57</v>
      </c>
      <c r="E40" s="28"/>
      <c r="F40" s="29">
        <v>690106</v>
      </c>
      <c r="G40" s="45"/>
      <c r="H40" s="31">
        <v>329</v>
      </c>
      <c r="I40" s="63">
        <v>115</v>
      </c>
      <c r="J40" s="64">
        <v>115</v>
      </c>
      <c r="K40" s="65">
        <f t="shared" si="1"/>
        <v>0</v>
      </c>
      <c r="L40" s="68">
        <f t="shared" si="1"/>
        <v>26.32</v>
      </c>
      <c r="M40" s="31">
        <v>246</v>
      </c>
      <c r="N40" s="31">
        <v>713</v>
      </c>
      <c r="O40" s="31">
        <v>713</v>
      </c>
      <c r="P40" s="31">
        <v>314</v>
      </c>
      <c r="Q40" s="35"/>
      <c r="R40" s="67"/>
      <c r="S40" s="36"/>
      <c r="T40" s="36"/>
      <c r="U40" s="37"/>
      <c r="V40" s="37"/>
      <c r="W40" s="39"/>
      <c r="X40" s="39"/>
      <c r="Y40" s="40"/>
      <c r="Z40" s="40"/>
      <c r="AA40" s="41"/>
      <c r="AB40" s="42"/>
      <c r="AC40" s="43"/>
      <c r="AD40" s="43"/>
      <c r="AL40" s="1">
        <v>32</v>
      </c>
    </row>
    <row r="41" spans="1:38" ht="24" customHeight="1" x14ac:dyDescent="0.4">
      <c r="A41" s="50" t="s">
        <v>96</v>
      </c>
      <c r="B41" s="246" t="s">
        <v>97</v>
      </c>
      <c r="C41" s="253" t="s">
        <v>69</v>
      </c>
      <c r="D41" s="49" t="s">
        <v>47</v>
      </c>
      <c r="E41" s="28"/>
      <c r="F41" s="29">
        <v>690119</v>
      </c>
      <c r="G41" s="45"/>
      <c r="H41" s="31">
        <v>0</v>
      </c>
      <c r="I41" s="46">
        <v>120</v>
      </c>
      <c r="J41" s="32">
        <v>120</v>
      </c>
      <c r="K41" s="33">
        <f t="shared" si="1"/>
        <v>0</v>
      </c>
      <c r="L41" s="47">
        <f t="shared" si="1"/>
        <v>0</v>
      </c>
      <c r="M41" s="31">
        <v>725</v>
      </c>
      <c r="N41" s="31">
        <v>725</v>
      </c>
      <c r="O41" s="31">
        <v>725</v>
      </c>
      <c r="P41" s="31">
        <v>725</v>
      </c>
      <c r="Q41" s="35"/>
      <c r="R41" s="48"/>
      <c r="S41" s="36"/>
      <c r="T41" s="36"/>
      <c r="U41" s="37"/>
      <c r="V41" s="38"/>
      <c r="W41" s="39"/>
      <c r="X41" s="39"/>
      <c r="Y41" s="40"/>
      <c r="Z41" s="40"/>
      <c r="AA41" s="41"/>
      <c r="AB41" s="42"/>
      <c r="AC41" s="43"/>
      <c r="AD41" s="43"/>
    </row>
    <row r="42" spans="1:38" ht="23.25" customHeight="1" x14ac:dyDescent="0.4">
      <c r="A42" s="50" t="s">
        <v>98</v>
      </c>
      <c r="B42" s="246" t="s">
        <v>97</v>
      </c>
      <c r="C42" s="253" t="s">
        <v>69</v>
      </c>
      <c r="D42" s="49" t="s">
        <v>47</v>
      </c>
      <c r="E42" s="28"/>
      <c r="F42" s="29">
        <v>690119</v>
      </c>
      <c r="G42" s="45"/>
      <c r="H42" s="31">
        <v>0</v>
      </c>
      <c r="I42" s="46">
        <v>120</v>
      </c>
      <c r="J42" s="32">
        <v>120</v>
      </c>
      <c r="K42" s="33">
        <f t="shared" si="1"/>
        <v>0</v>
      </c>
      <c r="L42" s="47">
        <f t="shared" si="1"/>
        <v>0</v>
      </c>
      <c r="M42" s="31">
        <v>0</v>
      </c>
      <c r="N42" s="31">
        <v>530</v>
      </c>
      <c r="O42" s="31">
        <v>530</v>
      </c>
      <c r="P42" s="31">
        <v>530</v>
      </c>
      <c r="Q42" s="35"/>
      <c r="R42" s="48"/>
      <c r="S42" s="36"/>
      <c r="T42" s="36"/>
      <c r="U42" s="37"/>
      <c r="V42" s="38"/>
      <c r="W42" s="39"/>
      <c r="X42" s="39"/>
      <c r="Y42" s="40"/>
      <c r="Z42" s="40"/>
      <c r="AA42" s="41"/>
      <c r="AB42" s="42"/>
      <c r="AC42" s="43"/>
      <c r="AD42" s="43"/>
    </row>
    <row r="43" spans="1:38" ht="24" customHeight="1" x14ac:dyDescent="0.4">
      <c r="A43" s="50" t="s">
        <v>99</v>
      </c>
      <c r="B43" s="246" t="s">
        <v>97</v>
      </c>
      <c r="C43" s="253" t="s">
        <v>69</v>
      </c>
      <c r="D43" s="49" t="s">
        <v>47</v>
      </c>
      <c r="E43" s="28"/>
      <c r="F43" s="29">
        <v>690119</v>
      </c>
      <c r="G43" s="45"/>
      <c r="H43" s="31">
        <v>0</v>
      </c>
      <c r="I43" s="46">
        <v>120</v>
      </c>
      <c r="J43" s="32">
        <v>120</v>
      </c>
      <c r="K43" s="33">
        <f t="shared" si="1"/>
        <v>0</v>
      </c>
      <c r="L43" s="47">
        <f t="shared" si="1"/>
        <v>0</v>
      </c>
      <c r="M43" s="31">
        <v>640</v>
      </c>
      <c r="N43" s="31">
        <v>1132</v>
      </c>
      <c r="O43" s="31">
        <v>1132</v>
      </c>
      <c r="P43" s="31">
        <v>1132</v>
      </c>
      <c r="Q43" s="35"/>
      <c r="R43" s="48"/>
      <c r="S43" s="36"/>
      <c r="T43" s="36"/>
      <c r="U43" s="37"/>
      <c r="V43" s="38"/>
      <c r="W43" s="39"/>
      <c r="X43" s="39"/>
      <c r="Y43" s="40"/>
      <c r="Z43" s="40"/>
      <c r="AA43" s="41"/>
      <c r="AB43" s="42"/>
      <c r="AC43" s="43"/>
      <c r="AD43" s="43"/>
    </row>
    <row r="44" spans="1:38" ht="24" customHeight="1" x14ac:dyDescent="0.4">
      <c r="A44" s="50" t="s">
        <v>100</v>
      </c>
      <c r="B44" s="246" t="s">
        <v>97</v>
      </c>
      <c r="C44" s="253" t="s">
        <v>69</v>
      </c>
      <c r="D44" s="49" t="s">
        <v>101</v>
      </c>
      <c r="E44" s="28"/>
      <c r="F44" s="29">
        <v>690128</v>
      </c>
      <c r="G44" s="69"/>
      <c r="H44" s="31">
        <v>189</v>
      </c>
      <c r="I44" s="46">
        <v>120</v>
      </c>
      <c r="J44" s="32">
        <v>120</v>
      </c>
      <c r="K44" s="33">
        <f t="shared" si="1"/>
        <v>0</v>
      </c>
      <c r="L44" s="47">
        <f t="shared" si="1"/>
        <v>15.12</v>
      </c>
      <c r="M44" s="31">
        <v>108</v>
      </c>
      <c r="N44" s="31">
        <v>521</v>
      </c>
      <c r="O44" s="31">
        <v>0</v>
      </c>
      <c r="P44" s="31">
        <v>189</v>
      </c>
      <c r="Q44" s="35"/>
      <c r="R44" s="48"/>
      <c r="S44" s="36"/>
      <c r="T44" s="36"/>
      <c r="U44" s="37"/>
      <c r="V44" s="38"/>
      <c r="W44" s="39"/>
      <c r="X44" s="39"/>
      <c r="Y44" s="40"/>
      <c r="Z44" s="40"/>
      <c r="AA44" s="41"/>
      <c r="AB44" s="42"/>
      <c r="AC44" s="43"/>
      <c r="AD44" s="43"/>
    </row>
    <row r="45" spans="1:38" ht="23.25" customHeight="1" thickBot="1" x14ac:dyDescent="0.45">
      <c r="A45" s="50" t="s">
        <v>102</v>
      </c>
      <c r="B45" s="246" t="s">
        <v>97</v>
      </c>
      <c r="C45" s="253" t="s">
        <v>69</v>
      </c>
      <c r="D45" s="49" t="s">
        <v>47</v>
      </c>
      <c r="E45" s="28"/>
      <c r="F45" s="29">
        <v>690119</v>
      </c>
      <c r="G45" s="45"/>
      <c r="H45" s="31">
        <v>0</v>
      </c>
      <c r="I45" s="63">
        <v>120</v>
      </c>
      <c r="J45" s="64">
        <v>120</v>
      </c>
      <c r="K45" s="65">
        <f t="shared" si="1"/>
        <v>0</v>
      </c>
      <c r="L45" s="68">
        <f t="shared" si="1"/>
        <v>0</v>
      </c>
      <c r="M45" s="31">
        <v>0</v>
      </c>
      <c r="N45" s="31">
        <v>521</v>
      </c>
      <c r="O45" s="82">
        <v>521</v>
      </c>
      <c r="P45" s="31">
        <v>521</v>
      </c>
      <c r="Q45" s="35"/>
      <c r="R45" s="48"/>
      <c r="S45" s="36"/>
      <c r="T45" s="36"/>
      <c r="U45" s="37"/>
      <c r="V45" s="38"/>
      <c r="W45" s="39"/>
      <c r="X45" s="39"/>
      <c r="Y45" s="40"/>
      <c r="Z45" s="40"/>
      <c r="AA45" s="41"/>
      <c r="AB45" s="42"/>
      <c r="AC45" s="43"/>
      <c r="AD45" s="43"/>
      <c r="AE45" s="70"/>
    </row>
    <row r="46" spans="1:38" ht="21.75" customHeight="1" x14ac:dyDescent="0.4">
      <c r="A46" s="71" t="s">
        <v>103</v>
      </c>
      <c r="B46" s="246" t="s">
        <v>90</v>
      </c>
      <c r="C46" s="253" t="s">
        <v>89</v>
      </c>
      <c r="D46" s="49" t="s">
        <v>104</v>
      </c>
      <c r="E46" s="28"/>
      <c r="F46" s="29">
        <v>690128</v>
      </c>
      <c r="G46" s="45"/>
      <c r="H46" s="31">
        <v>444</v>
      </c>
      <c r="I46" s="46">
        <v>650</v>
      </c>
      <c r="J46" s="32">
        <v>650</v>
      </c>
      <c r="K46" s="33">
        <f t="shared" si="1"/>
        <v>0</v>
      </c>
      <c r="L46" s="47">
        <f t="shared" si="1"/>
        <v>35.520000000000003</v>
      </c>
      <c r="M46" s="31">
        <v>0</v>
      </c>
      <c r="N46" s="31">
        <v>0</v>
      </c>
      <c r="O46" s="240">
        <v>0</v>
      </c>
      <c r="P46" s="31">
        <v>444</v>
      </c>
      <c r="Q46" s="35"/>
      <c r="R46" s="48"/>
      <c r="S46" s="36"/>
      <c r="T46" s="36"/>
      <c r="U46" s="37"/>
      <c r="V46" s="38"/>
      <c r="W46" s="39"/>
      <c r="X46" s="39"/>
      <c r="Y46" s="40"/>
      <c r="Z46" s="40"/>
      <c r="AA46" s="41"/>
      <c r="AB46" s="42"/>
      <c r="AC46" s="43"/>
      <c r="AD46" s="43"/>
      <c r="AE46" s="72"/>
    </row>
    <row r="47" spans="1:38" ht="20.25" customHeight="1" x14ac:dyDescent="0.4">
      <c r="A47" s="71" t="s">
        <v>105</v>
      </c>
      <c r="B47" s="246" t="s">
        <v>90</v>
      </c>
      <c r="C47" s="253" t="s">
        <v>89</v>
      </c>
      <c r="D47" s="49" t="s">
        <v>104</v>
      </c>
      <c r="E47" s="28"/>
      <c r="F47" s="29">
        <v>690128</v>
      </c>
      <c r="G47" s="45"/>
      <c r="H47" s="31">
        <v>369</v>
      </c>
      <c r="I47" s="63">
        <v>650</v>
      </c>
      <c r="J47" s="64">
        <v>650</v>
      </c>
      <c r="K47" s="65">
        <f t="shared" si="1"/>
        <v>0</v>
      </c>
      <c r="L47" s="68">
        <f t="shared" si="1"/>
        <v>29.52</v>
      </c>
      <c r="M47" s="31">
        <v>0</v>
      </c>
      <c r="N47" s="31">
        <v>0</v>
      </c>
      <c r="O47" s="31">
        <v>0</v>
      </c>
      <c r="P47" s="31">
        <v>369</v>
      </c>
      <c r="Q47" s="35"/>
      <c r="R47" s="48"/>
      <c r="S47" s="36"/>
      <c r="T47" s="36"/>
      <c r="U47" s="37"/>
      <c r="V47" s="38"/>
      <c r="W47" s="39"/>
      <c r="X47" s="39"/>
      <c r="Y47" s="40"/>
      <c r="Z47" s="40"/>
      <c r="AA47" s="41"/>
      <c r="AB47" s="42"/>
      <c r="AC47" s="43"/>
      <c r="AD47" s="43"/>
    </row>
    <row r="48" spans="1:38" ht="24" customHeight="1" x14ac:dyDescent="0.4">
      <c r="A48" s="71" t="s">
        <v>106</v>
      </c>
      <c r="B48" s="246" t="s">
        <v>90</v>
      </c>
      <c r="C48" s="253" t="s">
        <v>89</v>
      </c>
      <c r="D48" s="49" t="s">
        <v>104</v>
      </c>
      <c r="E48" s="28"/>
      <c r="F48" s="29">
        <v>690128</v>
      </c>
      <c r="G48" s="69"/>
      <c r="H48" s="31">
        <v>432</v>
      </c>
      <c r="I48" s="63">
        <v>650</v>
      </c>
      <c r="J48" s="64">
        <v>650</v>
      </c>
      <c r="K48" s="65">
        <f t="shared" si="1"/>
        <v>0</v>
      </c>
      <c r="L48" s="68">
        <f t="shared" si="1"/>
        <v>34.56</v>
      </c>
      <c r="M48" s="31">
        <v>0</v>
      </c>
      <c r="N48" s="31">
        <v>0</v>
      </c>
      <c r="O48" s="31">
        <v>0</v>
      </c>
      <c r="P48" s="31">
        <v>432</v>
      </c>
      <c r="Q48" s="35"/>
      <c r="R48" s="48"/>
      <c r="S48" s="36"/>
      <c r="T48" s="36"/>
      <c r="U48" s="37"/>
      <c r="V48" s="38"/>
      <c r="W48" s="39"/>
      <c r="X48" s="39"/>
      <c r="Y48" s="40"/>
      <c r="Z48" s="40"/>
      <c r="AA48" s="41"/>
      <c r="AB48" s="42"/>
      <c r="AC48" s="43"/>
      <c r="AD48" s="43"/>
    </row>
    <row r="49" spans="1:35" ht="24" customHeight="1" thickBot="1" x14ac:dyDescent="0.45">
      <c r="A49" s="71" t="s">
        <v>107</v>
      </c>
      <c r="B49" s="246" t="s">
        <v>90</v>
      </c>
      <c r="C49" s="253" t="s">
        <v>89</v>
      </c>
      <c r="D49" s="49" t="s">
        <v>47</v>
      </c>
      <c r="E49" s="28"/>
      <c r="F49" s="29">
        <v>690119</v>
      </c>
      <c r="G49" s="73"/>
      <c r="H49" s="31">
        <v>533</v>
      </c>
      <c r="I49" s="46">
        <v>650</v>
      </c>
      <c r="J49" s="32">
        <v>650</v>
      </c>
      <c r="K49" s="33">
        <f t="shared" si="1"/>
        <v>0</v>
      </c>
      <c r="L49" s="47">
        <f t="shared" si="1"/>
        <v>42.64</v>
      </c>
      <c r="M49" s="31">
        <v>361</v>
      </c>
      <c r="N49" s="31">
        <v>361</v>
      </c>
      <c r="O49" s="241">
        <v>1047</v>
      </c>
      <c r="P49" s="31">
        <v>1580</v>
      </c>
      <c r="Q49" s="35"/>
      <c r="R49" s="48"/>
      <c r="S49" s="36"/>
      <c r="T49" s="36"/>
      <c r="U49" s="37"/>
      <c r="V49" s="38"/>
      <c r="W49" s="39"/>
      <c r="X49" s="39"/>
      <c r="Y49" s="40"/>
      <c r="Z49" s="40"/>
      <c r="AA49" s="41"/>
      <c r="AB49" s="42"/>
      <c r="AC49" s="43"/>
      <c r="AD49" s="43"/>
    </row>
    <row r="50" spans="1:35" ht="24" customHeight="1" thickBot="1" x14ac:dyDescent="0.45">
      <c r="A50" s="71" t="s">
        <v>108</v>
      </c>
      <c r="B50" s="246" t="s">
        <v>90</v>
      </c>
      <c r="C50" s="253" t="s">
        <v>89</v>
      </c>
      <c r="D50" s="49" t="s">
        <v>47</v>
      </c>
      <c r="E50" s="28"/>
      <c r="F50" s="29">
        <v>690119</v>
      </c>
      <c r="G50" s="74"/>
      <c r="H50" s="31">
        <v>0</v>
      </c>
      <c r="I50" s="46">
        <v>650</v>
      </c>
      <c r="J50" s="32">
        <v>650</v>
      </c>
      <c r="K50" s="33">
        <f t="shared" si="1"/>
        <v>0</v>
      </c>
      <c r="L50" s="47">
        <f t="shared" si="1"/>
        <v>0</v>
      </c>
      <c r="M50" s="31">
        <v>93</v>
      </c>
      <c r="N50" s="31">
        <v>93</v>
      </c>
      <c r="O50" s="243">
        <v>93</v>
      </c>
      <c r="P50" s="31">
        <v>93</v>
      </c>
      <c r="Q50" s="35"/>
      <c r="R50" s="48"/>
      <c r="S50" s="36"/>
      <c r="T50" s="36"/>
      <c r="U50" s="37"/>
      <c r="V50" s="38"/>
      <c r="W50" s="39"/>
      <c r="X50" s="39"/>
      <c r="Y50" s="40"/>
      <c r="Z50" s="40"/>
      <c r="AA50" s="41"/>
      <c r="AB50" s="42"/>
      <c r="AC50" s="43"/>
      <c r="AD50" s="43"/>
    </row>
    <row r="51" spans="1:35" ht="24" customHeight="1" thickBot="1" x14ac:dyDescent="0.45">
      <c r="A51" s="71" t="s">
        <v>109</v>
      </c>
      <c r="B51" s="246" t="s">
        <v>46</v>
      </c>
      <c r="C51" s="253" t="s">
        <v>89</v>
      </c>
      <c r="D51" s="49" t="s">
        <v>52</v>
      </c>
      <c r="E51" s="28"/>
      <c r="F51" s="29">
        <v>690113</v>
      </c>
      <c r="G51" s="45"/>
      <c r="H51" s="31">
        <v>508</v>
      </c>
      <c r="I51" s="46">
        <v>650</v>
      </c>
      <c r="J51" s="32">
        <v>650</v>
      </c>
      <c r="K51" s="33">
        <f t="shared" si="1"/>
        <v>0</v>
      </c>
      <c r="L51" s="47">
        <f t="shared" si="1"/>
        <v>40.64</v>
      </c>
      <c r="M51" s="31">
        <v>1480</v>
      </c>
      <c r="N51" s="31">
        <v>451</v>
      </c>
      <c r="O51" s="244">
        <v>451</v>
      </c>
      <c r="P51" s="31">
        <v>959</v>
      </c>
      <c r="Q51" s="35"/>
      <c r="R51" s="48"/>
      <c r="S51" s="36"/>
      <c r="T51" s="36"/>
      <c r="U51" s="37"/>
      <c r="V51" s="38"/>
      <c r="W51" s="39"/>
      <c r="X51" s="39"/>
      <c r="Y51" s="40"/>
      <c r="Z51" s="40"/>
      <c r="AA51" s="41"/>
      <c r="AB51" s="42"/>
      <c r="AC51" s="43"/>
      <c r="AD51" s="43"/>
    </row>
    <row r="52" spans="1:35" ht="24.75" customHeight="1" x14ac:dyDescent="0.4">
      <c r="A52" s="71" t="s">
        <v>110</v>
      </c>
      <c r="B52" s="246" t="s">
        <v>46</v>
      </c>
      <c r="C52" s="253" t="s">
        <v>45</v>
      </c>
      <c r="D52" s="49" t="s">
        <v>47</v>
      </c>
      <c r="E52" s="28"/>
      <c r="F52" s="29">
        <v>690119</v>
      </c>
      <c r="G52" s="45"/>
      <c r="H52" s="31">
        <v>505</v>
      </c>
      <c r="I52" s="46">
        <v>125</v>
      </c>
      <c r="J52" s="32">
        <v>125</v>
      </c>
      <c r="K52" s="33">
        <f t="shared" si="1"/>
        <v>0</v>
      </c>
      <c r="L52" s="47">
        <f t="shared" si="1"/>
        <v>40.4</v>
      </c>
      <c r="M52" s="31">
        <v>980</v>
      </c>
      <c r="N52" s="31">
        <v>1645</v>
      </c>
      <c r="O52" s="242">
        <v>1645</v>
      </c>
      <c r="P52" s="31">
        <v>2150</v>
      </c>
      <c r="Q52" s="35"/>
      <c r="R52" s="48"/>
      <c r="S52" s="36"/>
      <c r="T52" s="36"/>
      <c r="U52" s="37"/>
      <c r="V52" s="38"/>
      <c r="W52" s="39"/>
      <c r="X52" s="39"/>
      <c r="Y52" s="40"/>
      <c r="Z52" s="40"/>
      <c r="AA52" s="41"/>
      <c r="AB52" s="42"/>
      <c r="AC52" s="43"/>
      <c r="AD52" s="43"/>
    </row>
    <row r="53" spans="1:35" ht="23.25" customHeight="1" x14ac:dyDescent="0.4">
      <c r="A53" s="71" t="s">
        <v>111</v>
      </c>
      <c r="B53" s="246" t="s">
        <v>46</v>
      </c>
      <c r="C53" s="253" t="s">
        <v>45</v>
      </c>
      <c r="D53" s="49" t="s">
        <v>52</v>
      </c>
      <c r="E53" s="28"/>
      <c r="F53" s="29">
        <v>690113</v>
      </c>
      <c r="G53" s="69"/>
      <c r="H53" s="31">
        <v>505</v>
      </c>
      <c r="I53" s="46">
        <v>125</v>
      </c>
      <c r="J53" s="32">
        <v>125</v>
      </c>
      <c r="K53" s="33">
        <f t="shared" si="1"/>
        <v>0</v>
      </c>
      <c r="L53" s="47">
        <f t="shared" si="1"/>
        <v>40.4</v>
      </c>
      <c r="M53" s="31">
        <v>1910</v>
      </c>
      <c r="N53" s="31">
        <v>530</v>
      </c>
      <c r="O53" s="31">
        <v>530</v>
      </c>
      <c r="P53" s="31">
        <v>1035</v>
      </c>
      <c r="Q53" s="35"/>
      <c r="R53" s="48"/>
      <c r="S53" s="36"/>
      <c r="T53" s="36"/>
      <c r="U53" s="37"/>
      <c r="V53" s="38"/>
      <c r="W53" s="39"/>
      <c r="X53" s="39"/>
      <c r="Y53" s="40"/>
      <c r="Z53" s="40"/>
      <c r="AA53" s="41"/>
      <c r="AB53" s="42"/>
      <c r="AC53" s="43"/>
      <c r="AD53" s="43"/>
    </row>
    <row r="54" spans="1:35" ht="24" customHeight="1" x14ac:dyDescent="0.4">
      <c r="A54" s="71" t="s">
        <v>112</v>
      </c>
      <c r="B54" s="246" t="s">
        <v>46</v>
      </c>
      <c r="C54" s="253" t="s">
        <v>45</v>
      </c>
      <c r="D54" s="49" t="s">
        <v>57</v>
      </c>
      <c r="E54" s="28"/>
      <c r="F54" s="29">
        <v>690106</v>
      </c>
      <c r="G54" s="69"/>
      <c r="H54" s="31">
        <v>200</v>
      </c>
      <c r="I54" s="63">
        <v>125</v>
      </c>
      <c r="J54" s="64">
        <v>125</v>
      </c>
      <c r="K54" s="65">
        <f t="shared" si="1"/>
        <v>0</v>
      </c>
      <c r="L54" s="68">
        <f t="shared" si="1"/>
        <v>16</v>
      </c>
      <c r="M54" s="31">
        <v>270</v>
      </c>
      <c r="N54" s="31">
        <v>855</v>
      </c>
      <c r="O54" s="31">
        <v>855</v>
      </c>
      <c r="P54" s="31">
        <v>1055</v>
      </c>
      <c r="Q54" s="35"/>
      <c r="R54" s="48"/>
      <c r="S54" s="36"/>
      <c r="T54" s="36"/>
      <c r="U54" s="37"/>
      <c r="V54" s="38"/>
      <c r="W54" s="39"/>
      <c r="X54" s="39"/>
      <c r="Y54" s="40"/>
      <c r="Z54" s="40"/>
      <c r="AA54" s="41"/>
      <c r="AB54" s="42"/>
      <c r="AC54" s="43"/>
      <c r="AD54" s="43"/>
    </row>
    <row r="55" spans="1:35" ht="24.75" customHeight="1" x14ac:dyDescent="0.4">
      <c r="A55" s="71" t="s">
        <v>113</v>
      </c>
      <c r="B55" s="246" t="s">
        <v>46</v>
      </c>
      <c r="C55" s="253" t="s">
        <v>45</v>
      </c>
      <c r="D55" s="49" t="s">
        <v>57</v>
      </c>
      <c r="E55" s="28"/>
      <c r="F55" s="29">
        <v>690106</v>
      </c>
      <c r="G55" s="45"/>
      <c r="H55" s="31">
        <v>500</v>
      </c>
      <c r="I55" s="46">
        <v>125</v>
      </c>
      <c r="J55" s="32">
        <v>125</v>
      </c>
      <c r="K55" s="33">
        <f t="shared" si="1"/>
        <v>0</v>
      </c>
      <c r="L55" s="47">
        <f t="shared" si="1"/>
        <v>40</v>
      </c>
      <c r="M55" s="31">
        <v>940</v>
      </c>
      <c r="N55" s="31">
        <v>1420</v>
      </c>
      <c r="O55" s="31">
        <v>1420</v>
      </c>
      <c r="P55" s="31">
        <v>1920</v>
      </c>
      <c r="Q55" s="35"/>
      <c r="R55" s="48"/>
      <c r="S55" s="36"/>
      <c r="T55" s="36"/>
      <c r="U55" s="37"/>
      <c r="V55" s="38"/>
      <c r="W55" s="39"/>
      <c r="X55" s="39"/>
      <c r="Y55" s="40"/>
      <c r="Z55" s="40"/>
      <c r="AA55" s="41"/>
      <c r="AB55" s="42"/>
      <c r="AC55" s="43"/>
      <c r="AD55" s="43"/>
    </row>
    <row r="56" spans="1:35" ht="24" customHeight="1" x14ac:dyDescent="0.4">
      <c r="A56" s="71" t="s">
        <v>114</v>
      </c>
      <c r="B56" s="246" t="s">
        <v>116</v>
      </c>
      <c r="C56" s="253" t="s">
        <v>63</v>
      </c>
      <c r="D56" s="49" t="s">
        <v>57</v>
      </c>
      <c r="E56" s="28"/>
      <c r="F56" s="29">
        <v>690106</v>
      </c>
      <c r="G56" s="45"/>
      <c r="H56" s="31">
        <v>342</v>
      </c>
      <c r="I56" s="63">
        <v>115</v>
      </c>
      <c r="J56" s="64">
        <v>115</v>
      </c>
      <c r="K56" s="65">
        <v>0</v>
      </c>
      <c r="L56" s="68">
        <v>0</v>
      </c>
      <c r="M56" s="31">
        <v>677</v>
      </c>
      <c r="N56" s="31">
        <v>1400</v>
      </c>
      <c r="O56" s="31">
        <v>1400</v>
      </c>
      <c r="P56" s="31">
        <v>342</v>
      </c>
      <c r="Q56" s="35"/>
      <c r="R56" s="48"/>
      <c r="S56" s="36"/>
      <c r="T56" s="36"/>
      <c r="U56" s="37"/>
      <c r="V56" s="38"/>
      <c r="W56" s="39"/>
      <c r="X56" s="39"/>
      <c r="Y56" s="40"/>
      <c r="Z56" s="40"/>
      <c r="AA56" s="41"/>
      <c r="AB56" s="41"/>
      <c r="AC56" s="43"/>
      <c r="AD56" s="43"/>
    </row>
    <row r="57" spans="1:35" ht="24" customHeight="1" thickBot="1" x14ac:dyDescent="0.55000000000000004">
      <c r="A57" s="71" t="s">
        <v>117</v>
      </c>
      <c r="B57" s="246" t="s">
        <v>115</v>
      </c>
      <c r="C57" s="253" t="s">
        <v>63</v>
      </c>
      <c r="D57" s="66" t="s">
        <v>118</v>
      </c>
      <c r="E57" s="28"/>
      <c r="F57" s="29"/>
      <c r="G57" s="69"/>
      <c r="H57" s="31">
        <v>0</v>
      </c>
      <c r="I57" s="46">
        <v>115</v>
      </c>
      <c r="J57" s="32">
        <v>115</v>
      </c>
      <c r="K57" s="33">
        <f t="shared" ref="K57:L82" si="2">G57*8/100</f>
        <v>0</v>
      </c>
      <c r="L57" s="47">
        <f t="shared" si="2"/>
        <v>0</v>
      </c>
      <c r="M57" s="31">
        <v>0</v>
      </c>
      <c r="N57" s="31">
        <v>0</v>
      </c>
      <c r="O57" s="82">
        <v>0</v>
      </c>
      <c r="P57" s="31">
        <v>0</v>
      </c>
      <c r="Q57" s="35"/>
      <c r="R57" s="48"/>
      <c r="S57" s="36"/>
      <c r="T57" s="36"/>
      <c r="U57" s="37"/>
      <c r="V57" s="38"/>
      <c r="W57" s="39"/>
      <c r="X57" s="39"/>
      <c r="Y57" s="40"/>
      <c r="Z57" s="40"/>
      <c r="AA57" s="41"/>
      <c r="AB57" s="42"/>
      <c r="AC57" s="43"/>
      <c r="AD57" s="43"/>
    </row>
    <row r="58" spans="1:35" ht="24" customHeight="1" x14ac:dyDescent="0.4">
      <c r="A58" s="71" t="s">
        <v>119</v>
      </c>
      <c r="B58" s="246" t="s">
        <v>121</v>
      </c>
      <c r="C58" s="253" t="s">
        <v>120</v>
      </c>
      <c r="D58" s="49" t="s">
        <v>94</v>
      </c>
      <c r="E58" s="28"/>
      <c r="F58" s="29">
        <v>690107</v>
      </c>
      <c r="G58" s="45"/>
      <c r="H58" s="31">
        <v>501</v>
      </c>
      <c r="I58" s="46">
        <v>135</v>
      </c>
      <c r="J58" s="32">
        <v>135</v>
      </c>
      <c r="K58" s="33">
        <f t="shared" si="2"/>
        <v>0</v>
      </c>
      <c r="L58" s="47">
        <f t="shared" si="2"/>
        <v>40.08</v>
      </c>
      <c r="M58" s="31">
        <v>2302</v>
      </c>
      <c r="N58" s="31">
        <v>502</v>
      </c>
      <c r="O58" s="240">
        <v>502</v>
      </c>
      <c r="P58" s="31">
        <v>1003</v>
      </c>
      <c r="Q58" s="35"/>
      <c r="R58" s="48"/>
      <c r="S58" s="36"/>
      <c r="T58" s="36"/>
      <c r="U58" s="37"/>
      <c r="V58" s="38"/>
      <c r="W58" s="39"/>
      <c r="X58" s="39"/>
      <c r="Y58" s="40"/>
      <c r="Z58" s="40"/>
      <c r="AA58" s="41"/>
      <c r="AB58" s="41"/>
      <c r="AC58" s="43"/>
      <c r="AD58" s="43"/>
    </row>
    <row r="59" spans="1:35" ht="24" customHeight="1" x14ac:dyDescent="0.45">
      <c r="A59" s="71" t="s">
        <v>122</v>
      </c>
      <c r="B59" s="246" t="s">
        <v>121</v>
      </c>
      <c r="C59" s="253" t="s">
        <v>120</v>
      </c>
      <c r="D59" s="49" t="s">
        <v>57</v>
      </c>
      <c r="E59" s="28"/>
      <c r="F59" s="29">
        <v>690106</v>
      </c>
      <c r="G59" s="45"/>
      <c r="H59" s="31">
        <v>575</v>
      </c>
      <c r="I59" s="46">
        <v>135</v>
      </c>
      <c r="J59" s="32">
        <v>135</v>
      </c>
      <c r="K59" s="33">
        <f t="shared" si="2"/>
        <v>0</v>
      </c>
      <c r="L59" s="47">
        <f t="shared" si="2"/>
        <v>46</v>
      </c>
      <c r="M59" s="31">
        <v>667</v>
      </c>
      <c r="N59" s="31">
        <v>1395</v>
      </c>
      <c r="O59" s="31">
        <v>0</v>
      </c>
      <c r="P59" s="31">
        <v>575</v>
      </c>
      <c r="Q59" s="35"/>
      <c r="R59" s="48"/>
      <c r="S59" s="36"/>
      <c r="T59" s="36"/>
      <c r="U59" s="37"/>
      <c r="V59" s="38"/>
      <c r="W59" s="39"/>
      <c r="X59" s="39"/>
      <c r="Y59" s="40"/>
      <c r="Z59" s="40"/>
      <c r="AA59" s="41"/>
      <c r="AB59" s="42"/>
      <c r="AC59" s="43"/>
      <c r="AD59" s="43"/>
      <c r="AI59" s="75"/>
    </row>
    <row r="60" spans="1:35" ht="26.25" customHeight="1" x14ac:dyDescent="0.4">
      <c r="A60" s="71" t="s">
        <v>123</v>
      </c>
      <c r="B60" s="246" t="s">
        <v>121</v>
      </c>
      <c r="C60" s="253" t="s">
        <v>120</v>
      </c>
      <c r="D60" s="49" t="s">
        <v>57</v>
      </c>
      <c r="E60" s="28"/>
      <c r="F60" s="29">
        <v>690106</v>
      </c>
      <c r="G60" s="45"/>
      <c r="H60" s="31">
        <v>630</v>
      </c>
      <c r="I60" s="46">
        <v>135</v>
      </c>
      <c r="J60" s="64">
        <v>135</v>
      </c>
      <c r="K60" s="65">
        <f t="shared" si="2"/>
        <v>0</v>
      </c>
      <c r="L60" s="68">
        <f t="shared" si="2"/>
        <v>50.4</v>
      </c>
      <c r="M60" s="31">
        <v>122</v>
      </c>
      <c r="N60" s="31">
        <v>796</v>
      </c>
      <c r="O60" s="31">
        <v>0</v>
      </c>
      <c r="P60" s="31">
        <v>630</v>
      </c>
      <c r="Q60" s="35"/>
      <c r="R60" s="48"/>
      <c r="S60" s="36"/>
      <c r="T60" s="36"/>
      <c r="U60" s="37"/>
      <c r="V60" s="38"/>
      <c r="W60" s="39"/>
      <c r="X60" s="39"/>
      <c r="Y60" s="40"/>
      <c r="Z60" s="40"/>
      <c r="AA60" s="41"/>
      <c r="AB60" s="42"/>
      <c r="AC60" s="43"/>
      <c r="AD60" s="43"/>
    </row>
    <row r="61" spans="1:35" ht="24.75" customHeight="1" x14ac:dyDescent="0.4">
      <c r="A61" s="71" t="s">
        <v>124</v>
      </c>
      <c r="B61" s="246" t="s">
        <v>121</v>
      </c>
      <c r="C61" s="253" t="s">
        <v>120</v>
      </c>
      <c r="D61" s="49" t="s">
        <v>57</v>
      </c>
      <c r="E61" s="28"/>
      <c r="F61" s="29">
        <v>690106</v>
      </c>
      <c r="G61" s="45"/>
      <c r="H61" s="31">
        <v>610</v>
      </c>
      <c r="I61" s="46">
        <v>135</v>
      </c>
      <c r="J61" s="64">
        <v>135</v>
      </c>
      <c r="K61" s="65">
        <f t="shared" si="2"/>
        <v>0</v>
      </c>
      <c r="L61" s="68">
        <f t="shared" si="2"/>
        <v>48.8</v>
      </c>
      <c r="M61" s="31">
        <v>122</v>
      </c>
      <c r="N61" s="31">
        <v>757</v>
      </c>
      <c r="O61" s="31">
        <v>0</v>
      </c>
      <c r="P61" s="31">
        <v>610</v>
      </c>
      <c r="Q61" s="35"/>
      <c r="R61" s="48"/>
      <c r="S61" s="36"/>
      <c r="T61" s="36"/>
      <c r="U61" s="37"/>
      <c r="V61" s="38"/>
      <c r="W61" s="39"/>
      <c r="X61" s="39"/>
      <c r="Y61" s="40"/>
      <c r="Z61" s="40"/>
      <c r="AA61" s="41"/>
      <c r="AB61" s="42"/>
      <c r="AC61" s="43"/>
      <c r="AD61" s="43"/>
    </row>
    <row r="62" spans="1:35" ht="24" customHeight="1" thickBot="1" x14ac:dyDescent="0.45">
      <c r="A62" s="71" t="s">
        <v>125</v>
      </c>
      <c r="B62" s="246" t="s">
        <v>121</v>
      </c>
      <c r="C62" s="253" t="s">
        <v>120</v>
      </c>
      <c r="D62" s="49" t="s">
        <v>47</v>
      </c>
      <c r="E62" s="28"/>
      <c r="F62" s="29">
        <v>690108</v>
      </c>
      <c r="G62" s="45"/>
      <c r="H62" s="31">
        <v>561</v>
      </c>
      <c r="I62" s="46">
        <v>135</v>
      </c>
      <c r="J62" s="32">
        <v>135</v>
      </c>
      <c r="K62" s="33">
        <f t="shared" si="2"/>
        <v>0</v>
      </c>
      <c r="L62" s="47">
        <f t="shared" si="2"/>
        <v>44.88</v>
      </c>
      <c r="M62" s="31">
        <v>151</v>
      </c>
      <c r="N62" s="31">
        <v>894</v>
      </c>
      <c r="O62" s="241">
        <v>894</v>
      </c>
      <c r="P62" s="31">
        <v>1455</v>
      </c>
      <c r="Q62" s="35"/>
      <c r="R62" s="48"/>
      <c r="S62" s="36"/>
      <c r="T62" s="36"/>
      <c r="U62" s="37"/>
      <c r="V62" s="38"/>
      <c r="W62" s="39"/>
      <c r="X62" s="39"/>
      <c r="Y62" s="40"/>
      <c r="Z62" s="40"/>
      <c r="AA62" s="41"/>
      <c r="AB62" s="42"/>
      <c r="AC62" s="43"/>
      <c r="AD62" s="43"/>
    </row>
    <row r="63" spans="1:35" ht="24.75" customHeight="1" x14ac:dyDescent="0.4">
      <c r="A63" s="71" t="s">
        <v>126</v>
      </c>
      <c r="B63" s="246" t="s">
        <v>232</v>
      </c>
      <c r="C63" s="253" t="s">
        <v>127</v>
      </c>
      <c r="D63" s="49" t="s">
        <v>57</v>
      </c>
      <c r="E63" s="28"/>
      <c r="F63" s="29">
        <v>690106</v>
      </c>
      <c r="G63" s="45"/>
      <c r="H63" s="31">
        <v>200</v>
      </c>
      <c r="I63" s="46">
        <v>135</v>
      </c>
      <c r="J63" s="64">
        <v>135</v>
      </c>
      <c r="K63" s="65">
        <f t="shared" si="2"/>
        <v>0</v>
      </c>
      <c r="L63" s="68">
        <f t="shared" si="2"/>
        <v>16</v>
      </c>
      <c r="M63" s="31">
        <v>1400</v>
      </c>
      <c r="N63" s="31">
        <v>0</v>
      </c>
      <c r="O63" s="242">
        <v>0</v>
      </c>
      <c r="P63" s="31">
        <v>200</v>
      </c>
      <c r="Q63" s="35"/>
      <c r="R63" s="48"/>
      <c r="S63" s="36"/>
      <c r="T63" s="36"/>
      <c r="U63" s="37"/>
      <c r="V63" s="38"/>
      <c r="W63" s="39"/>
      <c r="X63" s="39"/>
      <c r="Y63" s="40"/>
      <c r="Z63" s="40"/>
      <c r="AA63" s="41"/>
      <c r="AB63" s="42"/>
      <c r="AC63" s="43"/>
      <c r="AD63" s="43"/>
    </row>
    <row r="64" spans="1:35" ht="24" customHeight="1" x14ac:dyDescent="0.4">
      <c r="A64" s="71" t="s">
        <v>128</v>
      </c>
      <c r="B64" s="246" t="s">
        <v>232</v>
      </c>
      <c r="C64" s="253" t="s">
        <v>127</v>
      </c>
      <c r="D64" s="49" t="s">
        <v>57</v>
      </c>
      <c r="E64" s="28"/>
      <c r="F64" s="29">
        <v>690106</v>
      </c>
      <c r="G64" s="45"/>
      <c r="H64" s="31">
        <v>530</v>
      </c>
      <c r="I64" s="46">
        <v>135</v>
      </c>
      <c r="J64" s="64">
        <v>135</v>
      </c>
      <c r="K64" s="65">
        <f t="shared" si="2"/>
        <v>0</v>
      </c>
      <c r="L64" s="76">
        <f t="shared" si="2"/>
        <v>42.4</v>
      </c>
      <c r="M64" s="31">
        <v>2100</v>
      </c>
      <c r="N64" s="31">
        <v>0</v>
      </c>
      <c r="O64" s="31">
        <v>0</v>
      </c>
      <c r="P64" s="31">
        <v>530</v>
      </c>
      <c r="Q64" s="35"/>
      <c r="R64" s="48"/>
      <c r="S64" s="36"/>
      <c r="T64" s="36"/>
      <c r="U64" s="37"/>
      <c r="V64" s="38"/>
      <c r="W64" s="39"/>
      <c r="X64" s="39"/>
      <c r="Y64" s="40"/>
      <c r="Z64" s="40"/>
      <c r="AA64" s="41"/>
      <c r="AB64" s="42"/>
      <c r="AC64" s="43"/>
      <c r="AD64" s="43"/>
    </row>
    <row r="65" spans="1:30" ht="24" customHeight="1" x14ac:dyDescent="0.4">
      <c r="A65" s="71" t="s">
        <v>129</v>
      </c>
      <c r="B65" s="246" t="s">
        <v>232</v>
      </c>
      <c r="C65" s="253" t="s">
        <v>127</v>
      </c>
      <c r="D65" s="49" t="s">
        <v>57</v>
      </c>
      <c r="E65" s="28"/>
      <c r="F65" s="29">
        <v>690106</v>
      </c>
      <c r="G65" s="69"/>
      <c r="H65" s="31">
        <v>430</v>
      </c>
      <c r="I65" s="46">
        <v>135</v>
      </c>
      <c r="J65" s="32">
        <v>135</v>
      </c>
      <c r="K65" s="33">
        <f t="shared" si="2"/>
        <v>0</v>
      </c>
      <c r="L65" s="47">
        <f t="shared" si="2"/>
        <v>34.4</v>
      </c>
      <c r="M65" s="31">
        <v>1400</v>
      </c>
      <c r="N65" s="31">
        <v>1370</v>
      </c>
      <c r="O65" s="31">
        <v>1370</v>
      </c>
      <c r="P65" s="31">
        <v>430</v>
      </c>
      <c r="Q65" s="35"/>
      <c r="R65" s="48"/>
      <c r="S65" s="36"/>
      <c r="T65" s="36"/>
      <c r="U65" s="37"/>
      <c r="V65" s="38"/>
      <c r="W65" s="39"/>
      <c r="X65" s="39"/>
      <c r="Y65" s="40"/>
      <c r="Z65" s="40"/>
      <c r="AA65" s="41"/>
      <c r="AB65" s="42"/>
      <c r="AC65" s="43"/>
      <c r="AD65" s="43"/>
    </row>
    <row r="66" spans="1:30" ht="24" customHeight="1" x14ac:dyDescent="0.5">
      <c r="A66" s="71" t="s">
        <v>130</v>
      </c>
      <c r="B66" s="246" t="s">
        <v>232</v>
      </c>
      <c r="C66" s="253" t="s">
        <v>127</v>
      </c>
      <c r="D66" s="66" t="s">
        <v>87</v>
      </c>
      <c r="E66" s="28"/>
      <c r="F66" s="29"/>
      <c r="G66" s="45"/>
      <c r="H66" s="31">
        <v>0</v>
      </c>
      <c r="I66" s="46">
        <v>135</v>
      </c>
      <c r="J66" s="32">
        <v>135</v>
      </c>
      <c r="K66" s="33">
        <f t="shared" si="2"/>
        <v>0</v>
      </c>
      <c r="L66" s="47">
        <f t="shared" si="2"/>
        <v>0</v>
      </c>
      <c r="M66" s="31">
        <v>0</v>
      </c>
      <c r="N66" s="31">
        <v>0</v>
      </c>
      <c r="O66" s="31">
        <v>0</v>
      </c>
      <c r="P66" s="31">
        <v>0</v>
      </c>
      <c r="Q66" s="35"/>
      <c r="R66" s="48"/>
      <c r="S66" s="36"/>
      <c r="T66" s="36"/>
      <c r="U66" s="37"/>
      <c r="V66" s="38"/>
      <c r="W66" s="39"/>
      <c r="X66" s="39"/>
      <c r="Y66" s="40"/>
      <c r="Z66" s="40"/>
      <c r="AA66" s="41"/>
      <c r="AB66" s="42"/>
      <c r="AC66" s="43"/>
      <c r="AD66" s="43"/>
    </row>
    <row r="67" spans="1:30" ht="23.25" customHeight="1" x14ac:dyDescent="0.4">
      <c r="A67" s="71" t="s">
        <v>131</v>
      </c>
      <c r="B67" s="246" t="s">
        <v>232</v>
      </c>
      <c r="C67" s="253" t="s">
        <v>127</v>
      </c>
      <c r="D67" s="49" t="s">
        <v>101</v>
      </c>
      <c r="E67" s="28"/>
      <c r="F67" s="29">
        <v>690128</v>
      </c>
      <c r="G67" s="45"/>
      <c r="H67" s="31">
        <v>370</v>
      </c>
      <c r="I67" s="46">
        <v>135</v>
      </c>
      <c r="J67" s="32">
        <v>135</v>
      </c>
      <c r="K67" s="33">
        <f t="shared" si="2"/>
        <v>0</v>
      </c>
      <c r="L67" s="47">
        <f t="shared" si="2"/>
        <v>29.6</v>
      </c>
      <c r="M67" s="31">
        <v>2020</v>
      </c>
      <c r="N67" s="31">
        <v>0</v>
      </c>
      <c r="O67" s="31">
        <v>0</v>
      </c>
      <c r="P67" s="31">
        <v>370</v>
      </c>
      <c r="Q67" s="35"/>
      <c r="R67" s="48"/>
      <c r="S67" s="36"/>
      <c r="T67" s="36"/>
      <c r="U67" s="37"/>
      <c r="V67" s="38"/>
      <c r="W67" s="39"/>
      <c r="X67" s="39"/>
      <c r="Y67" s="40"/>
      <c r="Z67" s="40"/>
      <c r="AA67" s="41"/>
      <c r="AB67" s="42"/>
      <c r="AC67" s="43"/>
      <c r="AD67" s="43"/>
    </row>
    <row r="68" spans="1:30" ht="24" customHeight="1" x14ac:dyDescent="0.4">
      <c r="A68" s="71" t="s">
        <v>132</v>
      </c>
      <c r="B68" s="246" t="s">
        <v>51</v>
      </c>
      <c r="C68" s="253" t="s">
        <v>233</v>
      </c>
      <c r="D68" s="49" t="s">
        <v>47</v>
      </c>
      <c r="E68" s="28"/>
      <c r="F68" s="29">
        <v>690119</v>
      </c>
      <c r="G68" s="69"/>
      <c r="H68" s="31">
        <v>0</v>
      </c>
      <c r="I68" s="46">
        <v>130</v>
      </c>
      <c r="J68" s="32">
        <v>130</v>
      </c>
      <c r="K68" s="33">
        <f t="shared" si="2"/>
        <v>0</v>
      </c>
      <c r="L68" s="47">
        <f t="shared" si="2"/>
        <v>0</v>
      </c>
      <c r="M68" s="31">
        <v>1731</v>
      </c>
      <c r="N68" s="31">
        <v>0</v>
      </c>
      <c r="O68" s="31">
        <v>0</v>
      </c>
      <c r="P68" s="31">
        <v>0</v>
      </c>
      <c r="Q68" s="35"/>
      <c r="R68" s="48"/>
      <c r="S68" s="36"/>
      <c r="T68" s="36"/>
      <c r="U68" s="37"/>
      <c r="V68" s="38"/>
      <c r="W68" s="39"/>
      <c r="X68" s="39"/>
      <c r="Y68" s="40"/>
      <c r="Z68" s="40"/>
      <c r="AA68" s="41"/>
      <c r="AB68" s="42"/>
      <c r="AC68" s="43"/>
      <c r="AD68" s="43"/>
    </row>
    <row r="69" spans="1:30" ht="24" customHeight="1" x14ac:dyDescent="0.4">
      <c r="A69" s="44" t="s">
        <v>133</v>
      </c>
      <c r="B69" s="246" t="s">
        <v>64</v>
      </c>
      <c r="C69" s="253"/>
      <c r="D69" s="49" t="s">
        <v>47</v>
      </c>
      <c r="E69" s="28"/>
      <c r="F69" s="29">
        <v>690119</v>
      </c>
      <c r="G69" s="69"/>
      <c r="H69" s="31">
        <v>0</v>
      </c>
      <c r="I69" s="46">
        <v>780</v>
      </c>
      <c r="J69" s="32">
        <v>780</v>
      </c>
      <c r="K69" s="33">
        <f t="shared" si="2"/>
        <v>0</v>
      </c>
      <c r="L69" s="47">
        <f t="shared" si="2"/>
        <v>0</v>
      </c>
      <c r="M69" s="31">
        <v>2280</v>
      </c>
      <c r="N69" s="31">
        <v>181</v>
      </c>
      <c r="O69" s="31">
        <v>181</v>
      </c>
      <c r="P69" s="31">
        <v>181</v>
      </c>
      <c r="Q69" s="35"/>
      <c r="R69" s="48"/>
      <c r="S69" s="36"/>
      <c r="T69" s="36"/>
      <c r="U69" s="37"/>
      <c r="V69" s="38"/>
      <c r="W69" s="39"/>
      <c r="X69" s="39"/>
      <c r="Y69" s="40"/>
      <c r="Z69" s="40"/>
      <c r="AA69" s="41"/>
      <c r="AB69" s="42"/>
      <c r="AC69" s="43"/>
      <c r="AD69" s="43"/>
    </row>
    <row r="70" spans="1:30" ht="24" customHeight="1" thickBot="1" x14ac:dyDescent="0.45">
      <c r="A70" s="44" t="s">
        <v>134</v>
      </c>
      <c r="B70" s="246" t="s">
        <v>64</v>
      </c>
      <c r="C70" s="253"/>
      <c r="D70" s="49" t="s">
        <v>47</v>
      </c>
      <c r="E70" s="28"/>
      <c r="F70" s="29">
        <v>690119</v>
      </c>
      <c r="G70" s="45"/>
      <c r="H70" s="31">
        <v>0</v>
      </c>
      <c r="I70" s="46">
        <v>780</v>
      </c>
      <c r="J70" s="32">
        <v>780</v>
      </c>
      <c r="K70" s="33">
        <f t="shared" si="2"/>
        <v>0</v>
      </c>
      <c r="L70" s="47">
        <f t="shared" si="2"/>
        <v>0</v>
      </c>
      <c r="M70" s="31">
        <v>2110</v>
      </c>
      <c r="N70" s="31">
        <v>190</v>
      </c>
      <c r="O70" s="82">
        <v>190</v>
      </c>
      <c r="P70" s="31">
        <v>190</v>
      </c>
      <c r="Q70" s="35"/>
      <c r="R70" s="48"/>
      <c r="S70" s="36"/>
      <c r="T70" s="36"/>
      <c r="U70" s="37"/>
      <c r="V70" s="38"/>
      <c r="W70" s="39"/>
      <c r="X70" s="39"/>
      <c r="Y70" s="40"/>
      <c r="Z70" s="40"/>
      <c r="AA70" s="41"/>
      <c r="AB70" s="42"/>
      <c r="AC70" s="43"/>
      <c r="AD70" s="43"/>
    </row>
    <row r="71" spans="1:30" ht="24" customHeight="1" x14ac:dyDescent="0.4">
      <c r="A71" s="44" t="s">
        <v>135</v>
      </c>
      <c r="B71" s="246" t="s">
        <v>64</v>
      </c>
      <c r="C71" s="253" t="s">
        <v>34</v>
      </c>
      <c r="D71" s="49" t="s">
        <v>57</v>
      </c>
      <c r="E71" s="28"/>
      <c r="F71" s="29">
        <v>690106</v>
      </c>
      <c r="G71" s="45"/>
      <c r="H71" s="31">
        <v>487</v>
      </c>
      <c r="I71" s="46">
        <v>780</v>
      </c>
      <c r="J71" s="32">
        <v>780</v>
      </c>
      <c r="K71" s="33">
        <f t="shared" si="2"/>
        <v>0</v>
      </c>
      <c r="L71" s="47">
        <f t="shared" si="2"/>
        <v>38.96</v>
      </c>
      <c r="M71" s="31">
        <v>886</v>
      </c>
      <c r="N71" s="31">
        <v>886</v>
      </c>
      <c r="O71" s="240">
        <v>886</v>
      </c>
      <c r="P71" s="31">
        <v>1373</v>
      </c>
      <c r="Q71" s="35"/>
      <c r="R71" s="48"/>
      <c r="S71" s="36"/>
      <c r="T71" s="36"/>
      <c r="U71" s="37"/>
      <c r="V71" s="38"/>
      <c r="W71" s="39"/>
      <c r="X71" s="39"/>
      <c r="Y71" s="40"/>
      <c r="Z71" s="40"/>
      <c r="AA71" s="41"/>
      <c r="AB71" s="42"/>
      <c r="AC71" s="43"/>
      <c r="AD71" s="43"/>
    </row>
    <row r="72" spans="1:30" ht="24" customHeight="1" x14ac:dyDescent="0.4">
      <c r="A72" s="44" t="s">
        <v>136</v>
      </c>
      <c r="B72" s="246" t="s">
        <v>64</v>
      </c>
      <c r="C72" s="253" t="s">
        <v>34</v>
      </c>
      <c r="D72" s="49" t="s">
        <v>71</v>
      </c>
      <c r="E72" s="28"/>
      <c r="F72" s="29">
        <v>690104</v>
      </c>
      <c r="G72" s="77"/>
      <c r="H72" s="31">
        <v>506</v>
      </c>
      <c r="I72" s="63">
        <v>780</v>
      </c>
      <c r="J72" s="64">
        <v>780</v>
      </c>
      <c r="K72" s="65">
        <f t="shared" si="2"/>
        <v>0</v>
      </c>
      <c r="L72" s="47">
        <f t="shared" si="2"/>
        <v>40.479999999999997</v>
      </c>
      <c r="M72" s="31">
        <v>40</v>
      </c>
      <c r="N72" s="31">
        <v>648</v>
      </c>
      <c r="O72" s="31">
        <v>648</v>
      </c>
      <c r="P72" s="31">
        <v>1154</v>
      </c>
      <c r="Q72" s="35"/>
      <c r="R72" s="48"/>
      <c r="S72" s="36"/>
      <c r="T72" s="36"/>
      <c r="U72" s="37"/>
      <c r="V72" s="38"/>
      <c r="W72" s="39"/>
      <c r="X72" s="39"/>
      <c r="Y72" s="40"/>
      <c r="Z72" s="40"/>
      <c r="AA72" s="41"/>
      <c r="AB72" s="42"/>
      <c r="AC72" s="43"/>
      <c r="AD72" s="43"/>
    </row>
    <row r="73" spans="1:30" ht="24" customHeight="1" x14ac:dyDescent="0.4">
      <c r="A73" s="44" t="s">
        <v>137</v>
      </c>
      <c r="B73" s="246" t="s">
        <v>76</v>
      </c>
      <c r="C73" s="253" t="s">
        <v>34</v>
      </c>
      <c r="D73" s="49" t="s">
        <v>94</v>
      </c>
      <c r="E73" s="28"/>
      <c r="F73" s="29">
        <v>690107</v>
      </c>
      <c r="G73" s="78"/>
      <c r="H73" s="31">
        <v>477</v>
      </c>
      <c r="I73" s="63">
        <v>780</v>
      </c>
      <c r="J73" s="64">
        <v>780</v>
      </c>
      <c r="K73" s="65">
        <f t="shared" si="2"/>
        <v>0</v>
      </c>
      <c r="L73" s="47">
        <f t="shared" si="2"/>
        <v>38.159999999999997</v>
      </c>
      <c r="M73" s="31">
        <v>958</v>
      </c>
      <c r="N73" s="31">
        <v>20</v>
      </c>
      <c r="O73" s="31">
        <v>20</v>
      </c>
      <c r="P73" s="31">
        <v>497</v>
      </c>
      <c r="Q73" s="35"/>
      <c r="R73" s="48"/>
      <c r="S73" s="36"/>
      <c r="T73" s="36"/>
      <c r="U73" s="37"/>
      <c r="V73" s="38"/>
      <c r="W73" s="39"/>
      <c r="X73" s="39"/>
      <c r="Y73" s="40"/>
      <c r="Z73" s="40"/>
      <c r="AA73" s="41"/>
      <c r="AB73" s="42"/>
      <c r="AC73" s="43"/>
      <c r="AD73" s="43"/>
    </row>
    <row r="74" spans="1:30" ht="24" customHeight="1" thickBot="1" x14ac:dyDescent="0.45">
      <c r="A74" s="44" t="s">
        <v>138</v>
      </c>
      <c r="B74" s="246" t="s">
        <v>76</v>
      </c>
      <c r="C74" s="253" t="s">
        <v>34</v>
      </c>
      <c r="D74" s="49" t="s">
        <v>94</v>
      </c>
      <c r="E74" s="28"/>
      <c r="F74" s="29">
        <v>690107</v>
      </c>
      <c r="G74" s="79"/>
      <c r="H74" s="31">
        <v>502</v>
      </c>
      <c r="I74" s="63">
        <v>780</v>
      </c>
      <c r="J74" s="64">
        <v>780</v>
      </c>
      <c r="K74" s="65">
        <f t="shared" si="2"/>
        <v>0</v>
      </c>
      <c r="L74" s="68">
        <f t="shared" si="2"/>
        <v>40.159999999999997</v>
      </c>
      <c r="M74" s="31">
        <v>1016</v>
      </c>
      <c r="N74" s="31">
        <v>65</v>
      </c>
      <c r="O74" s="241">
        <v>65</v>
      </c>
      <c r="P74" s="31">
        <v>567</v>
      </c>
      <c r="Q74" s="35"/>
      <c r="R74" s="48"/>
      <c r="S74" s="36"/>
      <c r="T74" s="36"/>
      <c r="U74" s="37"/>
      <c r="V74" s="38"/>
      <c r="W74" s="39"/>
      <c r="X74" s="39"/>
      <c r="Y74" s="40"/>
      <c r="Z74" s="40"/>
      <c r="AA74" s="41"/>
      <c r="AB74" s="42"/>
      <c r="AC74" s="43"/>
      <c r="AD74" s="43"/>
    </row>
    <row r="75" spans="1:30" ht="22.5" customHeight="1" x14ac:dyDescent="0.4">
      <c r="A75" s="44" t="s">
        <v>139</v>
      </c>
      <c r="B75" s="246" t="s">
        <v>85</v>
      </c>
      <c r="C75" s="253" t="s">
        <v>234</v>
      </c>
      <c r="D75" s="49" t="s">
        <v>140</v>
      </c>
      <c r="E75" s="28"/>
      <c r="F75" s="29">
        <v>690109</v>
      </c>
      <c r="G75" s="80"/>
      <c r="H75" s="31">
        <v>0</v>
      </c>
      <c r="I75" s="46">
        <v>800</v>
      </c>
      <c r="J75" s="32">
        <v>800</v>
      </c>
      <c r="K75" s="33">
        <f t="shared" si="2"/>
        <v>0</v>
      </c>
      <c r="L75" s="47">
        <f t="shared" si="2"/>
        <v>0</v>
      </c>
      <c r="M75" s="31">
        <v>1738</v>
      </c>
      <c r="N75" s="31">
        <v>498</v>
      </c>
      <c r="O75" s="242">
        <v>498</v>
      </c>
      <c r="P75" s="31">
        <v>498</v>
      </c>
      <c r="Q75" s="35"/>
      <c r="R75" s="48"/>
      <c r="S75" s="36"/>
      <c r="T75" s="36"/>
      <c r="U75" s="37"/>
      <c r="V75" s="38"/>
      <c r="W75" s="39"/>
      <c r="X75" s="39"/>
      <c r="Y75" s="40"/>
      <c r="Z75" s="40"/>
      <c r="AA75" s="41"/>
      <c r="AB75" s="42"/>
      <c r="AC75" s="43"/>
      <c r="AD75" s="43"/>
    </row>
    <row r="76" spans="1:30" ht="24" customHeight="1" x14ac:dyDescent="0.4">
      <c r="A76" s="44" t="s">
        <v>141</v>
      </c>
      <c r="B76" s="246" t="s">
        <v>85</v>
      </c>
      <c r="C76" s="253" t="s">
        <v>234</v>
      </c>
      <c r="D76" s="49" t="s">
        <v>140</v>
      </c>
      <c r="E76" s="28"/>
      <c r="F76" s="29">
        <v>690109</v>
      </c>
      <c r="G76" s="45"/>
      <c r="H76" s="31">
        <v>0</v>
      </c>
      <c r="I76" s="46">
        <v>800</v>
      </c>
      <c r="J76" s="32">
        <v>800</v>
      </c>
      <c r="K76" s="33">
        <f t="shared" si="2"/>
        <v>0</v>
      </c>
      <c r="L76" s="47">
        <f t="shared" si="2"/>
        <v>0</v>
      </c>
      <c r="M76" s="31">
        <v>1541</v>
      </c>
      <c r="N76" s="31">
        <v>306</v>
      </c>
      <c r="O76" s="31">
        <v>306</v>
      </c>
      <c r="P76" s="31">
        <v>306</v>
      </c>
      <c r="Q76" s="35"/>
      <c r="R76" s="48"/>
      <c r="S76" s="36"/>
      <c r="T76" s="36"/>
      <c r="U76" s="37"/>
      <c r="V76" s="38"/>
      <c r="W76" s="39"/>
      <c r="X76" s="39"/>
      <c r="Y76" s="40"/>
      <c r="Z76" s="40"/>
      <c r="AA76" s="41"/>
      <c r="AB76" s="42"/>
      <c r="AC76" s="43"/>
      <c r="AD76" s="43"/>
    </row>
    <row r="77" spans="1:30" ht="24" customHeight="1" x14ac:dyDescent="0.4">
      <c r="A77" s="44" t="s">
        <v>142</v>
      </c>
      <c r="B77" s="246" t="s">
        <v>85</v>
      </c>
      <c r="C77" s="253" t="s">
        <v>234</v>
      </c>
      <c r="D77" s="49" t="s">
        <v>140</v>
      </c>
      <c r="E77" s="28"/>
      <c r="F77" s="29">
        <v>690109</v>
      </c>
      <c r="G77" s="45"/>
      <c r="H77" s="31">
        <v>0</v>
      </c>
      <c r="I77" s="46">
        <v>800</v>
      </c>
      <c r="J77" s="32">
        <v>800</v>
      </c>
      <c r="K77" s="33">
        <f t="shared" si="2"/>
        <v>0</v>
      </c>
      <c r="L77" s="47">
        <f t="shared" si="2"/>
        <v>0</v>
      </c>
      <c r="M77" s="31">
        <v>1767</v>
      </c>
      <c r="N77" s="31">
        <v>469</v>
      </c>
      <c r="O77" s="31">
        <v>469</v>
      </c>
      <c r="P77" s="31">
        <v>469</v>
      </c>
      <c r="Q77" s="35"/>
      <c r="R77" s="48"/>
      <c r="S77" s="36"/>
      <c r="T77" s="36"/>
      <c r="U77" s="37"/>
      <c r="V77" s="38"/>
      <c r="W77" s="39"/>
      <c r="X77" s="39"/>
      <c r="Y77" s="40"/>
      <c r="Z77" s="40"/>
      <c r="AA77" s="41"/>
      <c r="AB77" s="42"/>
      <c r="AC77" s="43"/>
      <c r="AD77" s="43"/>
    </row>
    <row r="78" spans="1:30" ht="24" customHeight="1" x14ac:dyDescent="0.4">
      <c r="A78" s="44" t="s">
        <v>143</v>
      </c>
      <c r="B78" s="246" t="s">
        <v>85</v>
      </c>
      <c r="C78" s="253" t="s">
        <v>234</v>
      </c>
      <c r="D78" s="49" t="s">
        <v>57</v>
      </c>
      <c r="E78" s="28"/>
      <c r="F78" s="29">
        <v>690106</v>
      </c>
      <c r="G78" s="45"/>
      <c r="H78" s="31">
        <v>0</v>
      </c>
      <c r="I78" s="46">
        <v>800</v>
      </c>
      <c r="J78" s="32">
        <v>800</v>
      </c>
      <c r="K78" s="33">
        <f t="shared" si="2"/>
        <v>0</v>
      </c>
      <c r="L78" s="47">
        <f t="shared" si="2"/>
        <v>0</v>
      </c>
      <c r="M78" s="31">
        <v>2212</v>
      </c>
      <c r="N78" s="31">
        <v>372</v>
      </c>
      <c r="O78" s="31">
        <v>372</v>
      </c>
      <c r="P78" s="31">
        <v>372</v>
      </c>
      <c r="Q78" s="35"/>
      <c r="R78" s="48"/>
      <c r="S78" s="36"/>
      <c r="T78" s="36"/>
      <c r="U78" s="37"/>
      <c r="V78" s="38"/>
      <c r="W78" s="39"/>
      <c r="X78" s="39"/>
      <c r="Y78" s="40"/>
      <c r="Z78" s="40"/>
      <c r="AA78" s="41"/>
      <c r="AB78" s="42"/>
      <c r="AC78" s="43"/>
      <c r="AD78" s="43"/>
    </row>
    <row r="79" spans="1:30" ht="24" customHeight="1" x14ac:dyDescent="0.4">
      <c r="A79" s="44" t="s">
        <v>144</v>
      </c>
      <c r="B79" s="246" t="s">
        <v>116</v>
      </c>
      <c r="C79" s="253" t="s">
        <v>63</v>
      </c>
      <c r="D79" s="49" t="s">
        <v>140</v>
      </c>
      <c r="E79" s="28"/>
      <c r="F79" s="29">
        <v>690109</v>
      </c>
      <c r="G79" s="45"/>
      <c r="H79" s="31">
        <v>0</v>
      </c>
      <c r="I79" s="46">
        <v>800</v>
      </c>
      <c r="J79" s="32">
        <v>800</v>
      </c>
      <c r="K79" s="33">
        <f t="shared" si="2"/>
        <v>0</v>
      </c>
      <c r="L79" s="47">
        <f t="shared" si="2"/>
        <v>0</v>
      </c>
      <c r="M79" s="31">
        <v>1245</v>
      </c>
      <c r="N79" s="31">
        <v>307</v>
      </c>
      <c r="O79" s="31">
        <v>307</v>
      </c>
      <c r="P79" s="31">
        <v>307</v>
      </c>
      <c r="Q79" s="35"/>
      <c r="R79" s="48"/>
      <c r="S79" s="36"/>
      <c r="T79" s="36"/>
      <c r="U79" s="37"/>
      <c r="V79" s="38"/>
      <c r="W79" s="39"/>
      <c r="X79" s="39"/>
      <c r="Y79" s="40"/>
      <c r="Z79" s="40"/>
      <c r="AA79" s="41"/>
      <c r="AB79" s="42"/>
      <c r="AC79" s="43"/>
      <c r="AD79" s="43"/>
    </row>
    <row r="80" spans="1:30" ht="24" customHeight="1" x14ac:dyDescent="0.4">
      <c r="A80" s="44" t="s">
        <v>145</v>
      </c>
      <c r="B80" s="246" t="s">
        <v>116</v>
      </c>
      <c r="C80" s="253" t="s">
        <v>63</v>
      </c>
      <c r="D80" s="49" t="s">
        <v>146</v>
      </c>
      <c r="E80" s="28"/>
      <c r="F80" s="29">
        <v>690109</v>
      </c>
      <c r="G80" s="45"/>
      <c r="H80" s="31">
        <v>0</v>
      </c>
      <c r="I80" s="46">
        <v>800</v>
      </c>
      <c r="J80" s="32">
        <v>800</v>
      </c>
      <c r="K80" s="33">
        <f t="shared" si="2"/>
        <v>0</v>
      </c>
      <c r="L80" s="47">
        <f t="shared" si="2"/>
        <v>0</v>
      </c>
      <c r="M80" s="31">
        <v>1260</v>
      </c>
      <c r="N80" s="31">
        <v>1020</v>
      </c>
      <c r="O80" s="31">
        <v>1020</v>
      </c>
      <c r="P80" s="31">
        <v>1020</v>
      </c>
      <c r="Q80" s="35"/>
      <c r="R80" s="48"/>
      <c r="S80" s="36"/>
      <c r="T80" s="36"/>
      <c r="U80" s="37"/>
      <c r="V80" s="38"/>
      <c r="W80" s="39"/>
      <c r="X80" s="39"/>
      <c r="Y80" s="40"/>
      <c r="Z80" s="40"/>
      <c r="AA80" s="41"/>
      <c r="AB80" s="42"/>
      <c r="AC80" s="43"/>
      <c r="AD80" s="43"/>
    </row>
    <row r="81" spans="1:34" ht="23.25" customHeight="1" x14ac:dyDescent="0.4">
      <c r="A81" s="44" t="s">
        <v>147</v>
      </c>
      <c r="B81" s="246" t="s">
        <v>116</v>
      </c>
      <c r="C81" s="253" t="s">
        <v>63</v>
      </c>
      <c r="D81" s="49" t="s">
        <v>47</v>
      </c>
      <c r="E81" s="28"/>
      <c r="F81" s="29">
        <v>690119</v>
      </c>
      <c r="G81" s="45"/>
      <c r="H81" s="31">
        <v>334</v>
      </c>
      <c r="I81" s="46">
        <v>800</v>
      </c>
      <c r="J81" s="32">
        <v>800</v>
      </c>
      <c r="K81" s="33">
        <f t="shared" si="2"/>
        <v>0</v>
      </c>
      <c r="L81" s="47">
        <f t="shared" si="2"/>
        <v>26.72</v>
      </c>
      <c r="M81" s="31">
        <v>1511</v>
      </c>
      <c r="N81" s="31">
        <v>175</v>
      </c>
      <c r="O81" s="31">
        <v>175</v>
      </c>
      <c r="P81" s="31">
        <v>509</v>
      </c>
      <c r="Q81" s="35"/>
      <c r="R81" s="48"/>
      <c r="S81" s="36"/>
      <c r="T81" s="36"/>
      <c r="U81" s="37"/>
      <c r="V81" s="38"/>
      <c r="W81" s="39"/>
      <c r="X81" s="39"/>
      <c r="Y81" s="40"/>
      <c r="Z81" s="40"/>
      <c r="AA81" s="41"/>
      <c r="AB81" s="42"/>
      <c r="AC81" s="43"/>
      <c r="AD81" s="43"/>
    </row>
    <row r="82" spans="1:34" ht="24" customHeight="1" x14ac:dyDescent="0.4">
      <c r="A82" s="44" t="s">
        <v>148</v>
      </c>
      <c r="B82" s="246" t="s">
        <v>116</v>
      </c>
      <c r="C82" s="253" t="s">
        <v>63</v>
      </c>
      <c r="D82" s="49" t="s">
        <v>47</v>
      </c>
      <c r="E82" s="28"/>
      <c r="F82" s="29">
        <v>690119</v>
      </c>
      <c r="G82" s="45"/>
      <c r="H82" s="31">
        <v>340</v>
      </c>
      <c r="I82" s="46">
        <v>800</v>
      </c>
      <c r="J82" s="32">
        <v>800</v>
      </c>
      <c r="K82" s="33">
        <f t="shared" si="2"/>
        <v>0</v>
      </c>
      <c r="L82" s="47">
        <f t="shared" si="2"/>
        <v>27.2</v>
      </c>
      <c r="M82" s="31">
        <v>1625</v>
      </c>
      <c r="N82" s="31">
        <v>287</v>
      </c>
      <c r="O82" s="31">
        <v>287</v>
      </c>
      <c r="P82" s="31">
        <v>627</v>
      </c>
      <c r="Q82" s="35"/>
      <c r="R82" s="48"/>
      <c r="S82" s="36"/>
      <c r="T82" s="36"/>
      <c r="U82" s="37"/>
      <c r="V82" s="38"/>
      <c r="W82" s="39"/>
      <c r="X82" s="39"/>
      <c r="Y82" s="40"/>
      <c r="Z82" s="40"/>
      <c r="AA82" s="41"/>
      <c r="AB82" s="42"/>
      <c r="AC82" s="43"/>
      <c r="AD82" s="43"/>
    </row>
    <row r="83" spans="1:34" ht="24" customHeight="1" x14ac:dyDescent="0.4">
      <c r="A83" s="71" t="s">
        <v>92</v>
      </c>
      <c r="B83" s="26"/>
      <c r="C83" s="254"/>
      <c r="D83" s="49" t="s">
        <v>57</v>
      </c>
      <c r="E83" s="28"/>
      <c r="F83" s="29">
        <v>690128</v>
      </c>
      <c r="G83" s="45"/>
      <c r="H83" s="31">
        <v>0</v>
      </c>
      <c r="I83" s="46">
        <v>750</v>
      </c>
      <c r="J83" s="32">
        <v>750</v>
      </c>
      <c r="K83" s="33">
        <f t="shared" ref="K83:L83" si="3">G83*8/100</f>
        <v>0</v>
      </c>
      <c r="L83" s="47">
        <f t="shared" si="3"/>
        <v>0</v>
      </c>
      <c r="M83" s="31">
        <v>230</v>
      </c>
      <c r="N83" s="31">
        <v>230</v>
      </c>
      <c r="O83" s="31">
        <v>230</v>
      </c>
      <c r="P83" s="31">
        <v>230</v>
      </c>
      <c r="Q83" s="35"/>
      <c r="R83" s="48"/>
      <c r="S83" s="36"/>
      <c r="T83" s="36"/>
      <c r="U83" s="37"/>
      <c r="V83" s="38"/>
      <c r="W83" s="39"/>
      <c r="X83" s="39"/>
      <c r="Y83" s="40"/>
      <c r="Z83" s="40"/>
      <c r="AA83" s="41"/>
      <c r="AB83" s="42"/>
      <c r="AC83" s="43"/>
      <c r="AD83" s="43"/>
    </row>
    <row r="84" spans="1:34" ht="24" customHeight="1" x14ac:dyDescent="0.4">
      <c r="A84" s="71" t="s">
        <v>91</v>
      </c>
      <c r="B84" s="26" t="s">
        <v>115</v>
      </c>
      <c r="C84" s="26" t="s">
        <v>116</v>
      </c>
      <c r="D84" s="49" t="s">
        <v>57</v>
      </c>
      <c r="E84" s="28"/>
      <c r="F84" s="29">
        <v>690128</v>
      </c>
      <c r="G84" s="45"/>
      <c r="H84" s="31">
        <v>0</v>
      </c>
      <c r="I84" s="63">
        <v>115</v>
      </c>
      <c r="J84" s="64">
        <v>115</v>
      </c>
      <c r="K84" s="65">
        <v>0</v>
      </c>
      <c r="L84" s="68">
        <v>0</v>
      </c>
      <c r="M84" s="31">
        <v>34</v>
      </c>
      <c r="N84" s="31">
        <v>34</v>
      </c>
      <c r="O84" s="31">
        <v>34</v>
      </c>
      <c r="P84" s="31">
        <v>34</v>
      </c>
      <c r="Q84" s="35"/>
      <c r="R84" s="48"/>
      <c r="S84" s="36"/>
      <c r="T84" s="36"/>
      <c r="U84" s="37"/>
      <c r="V84" s="38"/>
      <c r="W84" s="39"/>
      <c r="X84" s="39"/>
      <c r="Y84" s="40"/>
      <c r="Z84" s="40"/>
      <c r="AA84" s="41"/>
      <c r="AB84" s="41"/>
      <c r="AC84" s="43"/>
      <c r="AD84" s="43"/>
    </row>
    <row r="85" spans="1:34" ht="24" customHeight="1" x14ac:dyDescent="0.4">
      <c r="A85" s="71" t="s">
        <v>149</v>
      </c>
      <c r="B85" s="26" t="s">
        <v>115</v>
      </c>
      <c r="C85" s="26" t="s">
        <v>116</v>
      </c>
      <c r="D85" s="49" t="s">
        <v>104</v>
      </c>
      <c r="E85" s="28"/>
      <c r="F85" s="29">
        <v>690128</v>
      </c>
      <c r="G85" s="45"/>
      <c r="H85" s="31">
        <v>0</v>
      </c>
      <c r="I85" s="46">
        <v>800</v>
      </c>
      <c r="J85" s="32">
        <v>800</v>
      </c>
      <c r="K85" s="33">
        <f t="shared" ref="K85:L86" si="4">G85*8/100</f>
        <v>0</v>
      </c>
      <c r="L85" s="47">
        <f t="shared" si="4"/>
        <v>0</v>
      </c>
      <c r="M85" s="81">
        <v>62</v>
      </c>
      <c r="N85" s="81">
        <v>62</v>
      </c>
      <c r="O85" s="81">
        <v>62</v>
      </c>
      <c r="P85" s="81">
        <v>62</v>
      </c>
      <c r="Q85" s="35"/>
      <c r="R85" s="48"/>
      <c r="S85" s="36"/>
      <c r="T85" s="36"/>
      <c r="U85" s="37"/>
      <c r="V85" s="38"/>
      <c r="W85" s="39"/>
      <c r="X85" s="39"/>
      <c r="Y85" s="40"/>
      <c r="Z85" s="40"/>
      <c r="AA85" s="41"/>
      <c r="AB85" s="42"/>
      <c r="AC85" s="43"/>
      <c r="AD85" s="43"/>
    </row>
    <row r="86" spans="1:34" ht="24" customHeight="1" thickBot="1" x14ac:dyDescent="0.45">
      <c r="A86" s="71"/>
      <c r="B86" s="26" t="s">
        <v>115</v>
      </c>
      <c r="C86" s="26" t="s">
        <v>116</v>
      </c>
      <c r="D86" s="49"/>
      <c r="E86" s="28"/>
      <c r="F86" s="29">
        <v>681228</v>
      </c>
      <c r="G86" s="45">
        <v>0</v>
      </c>
      <c r="H86" s="82">
        <v>0</v>
      </c>
      <c r="I86" s="46">
        <v>300</v>
      </c>
      <c r="J86" s="32">
        <v>300</v>
      </c>
      <c r="K86" s="33">
        <f t="shared" si="4"/>
        <v>0</v>
      </c>
      <c r="L86" s="47">
        <f t="shared" si="4"/>
        <v>0</v>
      </c>
      <c r="M86" s="81"/>
      <c r="N86" s="81"/>
      <c r="O86" s="81"/>
      <c r="P86" s="81"/>
      <c r="Q86" s="35"/>
      <c r="R86" s="48"/>
      <c r="S86" s="36"/>
      <c r="T86" s="36"/>
      <c r="U86" s="37"/>
      <c r="V86" s="38"/>
      <c r="W86" s="39"/>
      <c r="X86" s="39"/>
      <c r="Y86" s="40"/>
      <c r="Z86" s="40"/>
      <c r="AA86" s="41"/>
      <c r="AB86" s="42"/>
      <c r="AC86" s="43"/>
      <c r="AD86" s="43"/>
    </row>
    <row r="87" spans="1:34" ht="24" customHeight="1" thickBot="1" x14ac:dyDescent="0.45">
      <c r="A87" s="333" t="s">
        <v>150</v>
      </c>
      <c r="B87" s="83" t="s">
        <v>25</v>
      </c>
      <c r="C87" s="83" t="s">
        <v>25</v>
      </c>
      <c r="D87" s="84"/>
      <c r="E87" s="85"/>
      <c r="F87" s="84" t="s">
        <v>151</v>
      </c>
      <c r="G87" s="86">
        <f>SUM(G6:G82)</f>
        <v>0</v>
      </c>
      <c r="H87" s="86">
        <f>SUM(H6:H82)</f>
        <v>14545</v>
      </c>
      <c r="I87" s="87"/>
      <c r="J87" s="87"/>
      <c r="K87" s="87"/>
      <c r="L87" s="88"/>
      <c r="M87" s="335"/>
      <c r="N87" s="336"/>
      <c r="O87" s="336"/>
      <c r="P87" s="337"/>
      <c r="Q87" s="89">
        <f>SUM(Q6:Q86)</f>
        <v>0</v>
      </c>
      <c r="R87" s="89">
        <f>SUM(R6:R86)</f>
        <v>0</v>
      </c>
      <c r="S87" s="90">
        <f>SUM(S6:S86)</f>
        <v>0</v>
      </c>
      <c r="T87" s="91">
        <f>SUM(T6:T86)</f>
        <v>0</v>
      </c>
      <c r="U87" s="89">
        <f>SUM(U6:U86)</f>
        <v>0</v>
      </c>
      <c r="V87" s="89">
        <f>SUM(V6:V84)</f>
        <v>0</v>
      </c>
      <c r="W87" s="92">
        <f>SUM(W6:W86)</f>
        <v>0</v>
      </c>
      <c r="X87" s="93">
        <f>SUM(X6:X86)</f>
        <v>0</v>
      </c>
      <c r="Y87" s="94">
        <f>SUM(Y6:Y86)</f>
        <v>0</v>
      </c>
      <c r="Z87" s="95">
        <f>SUM(Z6:Z86)</f>
        <v>0</v>
      </c>
      <c r="AA87" s="96">
        <f>SUM(AA6:AA82)</f>
        <v>0</v>
      </c>
      <c r="AB87" s="97">
        <f>SUM(AB6:AB82)</f>
        <v>0</v>
      </c>
      <c r="AC87" s="98">
        <f>SUM(AC6:AC86)</f>
        <v>0</v>
      </c>
      <c r="AD87" s="98">
        <f>SUM(AD6:AD86)</f>
        <v>0</v>
      </c>
    </row>
    <row r="88" spans="1:34" ht="24" customHeight="1" thickBot="1" x14ac:dyDescent="0.45">
      <c r="A88" s="334"/>
      <c r="B88" s="83">
        <v>0</v>
      </c>
      <c r="C88" s="83">
        <v>35</v>
      </c>
      <c r="D88" s="84"/>
      <c r="E88" s="84"/>
      <c r="F88" s="84"/>
      <c r="G88" s="341">
        <f>G87+H87</f>
        <v>14545</v>
      </c>
      <c r="H88" s="342"/>
      <c r="I88" s="341"/>
      <c r="J88" s="342"/>
      <c r="K88" s="341"/>
      <c r="L88" s="342"/>
      <c r="M88" s="338"/>
      <c r="N88" s="339"/>
      <c r="O88" s="339"/>
      <c r="P88" s="340"/>
      <c r="Q88" s="341">
        <f>Q87+R87+Q133</f>
        <v>0</v>
      </c>
      <c r="R88" s="342"/>
      <c r="S88" s="375">
        <f>S87+T87+S133</f>
        <v>0</v>
      </c>
      <c r="T88" s="376"/>
      <c r="U88" s="341">
        <f>U87+V87+U133</f>
        <v>0</v>
      </c>
      <c r="V88" s="342"/>
      <c r="W88" s="375">
        <f>W87+X87+W133</f>
        <v>0</v>
      </c>
      <c r="X88" s="376"/>
      <c r="Y88" s="375">
        <f>Y87+Z87+Y133</f>
        <v>0</v>
      </c>
      <c r="Z88" s="376"/>
      <c r="AA88" s="375">
        <f>AA87+AB87+AA133</f>
        <v>0</v>
      </c>
      <c r="AB88" s="376"/>
      <c r="AC88" s="375">
        <f>AC87+AD87+AC133</f>
        <v>0</v>
      </c>
      <c r="AD88" s="376"/>
    </row>
    <row r="89" spans="1:34" ht="24" customHeight="1" x14ac:dyDescent="0.4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 t="s">
        <v>0</v>
      </c>
      <c r="AD89" s="102"/>
    </row>
    <row r="90" spans="1:34" ht="24" customHeight="1" x14ac:dyDescent="0.5">
      <c r="A90" s="103" t="s">
        <v>152</v>
      </c>
      <c r="B90" s="8"/>
      <c r="C90" s="104"/>
      <c r="D90" s="105"/>
      <c r="E90" s="372" t="s">
        <v>235</v>
      </c>
      <c r="F90" s="372"/>
      <c r="G90" s="372"/>
      <c r="H90" s="372"/>
      <c r="I90" s="372"/>
      <c r="J90" s="372"/>
      <c r="K90" s="103"/>
      <c r="L90" s="103" t="s">
        <v>153</v>
      </c>
      <c r="M90" s="103"/>
      <c r="N90" s="106">
        <f>Q88</f>
        <v>0</v>
      </c>
      <c r="O90" s="103" t="s">
        <v>154</v>
      </c>
      <c r="P90" s="103"/>
      <c r="Q90" s="103"/>
      <c r="R90" s="103"/>
      <c r="S90" s="107"/>
      <c r="T90" s="108"/>
      <c r="U90" s="103"/>
      <c r="V90" s="109"/>
      <c r="W90" s="110"/>
      <c r="X90" s="103"/>
      <c r="Y90" s="111" t="s">
        <v>155</v>
      </c>
      <c r="Z90" s="109"/>
      <c r="AA90" s="112">
        <f>AA91+AA92</f>
        <v>0</v>
      </c>
      <c r="AB90" s="109"/>
      <c r="AC90" s="109"/>
      <c r="AD90" s="113"/>
    </row>
    <row r="91" spans="1:34" ht="24" customHeight="1" x14ac:dyDescent="0.65">
      <c r="A91" s="114" t="s">
        <v>156</v>
      </c>
      <c r="B91" s="104"/>
      <c r="C91" s="114"/>
      <c r="D91" s="105"/>
      <c r="E91" s="105" t="s">
        <v>0</v>
      </c>
      <c r="F91" s="115"/>
      <c r="G91" s="116"/>
      <c r="H91" s="108"/>
      <c r="I91" s="113"/>
      <c r="J91" s="117"/>
      <c r="K91" s="118"/>
      <c r="L91" s="108" t="s">
        <v>157</v>
      </c>
      <c r="M91" s="108"/>
      <c r="N91" s="119">
        <f>G87</f>
        <v>0</v>
      </c>
      <c r="O91" s="108" t="s">
        <v>158</v>
      </c>
      <c r="P91" s="108"/>
      <c r="Q91" s="108" t="s">
        <v>159</v>
      </c>
      <c r="R91" s="109"/>
      <c r="S91" s="120">
        <f>H87</f>
        <v>14545</v>
      </c>
      <c r="T91" s="108"/>
      <c r="U91" s="108" t="s">
        <v>158</v>
      </c>
      <c r="V91" s="109"/>
      <c r="W91" s="110"/>
      <c r="X91" s="108"/>
      <c r="Y91" s="121" t="s">
        <v>160</v>
      </c>
      <c r="Z91" s="109"/>
      <c r="AA91" s="122">
        <f>U87</f>
        <v>0</v>
      </c>
      <c r="AB91" s="109"/>
      <c r="AC91" s="109"/>
      <c r="AD91" s="113"/>
    </row>
    <row r="92" spans="1:34" s="109" customFormat="1" ht="24" customHeight="1" x14ac:dyDescent="0.65">
      <c r="A92" s="114" t="s">
        <v>161</v>
      </c>
      <c r="B92" s="114"/>
      <c r="C92" s="114"/>
      <c r="D92" s="104"/>
      <c r="E92" s="123">
        <v>1.18258</v>
      </c>
      <c r="F92" s="124"/>
      <c r="G92" s="108" t="s">
        <v>162</v>
      </c>
      <c r="H92" s="125"/>
      <c r="I92" s="125"/>
      <c r="J92" s="117" t="s">
        <v>154</v>
      </c>
      <c r="K92" s="108"/>
      <c r="L92" s="108" t="s">
        <v>163</v>
      </c>
      <c r="M92" s="108"/>
      <c r="N92" s="126">
        <v>0</v>
      </c>
      <c r="O92" s="108" t="s">
        <v>158</v>
      </c>
      <c r="P92" s="108"/>
      <c r="Q92" s="108" t="s">
        <v>164</v>
      </c>
      <c r="S92" s="126">
        <v>0</v>
      </c>
      <c r="T92" s="108"/>
      <c r="U92" s="108" t="s">
        <v>158</v>
      </c>
      <c r="W92" s="110"/>
      <c r="X92" s="108"/>
      <c r="Y92" s="127" t="s">
        <v>165</v>
      </c>
      <c r="AA92" s="122">
        <f>V87</f>
        <v>0</v>
      </c>
      <c r="AD92" s="113"/>
    </row>
    <row r="93" spans="1:34" s="109" customFormat="1" ht="24" customHeight="1" x14ac:dyDescent="0.5">
      <c r="A93" s="114" t="s">
        <v>166</v>
      </c>
      <c r="B93" s="114"/>
      <c r="C93" s="114"/>
      <c r="D93" s="104"/>
      <c r="E93" s="128" t="s">
        <v>167</v>
      </c>
      <c r="F93" s="129"/>
      <c r="G93" s="108" t="s">
        <v>162</v>
      </c>
      <c r="H93" s="125"/>
      <c r="I93" s="125"/>
      <c r="J93" s="117" t="s">
        <v>154</v>
      </c>
      <c r="P93" s="108"/>
      <c r="Q93" s="108"/>
      <c r="R93" s="108"/>
      <c r="S93" s="130"/>
      <c r="T93" s="131"/>
      <c r="U93" s="108"/>
      <c r="V93" s="108"/>
      <c r="W93" s="110"/>
      <c r="X93" s="131" t="s">
        <v>0</v>
      </c>
      <c r="Y93" s="127"/>
      <c r="Z93" s="131"/>
      <c r="AA93" s="131"/>
      <c r="AB93" s="131"/>
      <c r="AC93" s="131"/>
      <c r="AD93" s="132"/>
    </row>
    <row r="94" spans="1:34" s="109" customFormat="1" ht="24" customHeight="1" x14ac:dyDescent="0.5">
      <c r="A94" s="114"/>
      <c r="B94" s="114"/>
      <c r="C94" s="114"/>
      <c r="D94" s="104"/>
      <c r="E94" s="133" t="s">
        <v>168</v>
      </c>
      <c r="F94" s="129"/>
      <c r="G94" s="108" t="s">
        <v>162</v>
      </c>
      <c r="H94" s="125"/>
      <c r="I94" s="125"/>
      <c r="J94" s="117" t="s">
        <v>154</v>
      </c>
      <c r="P94" s="108"/>
      <c r="Q94" s="108"/>
      <c r="R94" s="108"/>
      <c r="S94" s="130"/>
      <c r="T94" s="131"/>
      <c r="U94" s="108"/>
      <c r="V94" s="108"/>
      <c r="W94" s="110"/>
      <c r="X94" s="131"/>
      <c r="Y94" s="127"/>
      <c r="Z94" s="131"/>
      <c r="AA94" s="131"/>
      <c r="AB94" s="131"/>
      <c r="AC94" s="131"/>
      <c r="AD94" s="132"/>
    </row>
    <row r="95" spans="1:34" s="109" customFormat="1" ht="24" customHeight="1" x14ac:dyDescent="0.5">
      <c r="A95" s="108"/>
      <c r="B95" s="114"/>
      <c r="C95" s="108"/>
      <c r="D95" s="108"/>
      <c r="E95" s="115" t="s">
        <v>169</v>
      </c>
      <c r="F95" s="116"/>
      <c r="G95" s="108" t="s">
        <v>162</v>
      </c>
      <c r="H95" s="125"/>
      <c r="I95" s="125"/>
      <c r="J95" s="117" t="s">
        <v>154</v>
      </c>
      <c r="K95" s="103"/>
      <c r="L95" s="134" t="s">
        <v>170</v>
      </c>
      <c r="M95" s="134"/>
      <c r="N95" s="134"/>
      <c r="O95" s="108"/>
      <c r="P95" s="108"/>
      <c r="Q95" s="108"/>
      <c r="R95" s="108"/>
      <c r="S95" s="130"/>
      <c r="T95" s="108"/>
      <c r="U95" s="108"/>
      <c r="V95" s="108"/>
      <c r="W95" s="110" t="s">
        <v>0</v>
      </c>
      <c r="X95" s="108"/>
      <c r="Y95" s="127"/>
      <c r="Z95" s="108"/>
      <c r="AA95" s="108"/>
      <c r="AB95" s="108"/>
      <c r="AC95" s="108"/>
      <c r="AD95" s="135"/>
      <c r="AH95" s="109" t="s">
        <v>0</v>
      </c>
    </row>
    <row r="96" spans="1:34" s="109" customFormat="1" ht="24" customHeight="1" x14ac:dyDescent="0.5">
      <c r="A96" s="103" t="s">
        <v>171</v>
      </c>
      <c r="B96" s="108"/>
      <c r="D96" s="108" t="s">
        <v>0</v>
      </c>
      <c r="E96" s="136" t="s">
        <v>172</v>
      </c>
      <c r="F96" s="136"/>
      <c r="G96" s="108" t="s">
        <v>162</v>
      </c>
      <c r="H96" s="125"/>
      <c r="I96" s="125"/>
      <c r="J96" s="117" t="s">
        <v>154</v>
      </c>
      <c r="K96" s="108"/>
      <c r="L96" s="108"/>
      <c r="M96" s="108"/>
      <c r="N96" s="108"/>
      <c r="O96" s="108"/>
      <c r="P96" s="108"/>
      <c r="Q96" s="108"/>
      <c r="R96" s="108"/>
      <c r="S96" s="130"/>
      <c r="T96" s="108"/>
      <c r="U96" s="108"/>
      <c r="V96" s="108"/>
      <c r="W96" s="110" t="s">
        <v>0</v>
      </c>
      <c r="X96" s="108"/>
      <c r="Y96" s="127"/>
      <c r="Z96" s="108"/>
      <c r="AA96" s="108"/>
      <c r="AB96" s="108"/>
      <c r="AC96" s="108"/>
      <c r="AD96" s="135"/>
    </row>
    <row r="97" spans="1:37" s="109" customFormat="1" ht="24" customHeight="1" x14ac:dyDescent="0.5">
      <c r="A97" s="108" t="s">
        <v>156</v>
      </c>
      <c r="B97" s="108"/>
      <c r="D97" s="108" t="s">
        <v>173</v>
      </c>
      <c r="E97" s="133" t="s">
        <v>174</v>
      </c>
      <c r="F97" s="129"/>
      <c r="G97" s="108" t="s">
        <v>162</v>
      </c>
      <c r="H97" s="125"/>
      <c r="I97" s="125"/>
      <c r="J97" s="117" t="s">
        <v>154</v>
      </c>
      <c r="K97" s="108"/>
      <c r="L97" s="108" t="s">
        <v>175</v>
      </c>
      <c r="M97" s="108"/>
      <c r="N97" s="137" t="s">
        <v>176</v>
      </c>
      <c r="O97" s="138">
        <f>B88</f>
        <v>0</v>
      </c>
      <c r="P97" s="108" t="s">
        <v>25</v>
      </c>
      <c r="Q97" s="108"/>
      <c r="R97" s="108"/>
      <c r="S97" s="130" t="s">
        <v>177</v>
      </c>
      <c r="T97" s="138">
        <f>C88</f>
        <v>35</v>
      </c>
      <c r="U97" s="108" t="s">
        <v>25</v>
      </c>
      <c r="V97" s="108"/>
      <c r="W97" s="110"/>
      <c r="X97" s="108"/>
      <c r="Y97" s="127"/>
      <c r="Z97" s="108"/>
      <c r="AA97" s="108"/>
      <c r="AB97" s="108"/>
      <c r="AC97" s="108"/>
      <c r="AD97" s="135"/>
    </row>
    <row r="98" spans="1:37" s="109" customFormat="1" ht="24" customHeight="1" x14ac:dyDescent="0.5">
      <c r="A98" s="114" t="s">
        <v>161</v>
      </c>
      <c r="B98" s="108"/>
      <c r="D98" s="108"/>
      <c r="E98" s="136" t="s">
        <v>178</v>
      </c>
      <c r="F98" s="139"/>
      <c r="G98" s="108" t="s">
        <v>162</v>
      </c>
      <c r="H98" s="125"/>
      <c r="I98" s="125"/>
      <c r="J98" s="117" t="s">
        <v>154</v>
      </c>
      <c r="K98" s="114"/>
      <c r="L98" s="114"/>
      <c r="M98" s="114"/>
      <c r="N98" s="104" t="s">
        <v>179</v>
      </c>
      <c r="O98" s="104"/>
      <c r="P98" s="140">
        <v>2</v>
      </c>
      <c r="Q98" s="108" t="s">
        <v>180</v>
      </c>
      <c r="R98" s="108" t="s">
        <v>181</v>
      </c>
      <c r="S98" s="130"/>
      <c r="T98" s="140">
        <v>15</v>
      </c>
      <c r="U98" s="108" t="s">
        <v>180</v>
      </c>
      <c r="V98" s="108"/>
      <c r="W98" s="110" t="s">
        <v>182</v>
      </c>
      <c r="X98" s="140">
        <f>T98+P98-AA98</f>
        <v>17</v>
      </c>
      <c r="Y98" s="127" t="s">
        <v>180</v>
      </c>
      <c r="Z98" s="103" t="s">
        <v>183</v>
      </c>
      <c r="AA98" s="141">
        <v>0</v>
      </c>
      <c r="AB98" s="104"/>
      <c r="AC98" s="108" t="s">
        <v>180</v>
      </c>
      <c r="AD98" s="135"/>
    </row>
    <row r="99" spans="1:37" s="109" customFormat="1" ht="24" customHeight="1" x14ac:dyDescent="0.5">
      <c r="A99" s="114" t="s">
        <v>166</v>
      </c>
      <c r="B99" s="108"/>
      <c r="D99" s="108"/>
      <c r="E99" s="142" t="s">
        <v>184</v>
      </c>
      <c r="F99" s="142"/>
      <c r="G99" s="108" t="s">
        <v>162</v>
      </c>
      <c r="H99" s="125"/>
      <c r="I99" s="125"/>
      <c r="J99" s="117" t="s">
        <v>154</v>
      </c>
      <c r="K99" s="108"/>
      <c r="L99" s="108"/>
      <c r="M99" s="143"/>
      <c r="N99" s="143" t="s">
        <v>185</v>
      </c>
      <c r="O99" s="143"/>
      <c r="P99" s="144">
        <v>0</v>
      </c>
      <c r="Q99" s="108" t="s">
        <v>180</v>
      </c>
      <c r="R99" s="145" t="s">
        <v>181</v>
      </c>
      <c r="S99" s="130"/>
      <c r="T99" s="140">
        <v>14</v>
      </c>
      <c r="U99" s="108" t="s">
        <v>180</v>
      </c>
      <c r="V99" s="108"/>
      <c r="W99" s="110" t="s">
        <v>182</v>
      </c>
      <c r="X99" s="140">
        <f>T99+P99-AA99</f>
        <v>13</v>
      </c>
      <c r="Y99" s="127" t="s">
        <v>180</v>
      </c>
      <c r="Z99" s="103" t="s">
        <v>183</v>
      </c>
      <c r="AA99" s="146">
        <v>1</v>
      </c>
      <c r="AB99" s="143"/>
      <c r="AC99" s="145" t="s">
        <v>180</v>
      </c>
      <c r="AD99" s="135"/>
    </row>
    <row r="100" spans="1:37" s="109" customFormat="1" ht="24" customHeight="1" x14ac:dyDescent="0.5">
      <c r="A100" s="103" t="s">
        <v>186</v>
      </c>
      <c r="B100" s="108"/>
      <c r="D100" s="108"/>
      <c r="E100" s="147" t="s">
        <v>187</v>
      </c>
      <c r="F100" s="148"/>
      <c r="G100" s="108" t="s">
        <v>162</v>
      </c>
      <c r="H100" s="125"/>
      <c r="I100" s="125"/>
      <c r="J100" s="117" t="s">
        <v>154</v>
      </c>
      <c r="K100" s="8"/>
      <c r="L100" s="149" t="s">
        <v>188</v>
      </c>
      <c r="M100" s="150"/>
      <c r="N100" s="151"/>
      <c r="O100" s="151"/>
      <c r="P100" s="151"/>
      <c r="Q100" s="152"/>
      <c r="R100" s="152"/>
      <c r="S100" s="153"/>
      <c r="T100" s="152"/>
      <c r="U100" s="151"/>
      <c r="V100" s="151"/>
      <c r="W100" s="154"/>
      <c r="X100" s="154"/>
      <c r="Y100" s="150"/>
      <c r="Z100" s="150"/>
      <c r="AA100" s="149" t="s">
        <v>189</v>
      </c>
      <c r="AB100" s="149"/>
      <c r="AC100" s="149"/>
      <c r="AD100" s="135"/>
    </row>
    <row r="101" spans="1:37" s="109" customFormat="1" ht="24" customHeight="1" x14ac:dyDescent="0.5">
      <c r="A101" s="108" t="s">
        <v>156</v>
      </c>
      <c r="B101" s="108"/>
      <c r="D101" s="108"/>
      <c r="E101" s="136" t="s">
        <v>190</v>
      </c>
      <c r="F101" s="155"/>
      <c r="G101" s="108" t="s">
        <v>162</v>
      </c>
      <c r="H101" s="125"/>
      <c r="I101" s="125"/>
      <c r="J101" s="117" t="s">
        <v>154</v>
      </c>
      <c r="K101" s="108"/>
      <c r="L101" s="149"/>
      <c r="M101" s="150"/>
      <c r="N101" s="150"/>
      <c r="O101" s="150"/>
      <c r="P101" s="151"/>
      <c r="Q101" s="152"/>
      <c r="R101" s="152"/>
      <c r="S101" s="153"/>
      <c r="T101" s="150"/>
      <c r="U101" s="150"/>
      <c r="V101" s="151"/>
      <c r="W101" s="151"/>
      <c r="X101" s="150"/>
      <c r="Y101" s="150"/>
      <c r="Z101" s="150"/>
      <c r="AA101" s="149" t="s">
        <v>189</v>
      </c>
      <c r="AB101" s="149"/>
      <c r="AC101" s="149"/>
      <c r="AD101" s="135"/>
    </row>
    <row r="102" spans="1:37" s="109" customFormat="1" ht="24" customHeight="1" x14ac:dyDescent="0.5">
      <c r="A102" s="114" t="s">
        <v>161</v>
      </c>
      <c r="B102" s="108"/>
      <c r="D102" s="108" t="s">
        <v>0</v>
      </c>
      <c r="E102" s="156" t="s">
        <v>191</v>
      </c>
      <c r="F102" s="157"/>
      <c r="G102" s="108" t="s">
        <v>162</v>
      </c>
      <c r="H102" s="125"/>
      <c r="I102" s="125"/>
      <c r="J102" s="117" t="s">
        <v>154</v>
      </c>
      <c r="K102" s="108"/>
      <c r="L102" s="149"/>
      <c r="M102" s="150"/>
      <c r="N102" s="150"/>
      <c r="O102" s="151"/>
      <c r="P102" s="151"/>
      <c r="Q102" s="152"/>
      <c r="R102" s="152"/>
      <c r="S102" s="152"/>
      <c r="T102" s="150"/>
      <c r="U102" s="150"/>
      <c r="V102" s="151"/>
      <c r="W102" s="151"/>
      <c r="X102" s="150"/>
      <c r="Y102" s="150"/>
      <c r="Z102" s="150"/>
      <c r="AA102" s="149" t="s">
        <v>189</v>
      </c>
      <c r="AB102" s="149"/>
      <c r="AC102" s="149"/>
      <c r="AD102" s="135"/>
      <c r="AH102" s="109" t="s">
        <v>0</v>
      </c>
    </row>
    <row r="103" spans="1:37" s="109" customFormat="1" ht="24" customHeight="1" x14ac:dyDescent="0.5">
      <c r="A103" s="114" t="s">
        <v>166</v>
      </c>
      <c r="B103" s="108"/>
      <c r="D103" s="108"/>
      <c r="E103" s="158" t="s">
        <v>192</v>
      </c>
      <c r="F103" s="148"/>
      <c r="G103" s="108" t="s">
        <v>162</v>
      </c>
      <c r="H103" s="125"/>
      <c r="I103" s="125"/>
      <c r="J103" s="117" t="s">
        <v>154</v>
      </c>
      <c r="K103" s="8"/>
      <c r="L103" s="149" t="s">
        <v>193</v>
      </c>
      <c r="M103" s="150" t="s">
        <v>194</v>
      </c>
      <c r="N103" s="150"/>
      <c r="O103" s="151"/>
      <c r="P103" s="151"/>
      <c r="Q103" s="151"/>
      <c r="R103" s="152"/>
      <c r="S103" s="152"/>
      <c r="T103" s="159"/>
      <c r="U103" s="160"/>
      <c r="V103" s="150"/>
      <c r="W103" s="154"/>
      <c r="X103" s="150"/>
      <c r="Y103" s="150"/>
      <c r="Z103" s="150"/>
      <c r="AA103" s="149" t="s">
        <v>189</v>
      </c>
      <c r="AB103" s="149" t="s">
        <v>195</v>
      </c>
      <c r="AC103" s="149"/>
      <c r="AD103" s="135"/>
      <c r="AG103" s="109" t="s">
        <v>0</v>
      </c>
    </row>
    <row r="104" spans="1:37" s="109" customFormat="1" ht="24" customHeight="1" x14ac:dyDescent="0.5">
      <c r="A104" s="8"/>
      <c r="B104" s="108"/>
      <c r="C104" s="161"/>
      <c r="D104" s="161"/>
      <c r="E104" s="162" t="s">
        <v>196</v>
      </c>
      <c r="F104" s="136"/>
      <c r="G104" s="108" t="s">
        <v>162</v>
      </c>
      <c r="H104" s="125"/>
      <c r="I104" s="125"/>
      <c r="J104" s="117" t="s">
        <v>154</v>
      </c>
      <c r="K104" s="8"/>
      <c r="L104" s="1"/>
      <c r="M104" s="150" t="s">
        <v>197</v>
      </c>
      <c r="N104" s="150"/>
      <c r="O104" s="150"/>
      <c r="P104" s="151"/>
      <c r="Q104" s="151"/>
      <c r="R104" s="152"/>
      <c r="S104" s="152"/>
      <c r="T104" s="159"/>
      <c r="U104" s="150"/>
      <c r="V104" s="150"/>
      <c r="W104" s="154"/>
      <c r="X104" s="150"/>
      <c r="Y104" s="150"/>
      <c r="Z104" s="150"/>
      <c r="AA104" s="149" t="s">
        <v>189</v>
      </c>
      <c r="AB104" s="149"/>
      <c r="AC104" s="149"/>
      <c r="AD104" s="163"/>
      <c r="AG104" s="164"/>
      <c r="AH104" s="109" t="s">
        <v>0</v>
      </c>
    </row>
    <row r="105" spans="1:37" s="109" customFormat="1" ht="24" customHeight="1" x14ac:dyDescent="0.5">
      <c r="A105" s="1"/>
      <c r="B105" s="161"/>
      <c r="C105" s="1"/>
      <c r="D105" s="1"/>
      <c r="E105" s="136" t="s">
        <v>198</v>
      </c>
      <c r="F105" s="155"/>
      <c r="G105" s="108" t="s">
        <v>162</v>
      </c>
      <c r="H105" s="125"/>
      <c r="I105" s="125"/>
      <c r="J105" s="117" t="s">
        <v>154</v>
      </c>
      <c r="K105" s="117"/>
      <c r="L105" s="149"/>
      <c r="M105" s="149"/>
      <c r="N105" s="165"/>
      <c r="O105" s="165"/>
      <c r="P105" s="165"/>
      <c r="Q105" s="165"/>
      <c r="R105" s="165"/>
      <c r="S105" s="166"/>
      <c r="T105" s="165"/>
      <c r="U105" s="167"/>
      <c r="V105" s="168"/>
      <c r="W105" s="169"/>
      <c r="X105" s="170"/>
      <c r="Y105" s="149"/>
      <c r="Z105" s="149"/>
      <c r="AA105" s="149" t="s">
        <v>199</v>
      </c>
      <c r="AB105" s="149"/>
      <c r="AC105" s="171"/>
      <c r="AD105" s="163"/>
      <c r="AK105" s="172"/>
    </row>
    <row r="106" spans="1:37" s="109" customFormat="1" ht="24" customHeight="1" x14ac:dyDescent="0.55000000000000004">
      <c r="A106" s="1"/>
      <c r="B106" s="161"/>
      <c r="C106" s="1"/>
      <c r="D106" s="1"/>
      <c r="E106" s="136" t="s">
        <v>200</v>
      </c>
      <c r="F106" s="155"/>
      <c r="G106" s="108" t="s">
        <v>162</v>
      </c>
      <c r="H106" s="125"/>
      <c r="I106" s="125"/>
      <c r="J106" s="117" t="s">
        <v>154</v>
      </c>
      <c r="K106" s="117"/>
      <c r="L106" s="149"/>
      <c r="M106" s="173" t="s">
        <v>0</v>
      </c>
      <c r="N106" s="165"/>
      <c r="O106" s="165"/>
      <c r="P106" s="165"/>
      <c r="Q106" s="165"/>
      <c r="R106" s="165"/>
      <c r="S106" s="166"/>
      <c r="T106" s="165"/>
      <c r="U106" s="167"/>
      <c r="V106" s="168"/>
      <c r="W106" s="169"/>
      <c r="X106" s="170"/>
      <c r="Y106" s="149"/>
      <c r="Z106" s="149"/>
      <c r="AA106" s="149" t="s">
        <v>201</v>
      </c>
      <c r="AB106" s="149"/>
      <c r="AC106" s="171"/>
      <c r="AD106" s="163"/>
      <c r="AK106" s="172"/>
    </row>
    <row r="107" spans="1:37" s="109" customFormat="1" ht="24" customHeight="1" x14ac:dyDescent="0.55000000000000004">
      <c r="A107" s="1"/>
      <c r="B107" s="161"/>
      <c r="C107" s="1"/>
      <c r="D107" s="1" t="s">
        <v>0</v>
      </c>
      <c r="E107" s="136" t="s">
        <v>202</v>
      </c>
      <c r="F107" s="155"/>
      <c r="G107" s="108" t="s">
        <v>162</v>
      </c>
      <c r="H107" s="125"/>
      <c r="I107" s="125"/>
      <c r="J107" s="117" t="s">
        <v>154</v>
      </c>
      <c r="K107" s="117"/>
      <c r="L107" s="149"/>
      <c r="M107" s="173"/>
      <c r="N107" s="165"/>
      <c r="O107" s="165"/>
      <c r="P107" s="165"/>
      <c r="Q107" s="165"/>
      <c r="R107" s="165"/>
      <c r="S107" s="166"/>
      <c r="T107" s="165"/>
      <c r="U107" s="167"/>
      <c r="V107" s="168"/>
      <c r="W107" s="169"/>
      <c r="X107" s="170"/>
      <c r="Y107" s="149"/>
      <c r="Z107" s="149"/>
      <c r="AA107" s="149"/>
      <c r="AB107" s="149"/>
      <c r="AC107" s="171"/>
      <c r="AD107" s="163"/>
      <c r="AK107" s="172"/>
    </row>
    <row r="108" spans="1:37" ht="24" customHeight="1" x14ac:dyDescent="0.55000000000000004">
      <c r="B108" s="161"/>
      <c r="F108" s="174"/>
      <c r="G108" s="175"/>
      <c r="H108" s="108"/>
      <c r="I108" s="176"/>
      <c r="J108" s="117"/>
      <c r="K108" s="8"/>
      <c r="L108" s="173"/>
      <c r="M108" s="173"/>
      <c r="N108" s="149"/>
      <c r="O108" s="149"/>
      <c r="P108" s="177"/>
      <c r="Q108" s="165"/>
      <c r="R108" s="165"/>
      <c r="S108" s="165"/>
      <c r="T108" s="167"/>
      <c r="U108" s="167"/>
      <c r="V108" s="168"/>
      <c r="W108" s="169"/>
      <c r="X108" s="149"/>
      <c r="Y108" s="149"/>
      <c r="Z108" s="149"/>
      <c r="AA108" s="149"/>
      <c r="AB108" s="149"/>
      <c r="AC108" s="149"/>
      <c r="AD108" s="163"/>
      <c r="AF108" s="109"/>
    </row>
    <row r="109" spans="1:37" ht="24" customHeight="1" x14ac:dyDescent="0.55000000000000004">
      <c r="B109" s="161"/>
      <c r="F109" s="133"/>
      <c r="G109" s="129"/>
      <c r="H109" s="108"/>
      <c r="I109" s="176"/>
      <c r="J109" s="117"/>
      <c r="K109" s="8"/>
      <c r="M109" s="173"/>
      <c r="N109" s="149"/>
      <c r="O109" s="149"/>
      <c r="P109" s="165"/>
      <c r="Q109" s="165"/>
      <c r="R109" s="165"/>
      <c r="S109" s="165"/>
      <c r="T109" s="167"/>
      <c r="U109" s="167"/>
      <c r="V109" s="168"/>
      <c r="W109" s="169"/>
      <c r="X109" s="169"/>
      <c r="Y109" s="149"/>
      <c r="Z109" s="149"/>
      <c r="AA109" s="149"/>
      <c r="AB109" s="149"/>
      <c r="AC109" s="149"/>
      <c r="AD109" s="163"/>
      <c r="AF109" s="109"/>
    </row>
    <row r="110" spans="1:37" ht="24" customHeight="1" x14ac:dyDescent="0.55000000000000004">
      <c r="A110" s="109"/>
      <c r="B110" s="109"/>
      <c r="C110" s="109"/>
      <c r="D110" s="109"/>
      <c r="E110" s="109"/>
      <c r="F110" s="136"/>
      <c r="G110" s="136"/>
      <c r="H110" s="108"/>
      <c r="I110" s="176"/>
      <c r="J110" s="117"/>
      <c r="K110" s="109"/>
      <c r="L110" s="167"/>
      <c r="M110" s="173"/>
      <c r="N110" s="149"/>
      <c r="O110" s="149"/>
      <c r="P110" s="165"/>
      <c r="Q110" s="177"/>
      <c r="R110" s="165"/>
      <c r="S110" s="165"/>
      <c r="T110" s="167"/>
      <c r="U110" s="167"/>
      <c r="V110" s="168"/>
      <c r="W110" s="169"/>
      <c r="X110" s="149"/>
      <c r="Y110" s="149"/>
      <c r="Z110" s="149"/>
      <c r="AA110" s="149"/>
      <c r="AB110" s="178"/>
      <c r="AC110" s="149" t="s">
        <v>0</v>
      </c>
      <c r="AD110" s="113"/>
      <c r="AF110" s="109"/>
    </row>
    <row r="111" spans="1:37" ht="24" customHeight="1" x14ac:dyDescent="0.5">
      <c r="A111" s="109"/>
      <c r="B111" s="109"/>
      <c r="C111" s="109"/>
      <c r="D111" s="109"/>
      <c r="E111" s="179"/>
      <c r="F111" s="180"/>
      <c r="G111" s="139"/>
      <c r="H111" s="174"/>
      <c r="I111" s="181"/>
      <c r="J111" s="182"/>
      <c r="K111" s="174"/>
      <c r="L111" s="109"/>
      <c r="M111" s="109"/>
      <c r="N111" s="109"/>
      <c r="O111" s="109"/>
      <c r="P111" s="109"/>
      <c r="Q111" s="109"/>
      <c r="R111" s="109"/>
      <c r="S111" s="183"/>
      <c r="T111" s="109"/>
      <c r="U111" s="109"/>
      <c r="V111" s="109"/>
      <c r="W111" s="184"/>
      <c r="X111" s="185"/>
      <c r="Y111" s="186"/>
      <c r="Z111" s="108"/>
      <c r="AA111" s="109"/>
      <c r="AB111" s="109"/>
      <c r="AC111" s="109"/>
      <c r="AD111" s="113"/>
      <c r="AF111" s="109"/>
    </row>
    <row r="112" spans="1:37" s="109" customFormat="1" ht="24" customHeight="1" x14ac:dyDescent="0.5">
      <c r="A112" s="187"/>
      <c r="B112" s="187"/>
      <c r="C112" s="187" t="s">
        <v>204</v>
      </c>
      <c r="D112" s="187"/>
      <c r="E112" s="187"/>
      <c r="F112" s="180"/>
      <c r="G112" s="139"/>
      <c r="H112" s="174"/>
      <c r="I112" s="175"/>
      <c r="J112" s="108"/>
      <c r="M112" s="373" t="s">
        <v>205</v>
      </c>
      <c r="N112" s="373"/>
      <c r="O112" s="373"/>
      <c r="P112" s="373"/>
      <c r="Q112" s="373"/>
      <c r="S112" s="183"/>
      <c r="W112" s="188"/>
      <c r="X112" s="373" t="s">
        <v>205</v>
      </c>
      <c r="Y112" s="373"/>
      <c r="Z112" s="373"/>
      <c r="AA112" s="373"/>
      <c r="AB112" s="373"/>
      <c r="AC112" s="373"/>
      <c r="AD112" s="373"/>
    </row>
    <row r="113" spans="1:38" s="109" customFormat="1" ht="24" customHeight="1" x14ac:dyDescent="0.5">
      <c r="A113" s="187"/>
      <c r="B113" s="187"/>
      <c r="C113" s="187" t="s">
        <v>206</v>
      </c>
      <c r="D113" s="187"/>
      <c r="E113" s="187"/>
      <c r="F113" s="189"/>
      <c r="G113" s="108"/>
      <c r="H113" s="108"/>
      <c r="I113" s="190"/>
      <c r="J113" s="117"/>
      <c r="K113" s="118"/>
      <c r="L113" s="118"/>
      <c r="M113" s="373" t="s">
        <v>151</v>
      </c>
      <c r="N113" s="373"/>
      <c r="O113" s="373"/>
      <c r="P113" s="373"/>
      <c r="Q113" s="373"/>
      <c r="R113" s="118"/>
      <c r="S113" s="191"/>
      <c r="T113" s="118"/>
      <c r="U113" s="118"/>
      <c r="V113" s="118"/>
      <c r="W113" s="192"/>
      <c r="X113" s="373" t="s">
        <v>206</v>
      </c>
      <c r="Y113" s="373"/>
      <c r="Z113" s="373"/>
      <c r="AA113" s="373"/>
      <c r="AB113" s="373"/>
      <c r="AC113" s="373"/>
      <c r="AD113" s="373"/>
    </row>
    <row r="114" spans="1:38" s="118" customFormat="1" ht="24" customHeight="1" x14ac:dyDescent="0.5">
      <c r="A114" s="187"/>
      <c r="B114" s="187"/>
      <c r="C114" s="187"/>
      <c r="D114" s="187"/>
      <c r="E114" s="187"/>
      <c r="F114" s="374"/>
      <c r="G114" s="374"/>
      <c r="H114" s="108"/>
      <c r="I114" s="190"/>
      <c r="J114" s="117"/>
      <c r="M114" s="187"/>
      <c r="N114" s="187"/>
      <c r="O114" s="187"/>
      <c r="P114" s="187"/>
      <c r="Q114" s="187"/>
      <c r="S114" s="191"/>
      <c r="W114" s="192"/>
      <c r="X114" s="187"/>
      <c r="Y114" s="187"/>
      <c r="Z114" s="187"/>
      <c r="AA114" s="187"/>
      <c r="AB114" s="187"/>
      <c r="AC114" s="187"/>
      <c r="AD114" s="187"/>
      <c r="AL114" s="193"/>
    </row>
    <row r="115" spans="1:38" s="118" customFormat="1" ht="24" customHeight="1" x14ac:dyDescent="0.5">
      <c r="A115" s="101"/>
      <c r="B115" s="194"/>
      <c r="C115" s="194"/>
      <c r="D115" s="195"/>
      <c r="E115" s="195"/>
      <c r="F115" s="195"/>
      <c r="G115" s="196"/>
      <c r="H115" s="196"/>
      <c r="I115" s="196"/>
      <c r="J115" s="196"/>
      <c r="K115" s="196"/>
      <c r="L115" s="196"/>
      <c r="M115" s="197"/>
      <c r="N115" s="197"/>
      <c r="O115" s="197"/>
      <c r="P115" s="197"/>
      <c r="Q115" s="198"/>
      <c r="R115" s="198"/>
      <c r="S115" s="199"/>
      <c r="T115" s="199"/>
      <c r="U115" s="198"/>
      <c r="V115" s="198"/>
      <c r="W115" s="199"/>
      <c r="X115" s="199"/>
      <c r="Y115" s="200"/>
      <c r="Z115" s="200"/>
      <c r="AA115" s="201"/>
      <c r="AB115" s="201"/>
      <c r="AC115" s="202"/>
      <c r="AD115" s="202"/>
      <c r="AL115" s="193"/>
    </row>
    <row r="118" spans="1:38" ht="18.75" thickBot="1" x14ac:dyDescent="0.45"/>
    <row r="119" spans="1:38" x14ac:dyDescent="0.4">
      <c r="A119" s="368" t="s">
        <v>1</v>
      </c>
      <c r="B119" s="349" t="s">
        <v>2</v>
      </c>
      <c r="C119" s="350"/>
      <c r="D119" s="5" t="s">
        <v>3</v>
      </c>
      <c r="E119" s="7"/>
      <c r="F119" s="7"/>
      <c r="G119" s="349" t="s">
        <v>4</v>
      </c>
      <c r="H119" s="350"/>
      <c r="I119" s="349" t="s">
        <v>5</v>
      </c>
      <c r="J119" s="350"/>
      <c r="K119" s="349" t="s">
        <v>6</v>
      </c>
      <c r="L119" s="350"/>
      <c r="M119" s="370" t="s">
        <v>7</v>
      </c>
      <c r="N119" s="371"/>
      <c r="O119" s="362" t="s">
        <v>7</v>
      </c>
      <c r="P119" s="363"/>
      <c r="Q119" s="364" t="s">
        <v>8</v>
      </c>
      <c r="R119" s="365"/>
      <c r="S119" s="349" t="s">
        <v>9</v>
      </c>
      <c r="T119" s="350"/>
      <c r="U119" s="366" t="s">
        <v>10</v>
      </c>
      <c r="V119" s="367"/>
      <c r="W119" s="349" t="s">
        <v>11</v>
      </c>
      <c r="X119" s="350"/>
      <c r="Y119" s="349" t="s">
        <v>12</v>
      </c>
      <c r="Z119" s="350"/>
      <c r="AA119" s="349" t="s">
        <v>13</v>
      </c>
      <c r="AB119" s="350"/>
      <c r="AC119" s="349" t="s">
        <v>14</v>
      </c>
      <c r="AD119" s="353"/>
    </row>
    <row r="120" spans="1:38" ht="21" x14ac:dyDescent="0.4">
      <c r="A120" s="369"/>
      <c r="B120" s="351"/>
      <c r="C120" s="352"/>
      <c r="D120" s="8" t="s">
        <v>15</v>
      </c>
      <c r="E120" s="205" t="s">
        <v>16</v>
      </c>
      <c r="F120" s="9" t="s">
        <v>17</v>
      </c>
      <c r="G120" s="351"/>
      <c r="H120" s="352"/>
      <c r="I120" s="351"/>
      <c r="J120" s="352"/>
      <c r="K120" s="351"/>
      <c r="L120" s="352"/>
      <c r="M120" s="354" t="s">
        <v>18</v>
      </c>
      <c r="N120" s="355"/>
      <c r="O120" s="356" t="s">
        <v>19</v>
      </c>
      <c r="P120" s="357"/>
      <c r="Q120" s="358" t="s">
        <v>20</v>
      </c>
      <c r="R120" s="359"/>
      <c r="S120" s="351" t="s">
        <v>21</v>
      </c>
      <c r="T120" s="352"/>
      <c r="U120" s="360" t="s">
        <v>22</v>
      </c>
      <c r="V120" s="359"/>
      <c r="W120" s="351" t="s">
        <v>23</v>
      </c>
      <c r="X120" s="352"/>
      <c r="Y120" s="351"/>
      <c r="Z120" s="352"/>
      <c r="AA120" s="351"/>
      <c r="AB120" s="352"/>
      <c r="AC120" s="351" t="s">
        <v>24</v>
      </c>
      <c r="AD120" s="361"/>
    </row>
    <row r="121" spans="1:38" ht="18.75" thickBot="1" x14ac:dyDescent="0.45">
      <c r="A121" s="10" t="s">
        <v>25</v>
      </c>
      <c r="B121" s="206" t="s">
        <v>207</v>
      </c>
      <c r="C121" s="12" t="s">
        <v>208</v>
      </c>
      <c r="D121" s="13" t="s">
        <v>28</v>
      </c>
      <c r="E121" s="207"/>
      <c r="F121" s="207"/>
      <c r="G121" s="12" t="s">
        <v>26</v>
      </c>
      <c r="H121" s="12" t="s">
        <v>27</v>
      </c>
      <c r="I121" s="11" t="s">
        <v>26</v>
      </c>
      <c r="J121" s="12" t="s">
        <v>27</v>
      </c>
      <c r="K121" s="11" t="s">
        <v>29</v>
      </c>
      <c r="L121" s="14" t="s">
        <v>30</v>
      </c>
      <c r="M121" s="208" t="s">
        <v>31</v>
      </c>
      <c r="N121" s="209" t="s">
        <v>32</v>
      </c>
      <c r="O121" s="210" t="s">
        <v>31</v>
      </c>
      <c r="P121" s="211" t="s">
        <v>32</v>
      </c>
      <c r="Q121" s="19" t="s">
        <v>26</v>
      </c>
      <c r="R121" s="12" t="s">
        <v>27</v>
      </c>
      <c r="S121" s="20" t="s">
        <v>26</v>
      </c>
      <c r="T121" s="12" t="s">
        <v>27</v>
      </c>
      <c r="U121" s="19" t="s">
        <v>26</v>
      </c>
      <c r="V121" s="12" t="s">
        <v>27</v>
      </c>
      <c r="W121" s="21" t="s">
        <v>26</v>
      </c>
      <c r="X121" s="12" t="s">
        <v>27</v>
      </c>
      <c r="Y121" s="22" t="s">
        <v>26</v>
      </c>
      <c r="Z121" s="23" t="s">
        <v>27</v>
      </c>
      <c r="AA121" s="19" t="s">
        <v>26</v>
      </c>
      <c r="AB121" s="12" t="s">
        <v>27</v>
      </c>
      <c r="AC121" s="11" t="s">
        <v>26</v>
      </c>
      <c r="AD121" s="24" t="s">
        <v>27</v>
      </c>
    </row>
    <row r="122" spans="1:38" ht="32.25" thickBot="1" x14ac:dyDescent="0.55000000000000004">
      <c r="A122" s="212" t="s">
        <v>130</v>
      </c>
      <c r="B122" s="213" t="s">
        <v>209</v>
      </c>
      <c r="C122" s="213" t="s">
        <v>210</v>
      </c>
      <c r="D122" s="214" t="s">
        <v>211</v>
      </c>
      <c r="E122" s="215"/>
      <c r="F122" s="73">
        <v>681134</v>
      </c>
      <c r="G122" s="216"/>
      <c r="H122" s="217"/>
      <c r="I122" s="46">
        <v>800</v>
      </c>
      <c r="J122" s="32">
        <v>800</v>
      </c>
      <c r="K122" s="218"/>
      <c r="L122" s="218"/>
      <c r="M122" s="219"/>
      <c r="N122" s="220"/>
      <c r="O122" s="220"/>
      <c r="P122" s="221"/>
      <c r="Q122" s="222"/>
      <c r="R122" s="223"/>
      <c r="S122" s="224"/>
      <c r="T122" s="57"/>
      <c r="U122" s="59"/>
      <c r="V122" s="59"/>
      <c r="W122" s="39"/>
      <c r="X122" s="39"/>
      <c r="Y122" s="40"/>
      <c r="Z122" s="40"/>
      <c r="AA122" s="225"/>
      <c r="AB122" s="226"/>
      <c r="AC122" s="227"/>
      <c r="AD122" s="228"/>
    </row>
    <row r="123" spans="1:38" ht="32.25" thickBot="1" x14ac:dyDescent="0.55000000000000004">
      <c r="A123" s="212" t="s">
        <v>86</v>
      </c>
      <c r="B123" s="213" t="s">
        <v>209</v>
      </c>
      <c r="C123" s="213" t="s">
        <v>210</v>
      </c>
      <c r="D123" s="214" t="s">
        <v>211</v>
      </c>
      <c r="E123" s="215"/>
      <c r="F123" s="73">
        <v>681134</v>
      </c>
      <c r="G123" s="216"/>
      <c r="H123" s="217"/>
      <c r="I123" s="46">
        <v>800</v>
      </c>
      <c r="J123" s="32">
        <v>800</v>
      </c>
      <c r="K123" s="218"/>
      <c r="L123" s="218"/>
      <c r="M123" s="219"/>
      <c r="N123" s="220"/>
      <c r="O123" s="220"/>
      <c r="P123" s="221"/>
      <c r="Q123" s="222"/>
      <c r="R123" s="67"/>
      <c r="S123" s="229"/>
      <c r="T123" s="57"/>
      <c r="U123" s="58"/>
      <c r="V123" s="59"/>
      <c r="W123" s="39"/>
      <c r="X123" s="39"/>
      <c r="Y123" s="40"/>
      <c r="Z123" s="40"/>
      <c r="AA123" s="225"/>
      <c r="AB123" s="226"/>
      <c r="AC123" s="227"/>
      <c r="AD123" s="228"/>
    </row>
    <row r="124" spans="1:38" ht="32.25" thickBot="1" x14ac:dyDescent="0.55000000000000004">
      <c r="A124" s="212" t="s">
        <v>117</v>
      </c>
      <c r="B124" s="213" t="s">
        <v>209</v>
      </c>
      <c r="C124" s="213" t="s">
        <v>210</v>
      </c>
      <c r="D124" s="214" t="s">
        <v>211</v>
      </c>
      <c r="E124" s="215"/>
      <c r="F124" s="73">
        <v>681134</v>
      </c>
      <c r="G124" s="216"/>
      <c r="H124" s="217"/>
      <c r="I124" s="46">
        <v>800</v>
      </c>
      <c r="J124" s="32">
        <v>800</v>
      </c>
      <c r="K124" s="218"/>
      <c r="L124" s="218"/>
      <c r="M124" s="219"/>
      <c r="N124" s="220"/>
      <c r="O124" s="220"/>
      <c r="P124" s="221"/>
      <c r="Q124" s="230"/>
      <c r="R124" s="56"/>
      <c r="S124" s="231"/>
      <c r="T124" s="57"/>
      <c r="U124" s="58"/>
      <c r="V124" s="59"/>
      <c r="W124" s="39"/>
      <c r="X124" s="39"/>
      <c r="Y124" s="40"/>
      <c r="Z124" s="40"/>
      <c r="AA124" s="232"/>
      <c r="AB124" s="226"/>
      <c r="AC124" s="233"/>
      <c r="AD124" s="234"/>
    </row>
    <row r="125" spans="1:38" ht="32.25" thickBot="1" x14ac:dyDescent="0.55000000000000004">
      <c r="A125" s="212" t="s">
        <v>53</v>
      </c>
      <c r="B125" s="213" t="s">
        <v>209</v>
      </c>
      <c r="C125" s="213" t="s">
        <v>210</v>
      </c>
      <c r="D125" s="214" t="s">
        <v>211</v>
      </c>
      <c r="E125" s="215"/>
      <c r="F125" s="73">
        <v>681134</v>
      </c>
      <c r="G125" s="216"/>
      <c r="H125" s="217"/>
      <c r="I125" s="46">
        <v>800</v>
      </c>
      <c r="J125" s="32">
        <v>800</v>
      </c>
      <c r="K125" s="218"/>
      <c r="L125" s="218"/>
      <c r="M125" s="219"/>
      <c r="N125" s="220"/>
      <c r="O125" s="220"/>
      <c r="P125" s="221"/>
      <c r="Q125" s="230"/>
      <c r="R125" s="56"/>
      <c r="S125" s="231"/>
      <c r="T125" s="57"/>
      <c r="U125" s="58"/>
      <c r="V125" s="59"/>
      <c r="W125" s="39"/>
      <c r="X125" s="39"/>
      <c r="Y125" s="40"/>
      <c r="Z125" s="40"/>
      <c r="AA125" s="232"/>
      <c r="AB125" s="226"/>
      <c r="AC125" s="233"/>
      <c r="AD125" s="234"/>
    </row>
    <row r="126" spans="1:38" ht="32.25" thickBot="1" x14ac:dyDescent="0.55000000000000004">
      <c r="A126" s="212" t="s">
        <v>38</v>
      </c>
      <c r="B126" s="213" t="s">
        <v>209</v>
      </c>
      <c r="C126" s="213" t="s">
        <v>210</v>
      </c>
      <c r="D126" s="214" t="s">
        <v>211</v>
      </c>
      <c r="E126" s="215"/>
      <c r="F126" s="73">
        <v>681134</v>
      </c>
      <c r="G126" s="216"/>
      <c r="H126" s="217"/>
      <c r="I126" s="46">
        <v>800</v>
      </c>
      <c r="J126" s="32">
        <v>800</v>
      </c>
      <c r="K126" s="218"/>
      <c r="L126" s="218"/>
      <c r="M126" s="219"/>
      <c r="N126" s="220"/>
      <c r="O126" s="220"/>
      <c r="P126" s="221"/>
      <c r="Q126" s="230"/>
      <c r="R126" s="56"/>
      <c r="S126" s="231"/>
      <c r="T126" s="57"/>
      <c r="U126" s="58"/>
      <c r="V126" s="59"/>
      <c r="W126" s="39"/>
      <c r="X126" s="39"/>
      <c r="Y126" s="40"/>
      <c r="Z126" s="40"/>
      <c r="AA126" s="232"/>
      <c r="AB126" s="226"/>
      <c r="AC126" s="233"/>
      <c r="AD126" s="234"/>
    </row>
    <row r="127" spans="1:38" ht="32.25" thickBot="1" x14ac:dyDescent="0.55000000000000004">
      <c r="A127" s="212" t="s">
        <v>40</v>
      </c>
      <c r="B127" s="213" t="s">
        <v>209</v>
      </c>
      <c r="C127" s="213" t="s">
        <v>210</v>
      </c>
      <c r="D127" s="214" t="s">
        <v>211</v>
      </c>
      <c r="E127" s="215"/>
      <c r="F127" s="73">
        <v>681134</v>
      </c>
      <c r="G127" s="216"/>
      <c r="H127" s="217"/>
      <c r="I127" s="46">
        <v>800</v>
      </c>
      <c r="J127" s="32">
        <v>800</v>
      </c>
      <c r="K127" s="218"/>
      <c r="L127" s="218"/>
      <c r="M127" s="219"/>
      <c r="N127" s="220"/>
      <c r="O127" s="220"/>
      <c r="P127" s="221"/>
      <c r="Q127" s="222"/>
      <c r="R127" s="67"/>
      <c r="S127" s="229"/>
      <c r="T127" s="57"/>
      <c r="U127" s="58"/>
      <c r="V127" s="59"/>
      <c r="W127" s="39"/>
      <c r="X127" s="39"/>
      <c r="Y127" s="40"/>
      <c r="Z127" s="40"/>
      <c r="AA127" s="225"/>
      <c r="AB127" s="226"/>
      <c r="AC127" s="227"/>
      <c r="AD127" s="228"/>
    </row>
    <row r="128" spans="1:38" ht="32.25" thickBot="1" x14ac:dyDescent="0.55000000000000004">
      <c r="A128" s="212" t="s">
        <v>125</v>
      </c>
      <c r="B128" s="213" t="s">
        <v>209</v>
      </c>
      <c r="C128" s="213" t="s">
        <v>210</v>
      </c>
      <c r="D128" s="214" t="s">
        <v>211</v>
      </c>
      <c r="E128" s="215"/>
      <c r="F128" s="73">
        <v>681134</v>
      </c>
      <c r="G128" s="216"/>
      <c r="H128" s="217"/>
      <c r="I128" s="46">
        <v>800</v>
      </c>
      <c r="J128" s="32">
        <v>800</v>
      </c>
      <c r="K128" s="218"/>
      <c r="L128" s="218"/>
      <c r="M128" s="219"/>
      <c r="N128" s="220"/>
      <c r="O128" s="220"/>
      <c r="P128" s="221"/>
      <c r="Q128" s="230"/>
      <c r="R128" s="56"/>
      <c r="S128" s="231"/>
      <c r="T128" s="57"/>
      <c r="U128" s="58"/>
      <c r="V128" s="59"/>
      <c r="W128" s="39"/>
      <c r="X128" s="39"/>
      <c r="Y128" s="40"/>
      <c r="Z128" s="40"/>
      <c r="AA128" s="232"/>
      <c r="AB128" s="226"/>
      <c r="AC128" s="233"/>
      <c r="AD128" s="234"/>
    </row>
    <row r="129" spans="1:30" ht="32.25" thickBot="1" x14ac:dyDescent="0.55000000000000004">
      <c r="A129" s="212" t="s">
        <v>86</v>
      </c>
      <c r="B129" s="213" t="s">
        <v>209</v>
      </c>
      <c r="C129" s="213" t="s">
        <v>210</v>
      </c>
      <c r="D129" s="214" t="s">
        <v>211</v>
      </c>
      <c r="E129" s="215"/>
      <c r="F129" s="73">
        <v>681134</v>
      </c>
      <c r="G129" s="216"/>
      <c r="H129" s="217"/>
      <c r="I129" s="46">
        <v>800</v>
      </c>
      <c r="J129" s="32">
        <v>800</v>
      </c>
      <c r="K129" s="218"/>
      <c r="L129" s="218"/>
      <c r="M129" s="219"/>
      <c r="N129" s="220"/>
      <c r="O129" s="220"/>
      <c r="P129" s="221"/>
      <c r="Q129" s="222"/>
      <c r="R129" s="67"/>
      <c r="S129" s="229"/>
      <c r="T129" s="57"/>
      <c r="U129" s="58"/>
      <c r="V129" s="59"/>
      <c r="W129" s="39"/>
      <c r="X129" s="39"/>
      <c r="Y129" s="40"/>
      <c r="Z129" s="40"/>
      <c r="AA129" s="232"/>
      <c r="AB129" s="226"/>
      <c r="AC129" s="233"/>
      <c r="AD129" s="234"/>
    </row>
    <row r="130" spans="1:30" ht="32.25" thickBot="1" x14ac:dyDescent="0.55000000000000004">
      <c r="A130" s="212" t="s">
        <v>74</v>
      </c>
      <c r="B130" s="213" t="s">
        <v>209</v>
      </c>
      <c r="C130" s="213" t="s">
        <v>210</v>
      </c>
      <c r="D130" s="214" t="s">
        <v>211</v>
      </c>
      <c r="E130" s="215"/>
      <c r="F130" s="73">
        <v>681134</v>
      </c>
      <c r="G130" s="216"/>
      <c r="H130" s="217"/>
      <c r="I130" s="46">
        <v>800</v>
      </c>
      <c r="J130" s="32">
        <v>800</v>
      </c>
      <c r="K130" s="218"/>
      <c r="L130" s="218"/>
      <c r="M130" s="219"/>
      <c r="N130" s="220"/>
      <c r="O130" s="220"/>
      <c r="P130" s="221"/>
      <c r="Q130" s="230"/>
      <c r="R130" s="56"/>
      <c r="S130" s="231"/>
      <c r="T130" s="57"/>
      <c r="U130" s="58"/>
      <c r="V130" s="59"/>
      <c r="W130" s="39"/>
      <c r="X130" s="39"/>
      <c r="Y130" s="40"/>
      <c r="Z130" s="40"/>
      <c r="AA130" s="232"/>
      <c r="AB130" s="226"/>
      <c r="AC130" s="233"/>
      <c r="AD130" s="234"/>
    </row>
    <row r="131" spans="1:30" ht="32.25" thickBot="1" x14ac:dyDescent="0.55000000000000004">
      <c r="A131" s="212" t="s">
        <v>102</v>
      </c>
      <c r="B131" s="213" t="s">
        <v>209</v>
      </c>
      <c r="C131" s="213" t="s">
        <v>210</v>
      </c>
      <c r="D131" s="214" t="s">
        <v>211</v>
      </c>
      <c r="E131" s="215"/>
      <c r="F131" s="73">
        <v>681134</v>
      </c>
      <c r="G131" s="216"/>
      <c r="H131" s="217"/>
      <c r="I131" s="46">
        <v>800</v>
      </c>
      <c r="J131" s="32">
        <v>800</v>
      </c>
      <c r="K131" s="218"/>
      <c r="L131" s="218"/>
      <c r="M131" s="219"/>
      <c r="N131" s="220"/>
      <c r="O131" s="220"/>
      <c r="P131" s="221"/>
      <c r="Q131" s="222"/>
      <c r="R131" s="223"/>
      <c r="S131" s="224"/>
      <c r="T131" s="57"/>
      <c r="U131" s="59"/>
      <c r="V131" s="59"/>
      <c r="W131" s="39"/>
      <c r="X131" s="39"/>
      <c r="Y131" s="40"/>
      <c r="Z131" s="40"/>
      <c r="AA131" s="225"/>
      <c r="AB131" s="235"/>
      <c r="AC131" s="233"/>
      <c r="AD131" s="234"/>
    </row>
    <row r="132" spans="1:30" ht="24" thickBot="1" x14ac:dyDescent="0.45">
      <c r="A132" s="333" t="s">
        <v>150</v>
      </c>
      <c r="B132" s="83" t="s">
        <v>25</v>
      </c>
      <c r="C132" s="83" t="s">
        <v>25</v>
      </c>
      <c r="D132" s="84"/>
      <c r="E132" s="85"/>
      <c r="F132" s="84"/>
      <c r="G132" s="236">
        <f>SUM(G118:G118)</f>
        <v>0</v>
      </c>
      <c r="H132" s="236">
        <f>SUM(H118:H118)</f>
        <v>0</v>
      </c>
      <c r="I132" s="87"/>
      <c r="J132" s="87"/>
      <c r="K132" s="87"/>
      <c r="L132" s="88"/>
      <c r="M132" s="335"/>
      <c r="N132" s="336"/>
      <c r="O132" s="336"/>
      <c r="P132" s="337"/>
      <c r="Q132" s="237">
        <f t="shared" ref="Q132:AD132" si="5">SUM(Q122:Q131)</f>
        <v>0</v>
      </c>
      <c r="R132" s="237">
        <f t="shared" si="5"/>
        <v>0</v>
      </c>
      <c r="S132" s="238">
        <f t="shared" si="5"/>
        <v>0</v>
      </c>
      <c r="T132" s="238">
        <f t="shared" si="5"/>
        <v>0</v>
      </c>
      <c r="U132" s="237">
        <f t="shared" si="5"/>
        <v>0</v>
      </c>
      <c r="V132" s="237">
        <f t="shared" si="5"/>
        <v>0</v>
      </c>
      <c r="W132" s="238">
        <f t="shared" si="5"/>
        <v>0</v>
      </c>
      <c r="X132" s="238">
        <f t="shared" si="5"/>
        <v>0</v>
      </c>
      <c r="Y132" s="95">
        <f t="shared" si="5"/>
        <v>0</v>
      </c>
      <c r="Z132" s="95">
        <f t="shared" si="5"/>
        <v>0</v>
      </c>
      <c r="AA132" s="238">
        <f t="shared" si="5"/>
        <v>0</v>
      </c>
      <c r="AB132" s="238">
        <f t="shared" si="5"/>
        <v>0</v>
      </c>
      <c r="AC132" s="98"/>
      <c r="AD132" s="98">
        <f t="shared" si="5"/>
        <v>0</v>
      </c>
    </row>
    <row r="133" spans="1:30" ht="27" thickBot="1" x14ac:dyDescent="0.45">
      <c r="A133" s="334"/>
      <c r="B133" s="83">
        <v>2</v>
      </c>
      <c r="C133" s="83">
        <v>2</v>
      </c>
      <c r="D133" s="84"/>
      <c r="E133" s="84"/>
      <c r="F133" s="84"/>
      <c r="G133" s="99">
        <v>0</v>
      </c>
      <c r="H133" s="100"/>
      <c r="I133" s="99"/>
      <c r="J133" s="100"/>
      <c r="K133" s="341"/>
      <c r="L133" s="342"/>
      <c r="M133" s="338"/>
      <c r="N133" s="339"/>
      <c r="O133" s="339"/>
      <c r="P133" s="340"/>
      <c r="Q133" s="343">
        <f>Q132+R132</f>
        <v>0</v>
      </c>
      <c r="R133" s="344"/>
      <c r="S133" s="345">
        <f>S132+T132</f>
        <v>0</v>
      </c>
      <c r="T133" s="346"/>
      <c r="U133" s="347">
        <f>U132+V132</f>
        <v>0</v>
      </c>
      <c r="V133" s="348"/>
      <c r="W133" s="327">
        <f>W132+X132</f>
        <v>0</v>
      </c>
      <c r="X133" s="328"/>
      <c r="Y133" s="329">
        <f>Y132+Z132</f>
        <v>0</v>
      </c>
      <c r="Z133" s="330"/>
      <c r="AA133" s="327">
        <f>AA132+AB132</f>
        <v>0</v>
      </c>
      <c r="AB133" s="328"/>
      <c r="AC133" s="331">
        <f>AC132+AD132</f>
        <v>0</v>
      </c>
      <c r="AD133" s="332"/>
    </row>
  </sheetData>
  <autoFilter ref="A5:AD112" xr:uid="{3D257094-AFCF-44D4-9CB6-CF8FC9C29795}"/>
  <mergeCells count="73">
    <mergeCell ref="AA3:AB4"/>
    <mergeCell ref="AC3:AD3"/>
    <mergeCell ref="W4:X4"/>
    <mergeCell ref="AC4:AD4"/>
    <mergeCell ref="A1:AD1"/>
    <mergeCell ref="A2:V2"/>
    <mergeCell ref="A3:A4"/>
    <mergeCell ref="B3:C4"/>
    <mergeCell ref="G3:H4"/>
    <mergeCell ref="I3:J4"/>
    <mergeCell ref="K3:L4"/>
    <mergeCell ref="M3:N3"/>
    <mergeCell ref="O3:P3"/>
    <mergeCell ref="Q3:R3"/>
    <mergeCell ref="U4:V4"/>
    <mergeCell ref="S3:T3"/>
    <mergeCell ref="U3:V3"/>
    <mergeCell ref="W3:X3"/>
    <mergeCell ref="Y3:Z4"/>
    <mergeCell ref="E4:E5"/>
    <mergeCell ref="M4:N4"/>
    <mergeCell ref="O4:P4"/>
    <mergeCell ref="Q4:R4"/>
    <mergeCell ref="S4:T4"/>
    <mergeCell ref="A87:A88"/>
    <mergeCell ref="M87:P88"/>
    <mergeCell ref="G88:H88"/>
    <mergeCell ref="I88:J88"/>
    <mergeCell ref="K88:L88"/>
    <mergeCell ref="F114:G114"/>
    <mergeCell ref="S88:T88"/>
    <mergeCell ref="U88:V88"/>
    <mergeCell ref="W88:X88"/>
    <mergeCell ref="Y88:Z88"/>
    <mergeCell ref="E90:J90"/>
    <mergeCell ref="M112:Q112"/>
    <mergeCell ref="X112:AD112"/>
    <mergeCell ref="M113:Q113"/>
    <mergeCell ref="X113:AD113"/>
    <mergeCell ref="AA88:AB88"/>
    <mergeCell ref="AC88:AD88"/>
    <mergeCell ref="Q88:R88"/>
    <mergeCell ref="A119:A120"/>
    <mergeCell ref="B119:C120"/>
    <mergeCell ref="G119:H120"/>
    <mergeCell ref="I119:J120"/>
    <mergeCell ref="K119:L120"/>
    <mergeCell ref="AA119:AB120"/>
    <mergeCell ref="AC119:AD119"/>
    <mergeCell ref="M120:N120"/>
    <mergeCell ref="O120:P120"/>
    <mergeCell ref="Q120:R120"/>
    <mergeCell ref="S120:T120"/>
    <mergeCell ref="U120:V120"/>
    <mergeCell ref="W120:X120"/>
    <mergeCell ref="AC120:AD120"/>
    <mergeCell ref="O119:P119"/>
    <mergeCell ref="Q119:R119"/>
    <mergeCell ref="S119:T119"/>
    <mergeCell ref="U119:V119"/>
    <mergeCell ref="W119:X119"/>
    <mergeCell ref="Y119:Z120"/>
    <mergeCell ref="M119:N119"/>
    <mergeCell ref="W133:X133"/>
    <mergeCell ref="Y133:Z133"/>
    <mergeCell ref="AA133:AB133"/>
    <mergeCell ref="AC133:AD133"/>
    <mergeCell ref="A132:A133"/>
    <mergeCell ref="M132:P133"/>
    <mergeCell ref="K133:L133"/>
    <mergeCell ref="Q133:R133"/>
    <mergeCell ref="S133:T133"/>
    <mergeCell ref="U133:V133"/>
  </mergeCells>
  <dataValidations count="1">
    <dataValidation type="list" allowBlank="1" showInputMessage="1" showErrorMessage="1" sqref="B10:C10 B54:C54" xr:uid="{6205C43C-FD3C-4F26-9652-C543FB2BF0F8}">
      <formula1>#REF!</formula1>
    </dataValidation>
  </dataValidations>
  <pageMargins left="3.937007874015748E-2" right="3.937007874015748E-2" top="0.39370078740157483" bottom="0.39370078740157483" header="0.11811023622047245" footer="0.11811023622047245"/>
  <pageSetup paperSize="9" scale="73" orientation="landscape" r:id="rId1"/>
  <headerFooter alignWithMargins="0">
    <oddFooter>&amp;RFR-PD2-03/11/07-08-57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B92E-6F5C-44D7-8C1D-4466F6558A3C}">
  <dimension ref="B1:AD18"/>
  <sheetViews>
    <sheetView zoomScale="78" zoomScaleNormal="78" zoomScaleSheetLayoutView="70" workbookViewId="0">
      <pane xSplit="2" ySplit="2" topLeftCell="C6" activePane="bottomRight" state="frozen"/>
      <selection activeCell="M107" sqref="M107"/>
      <selection pane="topRight" activeCell="M107" sqref="M107"/>
      <selection pane="bottomLeft" activeCell="M107" sqref="M107"/>
      <selection pane="bottomRight" activeCell="B26" sqref="B26"/>
    </sheetView>
  </sheetViews>
  <sheetFormatPr defaultRowHeight="18" x14ac:dyDescent="0.4"/>
  <cols>
    <col min="1" max="1" width="9.140625" style="1"/>
    <col min="2" max="2" width="22.42578125" style="1" customWidth="1"/>
    <col min="3" max="3" width="10" style="268" customWidth="1"/>
    <col min="4" max="16" width="12.5703125" style="268" customWidth="1"/>
    <col min="17" max="17" width="12.5703125" style="269" customWidth="1"/>
    <col min="18" max="20" width="12.5703125" style="268" customWidth="1"/>
    <col min="21" max="21" width="12.5703125" style="270" customWidth="1"/>
    <col min="22" max="22" width="12.5703125" style="268" customWidth="1"/>
    <col min="23" max="23" width="12.5703125" style="271" customWidth="1"/>
    <col min="24" max="27" width="12.5703125" style="268" customWidth="1"/>
    <col min="28" max="28" width="12.5703125" style="272" customWidth="1"/>
    <col min="29" max="29" width="12.5703125" style="1" customWidth="1"/>
    <col min="30" max="16384" width="9.140625" style="1"/>
  </cols>
  <sheetData>
    <row r="1" spans="2:30" ht="80.25" customHeight="1" x14ac:dyDescent="0.7">
      <c r="B1" s="263" t="s">
        <v>251</v>
      </c>
      <c r="D1" s="299">
        <v>46024</v>
      </c>
      <c r="E1" s="299">
        <v>46025</v>
      </c>
      <c r="F1" s="299">
        <v>46026</v>
      </c>
      <c r="G1" s="299">
        <v>46027</v>
      </c>
      <c r="H1" s="299">
        <v>46028</v>
      </c>
      <c r="I1" s="299">
        <v>46029</v>
      </c>
      <c r="J1" s="299">
        <v>46030</v>
      </c>
      <c r="K1" s="299">
        <v>46031</v>
      </c>
      <c r="L1" s="299">
        <v>46032</v>
      </c>
      <c r="M1" s="299">
        <v>46033</v>
      </c>
      <c r="N1" s="299">
        <v>46034</v>
      </c>
      <c r="O1" s="299">
        <v>46035</v>
      </c>
      <c r="P1" s="299">
        <v>46036</v>
      </c>
      <c r="Q1" s="299">
        <v>46037</v>
      </c>
      <c r="R1" s="299">
        <v>46038</v>
      </c>
      <c r="S1" s="299">
        <v>46039</v>
      </c>
      <c r="T1" s="299">
        <v>46040</v>
      </c>
      <c r="U1" s="299">
        <v>46041</v>
      </c>
      <c r="V1" s="299">
        <v>46042</v>
      </c>
      <c r="W1" s="299">
        <v>46043</v>
      </c>
      <c r="X1" s="299">
        <v>46044</v>
      </c>
      <c r="Y1" s="299">
        <v>46045</v>
      </c>
      <c r="Z1" s="299">
        <v>46046</v>
      </c>
      <c r="AA1" s="299">
        <v>46047</v>
      </c>
      <c r="AB1" s="299">
        <v>46048</v>
      </c>
      <c r="AC1" s="299">
        <v>46049</v>
      </c>
    </row>
    <row r="2" spans="2:30" s="263" customFormat="1" ht="42" customHeight="1" x14ac:dyDescent="0.8">
      <c r="B2" s="300" t="s">
        <v>65</v>
      </c>
      <c r="C2" s="273"/>
      <c r="D2" s="274"/>
      <c r="E2" s="275"/>
      <c r="F2" s="264"/>
      <c r="G2" s="264"/>
      <c r="H2" s="264"/>
      <c r="I2" s="264"/>
      <c r="J2" s="264"/>
      <c r="K2" s="264"/>
      <c r="L2" s="264"/>
      <c r="M2" s="264"/>
      <c r="N2" s="264"/>
      <c r="O2" s="276"/>
      <c r="P2" s="276"/>
      <c r="Q2" s="277"/>
      <c r="R2" s="277"/>
      <c r="S2" s="278"/>
      <c r="T2" s="278"/>
      <c r="U2" s="279"/>
      <c r="V2" s="279"/>
      <c r="W2" s="280"/>
      <c r="X2" s="280"/>
      <c r="Y2" s="281"/>
      <c r="Z2" s="282"/>
      <c r="AA2" s="283"/>
      <c r="AB2" s="283"/>
    </row>
    <row r="3" spans="2:30" s="263" customFormat="1" ht="42" customHeight="1" x14ac:dyDescent="0.8">
      <c r="B3" s="300" t="s">
        <v>71</v>
      </c>
      <c r="C3" s="273"/>
      <c r="D3" s="302">
        <v>8000</v>
      </c>
      <c r="E3" s="275"/>
      <c r="F3" s="264"/>
      <c r="G3" s="264"/>
      <c r="H3" s="264"/>
      <c r="I3" s="264"/>
      <c r="J3" s="264"/>
      <c r="K3" s="264"/>
      <c r="L3" s="264"/>
      <c r="M3" s="264"/>
      <c r="N3" s="264"/>
      <c r="O3" s="276"/>
      <c r="P3" s="284"/>
      <c r="Q3" s="277"/>
      <c r="R3" s="277"/>
      <c r="S3" s="278"/>
      <c r="T3" s="278"/>
      <c r="U3" s="279"/>
      <c r="V3" s="279"/>
      <c r="W3" s="280"/>
      <c r="X3" s="280"/>
      <c r="Y3" s="281"/>
      <c r="Z3" s="282"/>
      <c r="AA3" s="283"/>
      <c r="AB3" s="283"/>
    </row>
    <row r="4" spans="2:30" s="263" customFormat="1" ht="42" customHeight="1" x14ac:dyDescent="0.7">
      <c r="B4" s="301" t="s">
        <v>57</v>
      </c>
      <c r="C4" s="273"/>
      <c r="D4" s="274"/>
      <c r="E4" s="275"/>
      <c r="F4" s="264"/>
      <c r="G4" s="264"/>
      <c r="H4" s="264"/>
      <c r="I4" s="264"/>
      <c r="J4" s="264"/>
      <c r="K4" s="264"/>
      <c r="L4" s="264"/>
      <c r="M4" s="264"/>
      <c r="N4" s="264"/>
      <c r="O4" s="276"/>
      <c r="P4" s="284"/>
      <c r="Q4" s="277"/>
      <c r="R4" s="277"/>
      <c r="S4" s="278"/>
      <c r="T4" s="278"/>
      <c r="U4" s="279"/>
      <c r="V4" s="279"/>
      <c r="W4" s="280"/>
      <c r="X4" s="280"/>
      <c r="Y4" s="281"/>
      <c r="Z4" s="282"/>
      <c r="AA4" s="283"/>
      <c r="AB4" s="283"/>
    </row>
    <row r="5" spans="2:30" s="263" customFormat="1" ht="42" customHeight="1" x14ac:dyDescent="0.7">
      <c r="B5" s="301" t="s">
        <v>94</v>
      </c>
      <c r="C5" s="273"/>
      <c r="D5" s="302">
        <v>4500</v>
      </c>
      <c r="E5" s="275"/>
      <c r="F5" s="264"/>
      <c r="G5" s="264"/>
      <c r="H5" s="264"/>
      <c r="I5" s="264"/>
      <c r="J5" s="264"/>
      <c r="K5" s="264"/>
      <c r="L5" s="264"/>
      <c r="M5" s="264"/>
      <c r="N5" s="264"/>
      <c r="O5" s="276"/>
      <c r="P5" s="284"/>
      <c r="Q5" s="277"/>
      <c r="R5" s="277"/>
      <c r="S5" s="278"/>
      <c r="T5" s="278"/>
      <c r="U5" s="279"/>
      <c r="V5" s="279"/>
      <c r="W5" s="280"/>
      <c r="X5" s="280"/>
      <c r="Y5" s="281"/>
      <c r="Z5" s="282"/>
      <c r="AA5" s="283"/>
      <c r="AB5" s="283"/>
    </row>
    <row r="6" spans="2:30" s="263" customFormat="1" ht="42" customHeight="1" x14ac:dyDescent="0.7">
      <c r="B6" s="301" t="s">
        <v>43</v>
      </c>
      <c r="C6" s="273"/>
      <c r="D6" s="302">
        <v>5000</v>
      </c>
      <c r="E6" s="285"/>
      <c r="F6" s="264"/>
      <c r="G6" s="264"/>
      <c r="H6" s="264"/>
      <c r="I6" s="264"/>
      <c r="J6" s="264"/>
      <c r="K6" s="264"/>
      <c r="L6" s="264"/>
      <c r="M6" s="264"/>
      <c r="N6" s="264"/>
      <c r="O6" s="276"/>
      <c r="P6" s="284"/>
      <c r="Q6" s="277"/>
      <c r="R6" s="277"/>
      <c r="S6" s="278"/>
      <c r="T6" s="278"/>
      <c r="U6" s="279"/>
      <c r="V6" s="279"/>
      <c r="W6" s="280"/>
      <c r="X6" s="280"/>
      <c r="Y6" s="281"/>
      <c r="Z6" s="282"/>
      <c r="AA6" s="283"/>
      <c r="AB6" s="283"/>
    </row>
    <row r="7" spans="2:30" s="263" customFormat="1" ht="42" customHeight="1" x14ac:dyDescent="0.7">
      <c r="B7" s="301" t="s">
        <v>47</v>
      </c>
      <c r="C7" s="273"/>
      <c r="D7" s="302">
        <v>30000</v>
      </c>
      <c r="E7" s="275"/>
      <c r="F7" s="264"/>
      <c r="G7" s="264"/>
      <c r="H7" s="264"/>
      <c r="I7" s="264"/>
      <c r="J7" s="264"/>
      <c r="K7" s="265"/>
      <c r="L7" s="264"/>
      <c r="M7" s="265"/>
      <c r="N7" s="265"/>
      <c r="O7" s="276"/>
      <c r="P7" s="284"/>
      <c r="Q7" s="277"/>
      <c r="R7" s="277"/>
      <c r="S7" s="278"/>
      <c r="T7" s="278"/>
      <c r="U7" s="279"/>
      <c r="V7" s="279"/>
      <c r="W7" s="280"/>
      <c r="X7" s="280"/>
      <c r="Y7" s="281"/>
      <c r="Z7" s="282"/>
      <c r="AA7" s="283"/>
      <c r="AB7" s="283"/>
      <c r="AC7" s="266"/>
    </row>
    <row r="8" spans="2:30" s="263" customFormat="1" ht="42" customHeight="1" x14ac:dyDescent="0.7">
      <c r="B8" s="301" t="s">
        <v>43</v>
      </c>
      <c r="C8" s="273"/>
      <c r="D8" s="274"/>
      <c r="E8" s="275"/>
      <c r="F8" s="264"/>
      <c r="G8" s="264"/>
      <c r="H8" s="264"/>
      <c r="I8" s="264"/>
      <c r="J8" s="264"/>
      <c r="K8" s="264"/>
      <c r="L8" s="264"/>
      <c r="M8" s="264"/>
      <c r="N8" s="264"/>
      <c r="O8" s="276"/>
      <c r="P8" s="284"/>
      <c r="Q8" s="277"/>
      <c r="R8" s="277"/>
      <c r="S8" s="278"/>
      <c r="T8" s="278"/>
      <c r="U8" s="279"/>
      <c r="V8" s="279"/>
      <c r="W8" s="280"/>
      <c r="X8" s="280"/>
      <c r="Y8" s="281"/>
      <c r="Z8" s="282"/>
      <c r="AA8" s="283"/>
      <c r="AB8" s="283"/>
    </row>
    <row r="9" spans="2:30" s="263" customFormat="1" ht="42" customHeight="1" x14ac:dyDescent="0.7">
      <c r="B9" s="301" t="s">
        <v>39</v>
      </c>
      <c r="C9" s="273"/>
      <c r="D9" s="302">
        <v>2500</v>
      </c>
      <c r="E9" s="275"/>
      <c r="F9" s="264"/>
      <c r="G9" s="264"/>
      <c r="H9" s="264"/>
      <c r="I9" s="264"/>
      <c r="J9" s="264"/>
      <c r="K9" s="264"/>
      <c r="L9" s="264"/>
      <c r="M9" s="264"/>
      <c r="N9" s="264"/>
      <c r="O9" s="276"/>
      <c r="P9" s="284"/>
      <c r="Q9" s="277"/>
      <c r="R9" s="277"/>
      <c r="S9" s="278"/>
      <c r="T9" s="278"/>
      <c r="U9" s="279"/>
      <c r="V9" s="279"/>
      <c r="W9" s="280"/>
      <c r="X9" s="280"/>
      <c r="Y9" s="281"/>
      <c r="Z9" s="282"/>
      <c r="AA9" s="283"/>
      <c r="AB9" s="283"/>
    </row>
    <row r="10" spans="2:30" s="263" customFormat="1" ht="42" customHeight="1" x14ac:dyDescent="0.7">
      <c r="B10" s="301" t="s">
        <v>52</v>
      </c>
      <c r="C10" s="273"/>
      <c r="D10" s="302">
        <v>2500</v>
      </c>
      <c r="E10" s="275"/>
      <c r="F10" s="264"/>
      <c r="G10" s="264"/>
      <c r="H10" s="264"/>
      <c r="I10" s="264"/>
      <c r="J10" s="264"/>
      <c r="K10" s="264"/>
      <c r="L10" s="264"/>
      <c r="M10" s="264"/>
      <c r="N10" s="264"/>
      <c r="O10" s="276"/>
      <c r="P10" s="284"/>
      <c r="Q10" s="277"/>
      <c r="R10" s="277"/>
      <c r="S10" s="278"/>
      <c r="T10" s="278"/>
      <c r="U10" s="279"/>
      <c r="V10" s="279"/>
      <c r="W10" s="280"/>
      <c r="X10" s="280"/>
      <c r="Y10" s="281"/>
      <c r="Z10" s="282"/>
      <c r="AA10" s="283"/>
      <c r="AB10" s="283"/>
    </row>
    <row r="11" spans="2:30" s="263" customFormat="1" ht="42" customHeight="1" x14ac:dyDescent="0.7">
      <c r="B11" s="301" t="s">
        <v>252</v>
      </c>
      <c r="C11" s="273"/>
      <c r="D11" s="302">
        <v>5000</v>
      </c>
      <c r="E11" s="286"/>
      <c r="F11" s="264"/>
      <c r="G11" s="264"/>
      <c r="H11" s="264"/>
      <c r="I11" s="264"/>
      <c r="J11" s="264"/>
      <c r="K11" s="264"/>
      <c r="L11" s="264"/>
      <c r="M11" s="264"/>
      <c r="N11" s="264"/>
      <c r="O11" s="276"/>
      <c r="P11" s="284"/>
      <c r="Q11" s="277"/>
      <c r="R11" s="277"/>
      <c r="S11" s="278"/>
      <c r="T11" s="278"/>
      <c r="U11" s="279"/>
      <c r="V11" s="279"/>
      <c r="W11" s="280"/>
      <c r="X11" s="280"/>
      <c r="Y11" s="281"/>
      <c r="Z11" s="282"/>
      <c r="AA11" s="283"/>
      <c r="AB11" s="283"/>
    </row>
    <row r="12" spans="2:30" s="263" customFormat="1" ht="42" customHeight="1" x14ac:dyDescent="0.7">
      <c r="B12" s="267" t="s">
        <v>253</v>
      </c>
      <c r="C12" s="273"/>
      <c r="D12" s="302">
        <v>6000</v>
      </c>
      <c r="E12" s="286"/>
      <c r="F12" s="264"/>
      <c r="G12" s="264"/>
      <c r="H12" s="264"/>
      <c r="I12" s="264"/>
      <c r="J12" s="264"/>
      <c r="K12" s="264"/>
      <c r="L12" s="264"/>
      <c r="M12" s="264"/>
      <c r="N12" s="264"/>
      <c r="O12" s="276"/>
      <c r="P12" s="284"/>
      <c r="Q12" s="277"/>
      <c r="R12" s="277"/>
      <c r="S12" s="278"/>
      <c r="T12" s="278"/>
      <c r="U12" s="279"/>
      <c r="V12" s="279"/>
      <c r="W12" s="280"/>
      <c r="X12" s="280"/>
      <c r="Y12" s="281"/>
      <c r="Z12" s="282"/>
      <c r="AA12" s="283"/>
      <c r="AB12" s="283"/>
    </row>
    <row r="13" spans="2:30" s="263" customFormat="1" ht="42" customHeight="1" x14ac:dyDescent="0.7">
      <c r="B13" s="267" t="s">
        <v>254</v>
      </c>
      <c r="C13" s="273"/>
      <c r="D13" s="302">
        <v>4500</v>
      </c>
      <c r="E13" s="286"/>
      <c r="F13" s="264"/>
      <c r="G13" s="264"/>
      <c r="H13" s="264"/>
      <c r="I13" s="264"/>
      <c r="J13" s="264"/>
      <c r="K13" s="264"/>
      <c r="L13" s="264"/>
      <c r="M13" s="264"/>
      <c r="N13" s="264"/>
      <c r="O13" s="276"/>
      <c r="P13" s="284"/>
      <c r="Q13" s="277"/>
      <c r="R13" s="277"/>
      <c r="S13" s="278"/>
      <c r="T13" s="278"/>
      <c r="U13" s="279"/>
      <c r="V13" s="279"/>
      <c r="W13" s="280"/>
      <c r="X13" s="280"/>
      <c r="Y13" s="281"/>
      <c r="Z13" s="282"/>
      <c r="AA13" s="283"/>
      <c r="AB13" s="283"/>
    </row>
    <row r="14" spans="2:30" s="263" customFormat="1" ht="42" customHeight="1" x14ac:dyDescent="0.7">
      <c r="B14" s="267" t="s">
        <v>255</v>
      </c>
      <c r="C14" s="273"/>
      <c r="D14" s="302"/>
      <c r="E14" s="286"/>
      <c r="F14" s="264"/>
      <c r="G14" s="264"/>
      <c r="H14" s="264"/>
      <c r="I14" s="264"/>
      <c r="J14" s="264"/>
      <c r="K14" s="264"/>
      <c r="L14" s="264"/>
      <c r="M14" s="264"/>
      <c r="N14" s="264"/>
      <c r="O14" s="276"/>
      <c r="P14" s="284"/>
      <c r="Q14" s="277"/>
      <c r="R14" s="277"/>
      <c r="S14" s="278"/>
      <c r="T14" s="278"/>
      <c r="U14" s="279"/>
      <c r="V14" s="279"/>
      <c r="W14" s="280"/>
      <c r="X14" s="280"/>
      <c r="Y14" s="281"/>
      <c r="Z14" s="282"/>
      <c r="AA14" s="283"/>
      <c r="AB14" s="283"/>
    </row>
    <row r="15" spans="2:30" s="263" customFormat="1" ht="42" customHeight="1" x14ac:dyDescent="0.7">
      <c r="B15" s="267" t="s">
        <v>256</v>
      </c>
      <c r="C15" s="273"/>
      <c r="D15" s="302">
        <v>24000</v>
      </c>
      <c r="E15" s="275"/>
      <c r="F15" s="264"/>
      <c r="G15" s="264"/>
      <c r="H15" s="264"/>
      <c r="I15" s="264"/>
      <c r="J15" s="264"/>
      <c r="K15" s="264"/>
      <c r="L15" s="264"/>
      <c r="M15" s="264"/>
      <c r="N15" s="264"/>
      <c r="O15" s="276"/>
      <c r="P15" s="284"/>
      <c r="Q15" s="277"/>
      <c r="R15" s="277"/>
      <c r="S15" s="278"/>
      <c r="T15" s="278"/>
      <c r="U15" s="279"/>
      <c r="V15" s="279"/>
      <c r="W15" s="280"/>
      <c r="X15" s="280"/>
      <c r="Y15" s="281"/>
      <c r="Z15" s="282"/>
      <c r="AA15" s="283"/>
      <c r="AB15" s="283"/>
      <c r="AD15" s="266"/>
    </row>
    <row r="16" spans="2:30" ht="42" customHeight="1" x14ac:dyDescent="0.4">
      <c r="B16" s="267" t="s">
        <v>257</v>
      </c>
      <c r="C16" s="287"/>
      <c r="D16" s="302"/>
      <c r="E16" s="288"/>
      <c r="F16" s="31"/>
      <c r="G16" s="289"/>
      <c r="H16" s="289"/>
      <c r="I16" s="290"/>
      <c r="J16" s="290"/>
      <c r="K16" s="31"/>
      <c r="L16" s="31"/>
      <c r="M16" s="31"/>
      <c r="N16" s="31"/>
      <c r="O16" s="223"/>
      <c r="P16" s="291"/>
      <c r="Q16" s="292"/>
      <c r="R16" s="292"/>
      <c r="S16" s="293"/>
      <c r="T16" s="293"/>
      <c r="U16" s="294"/>
      <c r="V16" s="294"/>
      <c r="W16" s="295"/>
      <c r="X16" s="295"/>
      <c r="Y16" s="296"/>
      <c r="Z16" s="297"/>
      <c r="AA16" s="298"/>
      <c r="AB16" s="298"/>
    </row>
    <row r="17" spans="2:28" ht="42" customHeight="1" x14ac:dyDescent="0.4">
      <c r="B17" s="267" t="s">
        <v>258</v>
      </c>
      <c r="C17" s="287"/>
      <c r="D17" s="302">
        <v>12000</v>
      </c>
      <c r="E17" s="288"/>
      <c r="F17" s="31"/>
      <c r="G17" s="289"/>
      <c r="H17" s="289"/>
      <c r="I17" s="290"/>
      <c r="J17" s="290"/>
      <c r="K17" s="31"/>
      <c r="L17" s="31"/>
      <c r="M17" s="31"/>
      <c r="N17" s="31"/>
      <c r="O17" s="223"/>
      <c r="P17" s="291"/>
      <c r="Q17" s="292"/>
      <c r="R17" s="292"/>
      <c r="S17" s="293"/>
      <c r="T17" s="293"/>
      <c r="U17" s="294"/>
      <c r="V17" s="294"/>
      <c r="W17" s="295"/>
      <c r="X17" s="295"/>
      <c r="Y17" s="296"/>
      <c r="Z17" s="297"/>
      <c r="AA17" s="298"/>
      <c r="AB17" s="298"/>
    </row>
    <row r="18" spans="2:28" ht="42" customHeight="1" x14ac:dyDescent="0.4">
      <c r="B18" s="267" t="s">
        <v>259</v>
      </c>
      <c r="C18" s="287"/>
      <c r="D18" s="302"/>
      <c r="E18" s="288"/>
      <c r="F18" s="31"/>
      <c r="G18" s="289"/>
      <c r="H18" s="289"/>
      <c r="I18" s="290"/>
      <c r="J18" s="290"/>
      <c r="K18" s="31"/>
      <c r="L18" s="31"/>
      <c r="M18" s="31"/>
      <c r="N18" s="31"/>
      <c r="O18" s="223"/>
      <c r="P18" s="291"/>
      <c r="Q18" s="292"/>
      <c r="R18" s="292"/>
      <c r="S18" s="293"/>
      <c r="T18" s="293"/>
      <c r="U18" s="294"/>
      <c r="V18" s="294"/>
      <c r="W18" s="295"/>
      <c r="X18" s="295"/>
      <c r="Y18" s="296"/>
      <c r="Z18" s="297"/>
      <c r="AA18" s="298"/>
      <c r="AB18" s="298"/>
    </row>
  </sheetData>
  <pageMargins left="3.937007874015748E-2" right="3.937007874015748E-2" top="0.39370078740157483" bottom="0.39370078740157483" header="0.11811023622047245" footer="0.11811023622047245"/>
  <pageSetup paperSize="9" scale="73" orientation="landscape" r:id="rId1"/>
  <headerFooter alignWithMargins="0">
    <oddFooter>&amp;RFR-PD2-03/11/07-08-57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C8C2-225C-48EA-871C-C503192DE63B}">
  <dimension ref="A1"/>
  <sheetViews>
    <sheetView workbookViewId="0"/>
  </sheetViews>
  <sheetFormatPr defaultRowHeight="21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17</vt:i4>
      </vt:variant>
    </vt:vector>
  </HeadingPairs>
  <TitlesOfParts>
    <vt:vector size="36" baseType="lpstr">
      <vt:lpstr>19</vt:lpstr>
      <vt:lpstr>18</vt:lpstr>
      <vt:lpstr>17</vt:lpstr>
      <vt:lpstr>16</vt:lpstr>
      <vt:lpstr>14</vt:lpstr>
      <vt:lpstr>15</vt:lpstr>
      <vt:lpstr>13</vt:lpstr>
      <vt:lpstr>12</vt:lpstr>
      <vt:lpstr>10</vt:lpstr>
      <vt:lpstr>9</vt:lpstr>
      <vt:lpstr>8</vt:lpstr>
      <vt:lpstr>7</vt:lpstr>
      <vt:lpstr>6</vt:lpstr>
      <vt:lpstr>5</vt:lpstr>
      <vt:lpstr>4</vt:lpstr>
      <vt:lpstr>3</vt:lpstr>
      <vt:lpstr>2.1</vt:lpstr>
      <vt:lpstr>เป้าหมาย</vt:lpstr>
      <vt:lpstr>Sheet4</vt:lpstr>
      <vt:lpstr>'10'!Print_Titles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'2.1'!Print_Titles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Zola Polysack</dc:creator>
  <cp:lastModifiedBy>Zola Polysack</cp:lastModifiedBy>
  <cp:lastPrinted>2026-01-19T06:44:16Z</cp:lastPrinted>
  <dcterms:created xsi:type="dcterms:W3CDTF">2026-01-03T02:12:00Z</dcterms:created>
  <dcterms:modified xsi:type="dcterms:W3CDTF">2026-01-19T06:44:53Z</dcterms:modified>
</cp:coreProperties>
</file>